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<sst xmlns="http://schemas.openxmlformats.org/spreadsheetml/2006/main" count="2813" uniqueCount="424">
  <si>
    <t xml:space="preserve">Process?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</si>
  <si>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</si>
  <si>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</si>
  <si>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</si>
  <si>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</si>
  <si>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</si>
  <si>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</si>
  <si>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</si>
  <si>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</si>
  <si>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</si>
  <si>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</si>
  <si>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</si>
  <si>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</si>
  <si>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</si>
  <si>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</si>
  <si>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</si>
  <si>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</si>
  <si>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</si>
  <si>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</si>
  <si>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</si>
  <si>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</si>
  <si>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</si>
  <si>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</si>
  <si>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</si>
  <si>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</si>
  <si>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</si>
  <si>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</si>
  <si>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</si>
  <si>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</si>
  <si>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</si>
  <si>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</si>
  <si>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</si>
  <si>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</si>
  <si>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</si>
  <si>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</si>
  <si>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</si>
  <si>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</si>
  <si>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</si>
  <si>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</si>
  <si>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</si>
  <si>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</si>
  <si>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</si>
  <si>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</si>
  <si>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</si>
  <si>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</si>
  <si>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</si>
  <si>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</si>
  <si>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</si>
  <si>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</si>
  <si>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</si>
  <si>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</si>
  <si>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</si>
  <si>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SLink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</si>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</sst>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13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34" min="19" style="2" width="4.29"/>
    <col collapsed="false" customWidth="true" hidden="true" outlineLevel="0" max="42" min="35" style="2" width="4.29"/>
    <col collapsed="false" customWidth="true" hidden="true" outlineLevel="0" max="51" min="44" style="2" width="4.29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Drums</v>
      </c>
      <c r="T1" s="10" t="str">
        <f aca="false">CONCATENATE("DCA2 - ",Groups!B3)</f>
        <v>DCA2 - Perc</v>
      </c>
      <c r="U1" s="10" t="str">
        <f aca="false">CONCATENATE("DCA3 - ",Groups!B4)</f>
        <v>DCA3 - Bass</v>
      </c>
      <c r="V1" s="10" t="str">
        <f aca="false">CONCATENATE("DCA4 - ",Groups!B5)</f>
        <v>DCA4 - Egit</v>
      </c>
      <c r="W1" s="10" t="str">
        <f aca="false">CONCATENATE("DCA5 - ",Groups!B6)</f>
        <v>DCA5 - Accu</v>
      </c>
      <c r="X1" s="10" t="str">
        <f aca="false">CONCATENATE("DCA6 - ",Groups!B7)</f>
        <v>DCA6 - Keys</v>
      </c>
      <c r="Y1" s="10" t="str">
        <f aca="false">CONCATENATE("DCA7 - ",Groups!B8)</f>
        <v>DCA7 - Lead</v>
      </c>
      <c r="Z1" s="10" t="str">
        <f aca="false">CONCATENATE("DCA8 - ",Groups!B9)</f>
        <v>DCA8 - BV</v>
      </c>
      <c r="AA1" s="10" t="str">
        <f aca="false">CONCATENATE("DCA9 - ",Groups!B10)</f>
        <v>DCA9 - FX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</v>
      </c>
      <c r="AJ1" s="10" t="str">
        <f aca="false">CONCATENATE("DCA18 - ",Groups!B19)</f>
        <v>DCA18 -</v>
      </c>
      <c r="AK1" s="10" t="str">
        <f aca="false">CONCATENATE("DCA19 - ",Groups!B20)</f>
        <v>DCA19 -</v>
      </c>
      <c r="AL1" s="10" t="str">
        <f aca="false">CONCATENATE("DCA20 - ",Groups!B21)</f>
        <v>DCA20 -</v>
      </c>
      <c r="AM1" s="10" t="str">
        <f aca="false">CONCATENATE("DCA21 - ",Groups!B22)</f>
        <v>DCA21 -</v>
      </c>
      <c r="AN1" s="10" t="str">
        <f aca="false">CONCATENATE("DCA22 - ",Groups!B23)</f>
        <v>DCA22 -</v>
      </c>
      <c r="AO1" s="10" t="str">
        <f aca="false">CONCATENATE("DCA23 - ",Groups!B24)</f>
        <v>DCA23 -</v>
      </c>
      <c r="AP1" s="10" t="str">
        <f aca="false">CONCATENATE("DCA24 - ",Groups!B25)</f>
        <v>DCA24 -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s">
        <v>53</v>
      </c>
      <c r="H2" s="11" t="s">
        <v>53</v>
      </c>
      <c r="I2" s="11" t="s">
        <v>53</v>
      </c>
      <c r="J2" s="11" t="s">
        <v>53</v>
      </c>
      <c r="K2" s="11" t="s">
        <v>53</v>
      </c>
      <c r="L2" s="11" t="s">
        <v>53</v>
      </c>
      <c r="M2" s="2" t="n">
        <v>20</v>
      </c>
      <c r="N2" s="11" t="s">
        <v>53</v>
      </c>
      <c r="P2" s="11" t="s">
        <v>49</v>
      </c>
      <c r="Q2" s="11" t="s">
        <v>49</v>
      </c>
      <c r="S2" s="11" t="s">
        <v>54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54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55</v>
      </c>
      <c r="D3" s="11" t="s">
        <v>51</v>
      </c>
      <c r="E3" s="11" t="s">
        <v>52</v>
      </c>
      <c r="F3" s="11" t="n">
        <v>2</v>
      </c>
      <c r="G3" s="11" t="s">
        <v>53</v>
      </c>
      <c r="H3" s="11" t="s">
        <v>53</v>
      </c>
      <c r="I3" s="11" t="s">
        <v>53</v>
      </c>
      <c r="J3" s="11" t="s">
        <v>53</v>
      </c>
      <c r="K3" s="11" t="s">
        <v>53</v>
      </c>
      <c r="L3" s="11" t="s">
        <v>53</v>
      </c>
      <c r="M3" s="2" t="n">
        <v>20</v>
      </c>
      <c r="N3" s="11" t="s">
        <v>53</v>
      </c>
      <c r="P3" s="11" t="s">
        <v>49</v>
      </c>
      <c r="Q3" s="11" t="s">
        <v>49</v>
      </c>
      <c r="S3" s="11" t="s">
        <v>54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54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56</v>
      </c>
      <c r="D4" s="11" t="s">
        <v>51</v>
      </c>
      <c r="E4" s="11" t="s">
        <v>52</v>
      </c>
      <c r="F4" s="11" t="n">
        <v>3</v>
      </c>
      <c r="G4" s="11" t="s">
        <v>53</v>
      </c>
      <c r="H4" s="11" t="s">
        <v>53</v>
      </c>
      <c r="I4" s="11" t="s">
        <v>53</v>
      </c>
      <c r="J4" s="11" t="s">
        <v>53</v>
      </c>
      <c r="K4" s="11" t="s">
        <v>53</v>
      </c>
      <c r="L4" s="11" t="s">
        <v>53</v>
      </c>
      <c r="M4" s="2" t="n">
        <v>20</v>
      </c>
      <c r="N4" s="11" t="s">
        <v>53</v>
      </c>
      <c r="P4" s="11" t="s">
        <v>49</v>
      </c>
      <c r="Q4" s="11" t="s">
        <v>49</v>
      </c>
      <c r="S4" s="11" t="s">
        <v>54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54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57</v>
      </c>
      <c r="D5" s="11" t="s">
        <v>51</v>
      </c>
      <c r="E5" s="11" t="s">
        <v>52</v>
      </c>
      <c r="F5" s="11" t="n">
        <v>4</v>
      </c>
      <c r="G5" s="11" t="s">
        <v>53</v>
      </c>
      <c r="H5" s="11" t="s">
        <v>53</v>
      </c>
      <c r="I5" s="11" t="s">
        <v>53</v>
      </c>
      <c r="J5" s="11" t="s">
        <v>53</v>
      </c>
      <c r="K5" s="11" t="s">
        <v>53</v>
      </c>
      <c r="L5" s="11" t="s">
        <v>53</v>
      </c>
      <c r="M5" s="2" t="n">
        <v>20</v>
      </c>
      <c r="N5" s="11" t="s">
        <v>53</v>
      </c>
      <c r="P5" s="11" t="s">
        <v>49</v>
      </c>
      <c r="Q5" s="11" t="s">
        <v>49</v>
      </c>
      <c r="S5" s="11" t="s">
        <v>54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54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58</v>
      </c>
      <c r="D6" s="11" t="s">
        <v>51</v>
      </c>
      <c r="E6" s="11" t="s">
        <v>52</v>
      </c>
      <c r="F6" s="11" t="n">
        <v>5</v>
      </c>
      <c r="G6" s="11" t="s">
        <v>53</v>
      </c>
      <c r="H6" s="11" t="s">
        <v>53</v>
      </c>
      <c r="I6" s="11" t="s">
        <v>53</v>
      </c>
      <c r="J6" s="11" t="s">
        <v>53</v>
      </c>
      <c r="K6" s="11" t="s">
        <v>53</v>
      </c>
      <c r="L6" s="11" t="s">
        <v>53</v>
      </c>
      <c r="M6" s="2" t="n">
        <v>20</v>
      </c>
      <c r="N6" s="11" t="s">
        <v>53</v>
      </c>
      <c r="P6" s="11" t="s">
        <v>49</v>
      </c>
      <c r="Q6" s="11" t="s">
        <v>49</v>
      </c>
      <c r="S6" s="11" t="s">
        <v>54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54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59</v>
      </c>
      <c r="D7" s="11" t="s">
        <v>51</v>
      </c>
      <c r="E7" s="11" t="s">
        <v>52</v>
      </c>
      <c r="F7" s="11" t="n">
        <v>6</v>
      </c>
      <c r="G7" s="11" t="s">
        <v>53</v>
      </c>
      <c r="H7" s="11" t="s">
        <v>53</v>
      </c>
      <c r="I7" s="11" t="s">
        <v>53</v>
      </c>
      <c r="J7" s="11" t="s">
        <v>53</v>
      </c>
      <c r="K7" s="11" t="s">
        <v>53</v>
      </c>
      <c r="L7" s="11" t="s">
        <v>53</v>
      </c>
      <c r="M7" s="2" t="n">
        <v>20</v>
      </c>
      <c r="N7" s="11" t="s">
        <v>53</v>
      </c>
      <c r="P7" s="11" t="s">
        <v>49</v>
      </c>
      <c r="Q7" s="11" t="s">
        <v>49</v>
      </c>
      <c r="S7" s="11" t="s">
        <v>54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54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60</v>
      </c>
      <c r="D8" s="11" t="s">
        <v>51</v>
      </c>
      <c r="E8" s="11" t="s">
        <v>52</v>
      </c>
      <c r="F8" s="11" t="n">
        <v>7</v>
      </c>
      <c r="G8" s="11" t="s">
        <v>53</v>
      </c>
      <c r="H8" s="11" t="s">
        <v>53</v>
      </c>
      <c r="I8" s="11" t="s">
        <v>53</v>
      </c>
      <c r="J8" s="11" t="s">
        <v>53</v>
      </c>
      <c r="K8" s="11" t="s">
        <v>53</v>
      </c>
      <c r="L8" s="11" t="s">
        <v>53</v>
      </c>
      <c r="M8" s="2" t="n">
        <v>20</v>
      </c>
      <c r="N8" s="11" t="s">
        <v>53</v>
      </c>
      <c r="P8" s="11" t="s">
        <v>49</v>
      </c>
      <c r="Q8" s="11" t="s">
        <v>49</v>
      </c>
      <c r="S8" s="11" t="s">
        <v>54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54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61</v>
      </c>
      <c r="D9" s="11" t="s">
        <v>51</v>
      </c>
      <c r="E9" s="11" t="s">
        <v>52</v>
      </c>
      <c r="F9" s="11" t="n">
        <v>8</v>
      </c>
      <c r="G9" s="11" t="s">
        <v>53</v>
      </c>
      <c r="H9" s="11" t="s">
        <v>53</v>
      </c>
      <c r="I9" s="11" t="s">
        <v>53</v>
      </c>
      <c r="J9" s="11" t="s">
        <v>53</v>
      </c>
      <c r="K9" s="11" t="s">
        <v>53</v>
      </c>
      <c r="L9" s="11" t="s">
        <v>53</v>
      </c>
      <c r="M9" s="2" t="n">
        <v>20</v>
      </c>
      <c r="N9" s="11" t="s">
        <v>53</v>
      </c>
      <c r="P9" s="11" t="s">
        <v>49</v>
      </c>
      <c r="Q9" s="11" t="s">
        <v>49</v>
      </c>
      <c r="S9" s="11" t="s">
        <v>54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54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62</v>
      </c>
      <c r="D10" s="11" t="s">
        <v>51</v>
      </c>
      <c r="E10" s="11" t="s">
        <v>52</v>
      </c>
      <c r="F10" s="11" t="n">
        <v>9</v>
      </c>
      <c r="G10" s="11" t="s">
        <v>53</v>
      </c>
      <c r="H10" s="11" t="s">
        <v>53</v>
      </c>
      <c r="I10" s="11" t="s">
        <v>53</v>
      </c>
      <c r="J10" s="11" t="s">
        <v>53</v>
      </c>
      <c r="K10" s="11" t="s">
        <v>53</v>
      </c>
      <c r="L10" s="11" t="s">
        <v>53</v>
      </c>
      <c r="M10" s="2" t="n">
        <v>20</v>
      </c>
      <c r="N10" s="11" t="s">
        <v>53</v>
      </c>
      <c r="P10" s="11" t="s">
        <v>49</v>
      </c>
      <c r="Q10" s="11" t="s">
        <v>49</v>
      </c>
      <c r="S10" s="11" t="s">
        <v>54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54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63</v>
      </c>
      <c r="D11" s="11" t="s">
        <v>51</v>
      </c>
      <c r="E11" s="11" t="s">
        <v>52</v>
      </c>
      <c r="F11" s="11" t="n">
        <v>10</v>
      </c>
      <c r="G11" s="11" t="s">
        <v>53</v>
      </c>
      <c r="H11" s="11" t="s">
        <v>53</v>
      </c>
      <c r="I11" s="11" t="s">
        <v>53</v>
      </c>
      <c r="J11" s="11" t="s">
        <v>53</v>
      </c>
      <c r="K11" s="11" t="s">
        <v>53</v>
      </c>
      <c r="L11" s="11" t="s">
        <v>53</v>
      </c>
      <c r="M11" s="2" t="n">
        <v>20</v>
      </c>
      <c r="N11" s="11" t="s">
        <v>53</v>
      </c>
      <c r="P11" s="11" t="s">
        <v>49</v>
      </c>
      <c r="Q11" s="11" t="s">
        <v>49</v>
      </c>
      <c r="S11" s="11" t="s">
        <v>54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54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64</v>
      </c>
      <c r="D12" s="11" t="s">
        <v>51</v>
      </c>
      <c r="E12" s="11" t="s">
        <v>52</v>
      </c>
      <c r="F12" s="11" t="n">
        <v>11</v>
      </c>
      <c r="G12" s="11" t="s">
        <v>53</v>
      </c>
      <c r="H12" s="11" t="s">
        <v>53</v>
      </c>
      <c r="I12" s="11" t="s">
        <v>53</v>
      </c>
      <c r="J12" s="11" t="s">
        <v>53</v>
      </c>
      <c r="K12" s="11" t="s">
        <v>53</v>
      </c>
      <c r="L12" s="11" t="s">
        <v>53</v>
      </c>
      <c r="M12" s="2" t="n">
        <v>20</v>
      </c>
      <c r="N12" s="11" t="s">
        <v>53</v>
      </c>
      <c r="P12" s="11" t="s">
        <v>49</v>
      </c>
      <c r="Q12" s="11" t="s">
        <v>49</v>
      </c>
      <c r="S12" s="11" t="s">
        <v>54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54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65</v>
      </c>
      <c r="D13" s="11" t="s">
        <v>51</v>
      </c>
      <c r="E13" s="11" t="s">
        <v>52</v>
      </c>
      <c r="F13" s="11" t="n">
        <v>12</v>
      </c>
      <c r="G13" s="11" t="s">
        <v>53</v>
      </c>
      <c r="H13" s="11" t="s">
        <v>53</v>
      </c>
      <c r="I13" s="11" t="s">
        <v>53</v>
      </c>
      <c r="J13" s="11" t="s">
        <v>53</v>
      </c>
      <c r="K13" s="11" t="s">
        <v>53</v>
      </c>
      <c r="L13" s="11" t="s">
        <v>53</v>
      </c>
      <c r="M13" s="2" t="n">
        <v>20</v>
      </c>
      <c r="N13" s="11" t="s">
        <v>53</v>
      </c>
      <c r="P13" s="11" t="s">
        <v>49</v>
      </c>
      <c r="Q13" s="11" t="s">
        <v>49</v>
      </c>
      <c r="S13" s="11" t="s">
        <v>54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54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66</v>
      </c>
      <c r="D14" s="11" t="s">
        <v>51</v>
      </c>
      <c r="E14" s="11" t="s">
        <v>52</v>
      </c>
      <c r="F14" s="11" t="n">
        <v>13</v>
      </c>
      <c r="G14" s="11" t="s">
        <v>53</v>
      </c>
      <c r="H14" s="11" t="s">
        <v>53</v>
      </c>
      <c r="I14" s="11" t="s">
        <v>53</v>
      </c>
      <c r="J14" s="11" t="s">
        <v>53</v>
      </c>
      <c r="K14" s="11" t="s">
        <v>53</v>
      </c>
      <c r="L14" s="11" t="s">
        <v>53</v>
      </c>
      <c r="M14" s="2" t="n">
        <v>20</v>
      </c>
      <c r="N14" s="11" t="s">
        <v>53</v>
      </c>
      <c r="P14" s="11" t="s">
        <v>49</v>
      </c>
      <c r="Q14" s="11" t="s">
        <v>49</v>
      </c>
      <c r="S14" s="11"/>
      <c r="T14" s="11" t="s">
        <v>54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 t="s">
        <v>54</v>
      </c>
      <c r="AS14" s="11"/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" t="s">
        <v>67</v>
      </c>
      <c r="D15" s="11" t="s">
        <v>68</v>
      </c>
      <c r="E15" s="11" t="s">
        <v>52</v>
      </c>
      <c r="F15" s="11" t="n">
        <v>14</v>
      </c>
      <c r="G15" s="11" t="s">
        <v>53</v>
      </c>
      <c r="H15" s="11" t="s">
        <v>53</v>
      </c>
      <c r="I15" s="11" t="s">
        <v>53</v>
      </c>
      <c r="J15" s="11" t="s">
        <v>53</v>
      </c>
      <c r="K15" s="11" t="s">
        <v>53</v>
      </c>
      <c r="L15" s="11" t="s">
        <v>53</v>
      </c>
      <c r="M15" s="2" t="n">
        <v>20</v>
      </c>
      <c r="N15" s="11" t="s">
        <v>53</v>
      </c>
      <c r="P15" s="11" t="s">
        <v>49</v>
      </c>
      <c r="Q15" s="11" t="s">
        <v>49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 t="s">
        <v>54</v>
      </c>
      <c r="AS15" s="11"/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/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67</v>
      </c>
      <c r="D16" s="11" t="s">
        <v>68</v>
      </c>
      <c r="E16" s="11" t="s">
        <v>52</v>
      </c>
      <c r="F16" s="11" t="n">
        <v>15</v>
      </c>
      <c r="G16" s="11" t="s">
        <v>53</v>
      </c>
      <c r="H16" s="11" t="s">
        <v>53</v>
      </c>
      <c r="I16" s="11" t="s">
        <v>53</v>
      </c>
      <c r="J16" s="11" t="s">
        <v>53</v>
      </c>
      <c r="K16" s="11" t="s">
        <v>53</v>
      </c>
      <c r="L16" s="11" t="s">
        <v>53</v>
      </c>
      <c r="M16" s="2" t="n">
        <v>20</v>
      </c>
      <c r="N16" s="11" t="s">
        <v>53</v>
      </c>
      <c r="P16" s="11" t="s">
        <v>49</v>
      </c>
      <c r="Q16" s="11" t="s">
        <v>49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 t="s">
        <v>54</v>
      </c>
      <c r="AS16" s="11"/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/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67</v>
      </c>
      <c r="D17" s="11" t="s">
        <v>68</v>
      </c>
      <c r="E17" s="11" t="s">
        <v>52</v>
      </c>
      <c r="F17" s="11" t="n">
        <v>16</v>
      </c>
      <c r="G17" s="11" t="s">
        <v>53</v>
      </c>
      <c r="H17" s="11" t="s">
        <v>53</v>
      </c>
      <c r="I17" s="11" t="s">
        <v>53</v>
      </c>
      <c r="J17" s="11" t="s">
        <v>53</v>
      </c>
      <c r="K17" s="11" t="s">
        <v>53</v>
      </c>
      <c r="L17" s="11" t="s">
        <v>53</v>
      </c>
      <c r="M17" s="2" t="n">
        <v>20</v>
      </c>
      <c r="N17" s="11" t="s">
        <v>53</v>
      </c>
      <c r="P17" s="11" t="s">
        <v>49</v>
      </c>
      <c r="Q17" s="11" t="s">
        <v>49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 t="s">
        <v>54</v>
      </c>
      <c r="AS17" s="11"/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/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69</v>
      </c>
      <c r="D18" s="11" t="s">
        <v>70</v>
      </c>
      <c r="E18" s="11" t="s">
        <v>52</v>
      </c>
      <c r="F18" s="11" t="n">
        <v>17</v>
      </c>
      <c r="G18" s="11" t="s">
        <v>53</v>
      </c>
      <c r="H18" s="11" t="s">
        <v>53</v>
      </c>
      <c r="I18" s="11" t="s">
        <v>53</v>
      </c>
      <c r="J18" s="11" t="s">
        <v>53</v>
      </c>
      <c r="K18" s="11" t="s">
        <v>53</v>
      </c>
      <c r="L18" s="11" t="s">
        <v>53</v>
      </c>
      <c r="M18" s="2" t="n">
        <v>20</v>
      </c>
      <c r="N18" s="11" t="s">
        <v>53</v>
      </c>
      <c r="P18" s="11" t="s">
        <v>49</v>
      </c>
      <c r="Q18" s="11" t="s">
        <v>49</v>
      </c>
      <c r="S18" s="11"/>
      <c r="T18" s="11"/>
      <c r="U18" s="11" t="s">
        <v>54</v>
      </c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 t="s">
        <v>54</v>
      </c>
      <c r="AS18" s="11"/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/>
      </c>
      <c r="BC18" s="2" t="str">
        <f aca="false">IF(U18="x","x",IF(U18="-","-",""))</f>
        <v>x</v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71</v>
      </c>
      <c r="D19" s="11" t="s">
        <v>70</v>
      </c>
      <c r="E19" s="11" t="s">
        <v>52</v>
      </c>
      <c r="F19" s="11" t="n">
        <v>18</v>
      </c>
      <c r="G19" s="11" t="s">
        <v>53</v>
      </c>
      <c r="H19" s="11" t="s">
        <v>53</v>
      </c>
      <c r="I19" s="11" t="s">
        <v>53</v>
      </c>
      <c r="J19" s="11" t="s">
        <v>53</v>
      </c>
      <c r="K19" s="11" t="s">
        <v>53</v>
      </c>
      <c r="L19" s="11" t="s">
        <v>53</v>
      </c>
      <c r="M19" s="2" t="n">
        <v>20</v>
      </c>
      <c r="N19" s="11" t="s">
        <v>53</v>
      </c>
      <c r="P19" s="11" t="s">
        <v>49</v>
      </c>
      <c r="Q19" s="11" t="s">
        <v>49</v>
      </c>
      <c r="S19" s="11"/>
      <c r="T19" s="11"/>
      <c r="U19" s="11" t="s">
        <v>54</v>
      </c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 t="s">
        <v>54</v>
      </c>
      <c r="AS19" s="11"/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/>
      </c>
      <c r="BC19" s="2" t="str">
        <f aca="false">IF(U19="x","x",IF(U19="-","-",""))</f>
        <v>x</v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72</v>
      </c>
      <c r="D20" s="11" t="s">
        <v>73</v>
      </c>
      <c r="E20" s="11" t="s">
        <v>52</v>
      </c>
      <c r="F20" s="11" t="n">
        <v>19</v>
      </c>
      <c r="G20" s="11" t="s">
        <v>53</v>
      </c>
      <c r="H20" s="11" t="s">
        <v>53</v>
      </c>
      <c r="I20" s="11" t="s">
        <v>53</v>
      </c>
      <c r="J20" s="11" t="s">
        <v>53</v>
      </c>
      <c r="K20" s="11" t="s">
        <v>53</v>
      </c>
      <c r="L20" s="11" t="s">
        <v>53</v>
      </c>
      <c r="M20" s="2" t="n">
        <v>20</v>
      </c>
      <c r="N20" s="11" t="s">
        <v>53</v>
      </c>
      <c r="P20" s="11" t="s">
        <v>49</v>
      </c>
      <c r="Q20" s="11" t="s">
        <v>49</v>
      </c>
      <c r="S20" s="11"/>
      <c r="T20" s="11"/>
      <c r="U20" s="11"/>
      <c r="V20" s="11" t="s">
        <v>54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 t="s">
        <v>54</v>
      </c>
      <c r="AS20" s="11"/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/>
      </c>
      <c r="BC20" s="2" t="str">
        <f aca="false">IF(U20="x","x",IF(U20="-","-",""))</f>
        <v/>
      </c>
      <c r="BD20" s="2" t="str">
        <f aca="false">IF(V20="x","x",IF(V20="-","-",""))</f>
        <v>x</v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74</v>
      </c>
      <c r="D21" s="11" t="s">
        <v>73</v>
      </c>
      <c r="E21" s="11" t="s">
        <v>52</v>
      </c>
      <c r="F21" s="11" t="n">
        <v>20</v>
      </c>
      <c r="G21" s="11" t="s">
        <v>53</v>
      </c>
      <c r="H21" s="11" t="s">
        <v>53</v>
      </c>
      <c r="I21" s="11" t="s">
        <v>53</v>
      </c>
      <c r="J21" s="11" t="s">
        <v>53</v>
      </c>
      <c r="K21" s="11" t="s">
        <v>53</v>
      </c>
      <c r="L21" s="11" t="s">
        <v>53</v>
      </c>
      <c r="M21" s="2" t="n">
        <v>20</v>
      </c>
      <c r="N21" s="11" t="s">
        <v>53</v>
      </c>
      <c r="P21" s="11" t="s">
        <v>49</v>
      </c>
      <c r="Q21" s="11" t="s">
        <v>49</v>
      </c>
      <c r="S21" s="11"/>
      <c r="T21" s="11"/>
      <c r="U21" s="11"/>
      <c r="V21" s="11" t="s">
        <v>54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 t="s">
        <v>54</v>
      </c>
      <c r="AS21" s="11"/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/>
      </c>
      <c r="BC21" s="2" t="str">
        <f aca="false">IF(U21="x","x",IF(U21="-","-",""))</f>
        <v/>
      </c>
      <c r="BD21" s="2" t="str">
        <f aca="false">IF(V21="x","x",IF(V21="-","-",""))</f>
        <v>x</v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75</v>
      </c>
      <c r="D22" s="11" t="s">
        <v>73</v>
      </c>
      <c r="E22" s="11" t="s">
        <v>52</v>
      </c>
      <c r="F22" s="11" t="n">
        <v>21</v>
      </c>
      <c r="G22" s="11" t="s">
        <v>53</v>
      </c>
      <c r="H22" s="11" t="s">
        <v>53</v>
      </c>
      <c r="I22" s="11" t="s">
        <v>53</v>
      </c>
      <c r="J22" s="11" t="s">
        <v>53</v>
      </c>
      <c r="K22" s="11" t="s">
        <v>53</v>
      </c>
      <c r="L22" s="11" t="s">
        <v>53</v>
      </c>
      <c r="M22" s="2" t="n">
        <v>20</v>
      </c>
      <c r="N22" s="11" t="s">
        <v>53</v>
      </c>
      <c r="P22" s="11" t="s">
        <v>49</v>
      </c>
      <c r="Q22" s="11" t="s">
        <v>49</v>
      </c>
      <c r="S22" s="11"/>
      <c r="T22" s="11"/>
      <c r="U22" s="11"/>
      <c r="V22" s="11" t="s">
        <v>54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 t="s">
        <v>54</v>
      </c>
      <c r="AS22" s="11"/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/>
      </c>
      <c r="BC22" s="2" t="str">
        <f aca="false">IF(U22="x","x",IF(U22="-","-",""))</f>
        <v/>
      </c>
      <c r="BD22" s="2" t="str">
        <f aca="false">IF(V22="x","x",IF(V22="-","-",""))</f>
        <v>x</v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76</v>
      </c>
      <c r="D23" s="11" t="s">
        <v>73</v>
      </c>
      <c r="E23" s="11" t="s">
        <v>52</v>
      </c>
      <c r="F23" s="11" t="n">
        <v>22</v>
      </c>
      <c r="G23" s="11" t="s">
        <v>53</v>
      </c>
      <c r="H23" s="11" t="s">
        <v>53</v>
      </c>
      <c r="I23" s="11" t="s">
        <v>53</v>
      </c>
      <c r="J23" s="11" t="s">
        <v>53</v>
      </c>
      <c r="K23" s="11" t="s">
        <v>53</v>
      </c>
      <c r="L23" s="11" t="s">
        <v>53</v>
      </c>
      <c r="M23" s="2" t="n">
        <v>20</v>
      </c>
      <c r="N23" s="11" t="s">
        <v>53</v>
      </c>
      <c r="P23" s="11" t="s">
        <v>49</v>
      </c>
      <c r="Q23" s="11" t="s">
        <v>49</v>
      </c>
      <c r="S23" s="11"/>
      <c r="T23" s="11"/>
      <c r="U23" s="11"/>
      <c r="V23" s="11" t="s">
        <v>54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 t="s">
        <v>54</v>
      </c>
      <c r="AS23" s="11"/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/>
      </c>
      <c r="BC23" s="2" t="str">
        <f aca="false">IF(U23="x","x",IF(U23="-","-",""))</f>
        <v/>
      </c>
      <c r="BD23" s="2" t="str">
        <f aca="false">IF(V23="x","x",IF(V23="-","-",""))</f>
        <v>x</v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77</v>
      </c>
      <c r="D24" s="11" t="s">
        <v>73</v>
      </c>
      <c r="E24" s="11" t="s">
        <v>52</v>
      </c>
      <c r="F24" s="11" t="n">
        <v>23</v>
      </c>
      <c r="G24" s="11" t="s">
        <v>53</v>
      </c>
      <c r="H24" s="11" t="s">
        <v>53</v>
      </c>
      <c r="I24" s="11" t="s">
        <v>53</v>
      </c>
      <c r="J24" s="11" t="s">
        <v>53</v>
      </c>
      <c r="K24" s="11" t="s">
        <v>53</v>
      </c>
      <c r="L24" s="11" t="s">
        <v>53</v>
      </c>
      <c r="M24" s="2" t="n">
        <v>20</v>
      </c>
      <c r="N24" s="11" t="s">
        <v>53</v>
      </c>
      <c r="P24" s="11" t="s">
        <v>49</v>
      </c>
      <c r="Q24" s="11" t="s">
        <v>49</v>
      </c>
      <c r="S24" s="11"/>
      <c r="T24" s="11"/>
      <c r="U24" s="11"/>
      <c r="V24" s="11" t="s">
        <v>54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 t="s">
        <v>54</v>
      </c>
      <c r="AS24" s="11"/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/>
      </c>
      <c r="BC24" s="2" t="str">
        <f aca="false">IF(U24="x","x",IF(U24="-","-",""))</f>
        <v/>
      </c>
      <c r="BD24" s="2" t="str">
        <f aca="false">IF(V24="x","x",IF(V24="-","-",""))</f>
        <v>x</v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78</v>
      </c>
      <c r="D25" s="11" t="s">
        <v>73</v>
      </c>
      <c r="E25" s="11" t="s">
        <v>52</v>
      </c>
      <c r="F25" s="11" t="n">
        <v>24</v>
      </c>
      <c r="G25" s="11" t="s">
        <v>53</v>
      </c>
      <c r="H25" s="11" t="s">
        <v>53</v>
      </c>
      <c r="I25" s="11" t="s">
        <v>53</v>
      </c>
      <c r="J25" s="11" t="s">
        <v>53</v>
      </c>
      <c r="K25" s="11" t="s">
        <v>53</v>
      </c>
      <c r="L25" s="11" t="s">
        <v>53</v>
      </c>
      <c r="M25" s="2" t="n">
        <v>20</v>
      </c>
      <c r="N25" s="11" t="s">
        <v>53</v>
      </c>
      <c r="P25" s="11" t="s">
        <v>49</v>
      </c>
      <c r="Q25" s="11" t="s">
        <v>49</v>
      </c>
      <c r="S25" s="11"/>
      <c r="T25" s="11"/>
      <c r="U25" s="11"/>
      <c r="V25" s="11" t="s">
        <v>54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 t="s">
        <v>54</v>
      </c>
      <c r="AS25" s="11"/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/>
      </c>
      <c r="BC25" s="2" t="str">
        <f aca="false">IF(U25="x","x",IF(U25="-","-",""))</f>
        <v/>
      </c>
      <c r="BD25" s="2" t="str">
        <f aca="false">IF(V25="x","x",IF(V25="-","-",""))</f>
        <v>x</v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79</v>
      </c>
      <c r="D26" s="11" t="s">
        <v>80</v>
      </c>
      <c r="E26" s="11" t="s">
        <v>52</v>
      </c>
      <c r="F26" s="11" t="n">
        <v>25</v>
      </c>
      <c r="G26" s="11" t="s">
        <v>53</v>
      </c>
      <c r="H26" s="11" t="s">
        <v>53</v>
      </c>
      <c r="I26" s="11" t="s">
        <v>53</v>
      </c>
      <c r="J26" s="11" t="s">
        <v>53</v>
      </c>
      <c r="K26" s="11" t="s">
        <v>53</v>
      </c>
      <c r="L26" s="11" t="s">
        <v>53</v>
      </c>
      <c r="M26" s="2" t="n">
        <v>20</v>
      </c>
      <c r="N26" s="11" t="s">
        <v>53</v>
      </c>
      <c r="P26" s="11" t="s">
        <v>49</v>
      </c>
      <c r="Q26" s="11" t="s">
        <v>49</v>
      </c>
      <c r="S26" s="11"/>
      <c r="T26" s="11"/>
      <c r="U26" s="11"/>
      <c r="V26" s="11"/>
      <c r="W26" s="11" t="s">
        <v>54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 t="s">
        <v>54</v>
      </c>
      <c r="AS26" s="11"/>
      <c r="AT26" s="11"/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/>
      </c>
      <c r="BD26" s="2" t="str">
        <f aca="false">IF(V26="x","x",IF(V26="-","-",""))</f>
        <v/>
      </c>
      <c r="BE26" s="2" t="str">
        <f aca="false">IF(W26="x","x",IF(W26="-","-",""))</f>
        <v>x</v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81</v>
      </c>
      <c r="D27" s="11" t="s">
        <v>80</v>
      </c>
      <c r="E27" s="11" t="s">
        <v>52</v>
      </c>
      <c r="F27" s="11" t="n">
        <v>26</v>
      </c>
      <c r="G27" s="11" t="s">
        <v>53</v>
      </c>
      <c r="H27" s="11" t="s">
        <v>53</v>
      </c>
      <c r="I27" s="11" t="s">
        <v>53</v>
      </c>
      <c r="J27" s="11" t="s">
        <v>53</v>
      </c>
      <c r="K27" s="11" t="s">
        <v>53</v>
      </c>
      <c r="L27" s="11" t="s">
        <v>53</v>
      </c>
      <c r="M27" s="2" t="n">
        <v>20</v>
      </c>
      <c r="N27" s="11" t="s">
        <v>53</v>
      </c>
      <c r="P27" s="11" t="s">
        <v>49</v>
      </c>
      <c r="Q27" s="11" t="s">
        <v>49</v>
      </c>
      <c r="S27" s="11"/>
      <c r="T27" s="11"/>
      <c r="U27" s="11"/>
      <c r="V27" s="11"/>
      <c r="W27" s="11" t="s">
        <v>54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 t="s">
        <v>54</v>
      </c>
      <c r="AS27" s="11"/>
      <c r="AT27" s="11"/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/>
      </c>
      <c r="BD27" s="2" t="str">
        <f aca="false">IF(V27="x","x",IF(V27="-","-",""))</f>
        <v/>
      </c>
      <c r="BE27" s="2" t="str">
        <f aca="false">IF(W27="x","x",IF(W27="-","-",""))</f>
        <v>x</v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82</v>
      </c>
      <c r="D28" s="11" t="s">
        <v>80</v>
      </c>
      <c r="E28" s="11" t="s">
        <v>52</v>
      </c>
      <c r="F28" s="11" t="n">
        <v>27</v>
      </c>
      <c r="G28" s="3"/>
      <c r="H28" s="3"/>
      <c r="I28" s="3"/>
      <c r="J28" s="11" t="s">
        <v>53</v>
      </c>
      <c r="K28" s="11" t="s">
        <v>53</v>
      </c>
      <c r="L28" s="11" t="s">
        <v>53</v>
      </c>
      <c r="M28" s="2" t="n">
        <v>20</v>
      </c>
      <c r="N28" s="11" t="s">
        <v>53</v>
      </c>
      <c r="P28" s="11" t="s">
        <v>49</v>
      </c>
      <c r="Q28" s="11" t="s">
        <v>49</v>
      </c>
      <c r="S28" s="11"/>
      <c r="T28" s="11"/>
      <c r="U28" s="11"/>
      <c r="V28" s="11"/>
      <c r="W28" s="11" t="s">
        <v>54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 t="s">
        <v>54</v>
      </c>
      <c r="AS28" s="11"/>
      <c r="AT28" s="11"/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/>
      </c>
      <c r="BD28" s="2" t="str">
        <f aca="false">IF(V28="x","x",IF(V28="-","-",""))</f>
        <v/>
      </c>
      <c r="BE28" s="2" t="str">
        <f aca="false">IF(W28="x","x",IF(W28="-","-",""))</f>
        <v>x</v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83</v>
      </c>
      <c r="D29" s="11" t="s">
        <v>80</v>
      </c>
      <c r="E29" s="11" t="s">
        <v>52</v>
      </c>
      <c r="F29" s="11" t="n">
        <v>28</v>
      </c>
      <c r="G29" s="11" t="s">
        <v>53</v>
      </c>
      <c r="H29" s="11" t="s">
        <v>53</v>
      </c>
      <c r="I29" s="11" t="s">
        <v>53</v>
      </c>
      <c r="J29" s="11" t="s">
        <v>53</v>
      </c>
      <c r="K29" s="11" t="s">
        <v>53</v>
      </c>
      <c r="L29" s="11" t="s">
        <v>53</v>
      </c>
      <c r="M29" s="2" t="n">
        <v>20</v>
      </c>
      <c r="N29" s="11" t="s">
        <v>53</v>
      </c>
      <c r="P29" s="11" t="s">
        <v>49</v>
      </c>
      <c r="Q29" s="11" t="s">
        <v>49</v>
      </c>
      <c r="S29" s="11"/>
      <c r="T29" s="11"/>
      <c r="U29" s="11"/>
      <c r="V29" s="11"/>
      <c r="W29" s="11" t="s">
        <v>54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 t="s">
        <v>54</v>
      </c>
      <c r="AS29" s="11"/>
      <c r="AT29" s="11"/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/>
      </c>
      <c r="BD29" s="2" t="str">
        <f aca="false">IF(V29="x","x",IF(V29="-","-",""))</f>
        <v/>
      </c>
      <c r="BE29" s="2" t="str">
        <f aca="false">IF(W29="x","x",IF(W29="-","-",""))</f>
        <v>x</v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84</v>
      </c>
      <c r="D30" s="11" t="s">
        <v>85</v>
      </c>
      <c r="E30" s="11" t="s">
        <v>52</v>
      </c>
      <c r="F30" s="11" t="n">
        <v>29</v>
      </c>
      <c r="G30" s="11" t="s">
        <v>53</v>
      </c>
      <c r="H30" s="11" t="s">
        <v>53</v>
      </c>
      <c r="I30" s="11" t="s">
        <v>53</v>
      </c>
      <c r="J30" s="11" t="s">
        <v>53</v>
      </c>
      <c r="K30" s="11" t="s">
        <v>53</v>
      </c>
      <c r="L30" s="11" t="s">
        <v>53</v>
      </c>
      <c r="M30" s="2" t="n">
        <v>20</v>
      </c>
      <c r="N30" s="11" t="s">
        <v>53</v>
      </c>
      <c r="P30" s="11" t="s">
        <v>49</v>
      </c>
      <c r="Q30" s="11" t="s">
        <v>49</v>
      </c>
      <c r="S30" s="11"/>
      <c r="T30" s="11"/>
      <c r="U30" s="11"/>
      <c r="V30" s="11"/>
      <c r="W30" s="11"/>
      <c r="X30" s="11" t="s">
        <v>54</v>
      </c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 t="s">
        <v>54</v>
      </c>
      <c r="AS30" s="11"/>
      <c r="AT30" s="11"/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/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>x</v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85</v>
      </c>
      <c r="E31" s="11" t="s">
        <v>52</v>
      </c>
      <c r="F31" s="11" t="n">
        <v>30</v>
      </c>
      <c r="G31" s="11" t="s">
        <v>53</v>
      </c>
      <c r="H31" s="11" t="s">
        <v>53</v>
      </c>
      <c r="I31" s="11" t="s">
        <v>53</v>
      </c>
      <c r="J31" s="11" t="s">
        <v>53</v>
      </c>
      <c r="K31" s="11" t="s">
        <v>53</v>
      </c>
      <c r="L31" s="11" t="s">
        <v>53</v>
      </c>
      <c r="M31" s="2" t="n">
        <v>20</v>
      </c>
      <c r="N31" s="11" t="s">
        <v>53</v>
      </c>
      <c r="P31" s="11" t="s">
        <v>49</v>
      </c>
      <c r="Q31" s="11" t="s">
        <v>49</v>
      </c>
      <c r="S31" s="11"/>
      <c r="T31" s="11"/>
      <c r="U31" s="11"/>
      <c r="V31" s="11"/>
      <c r="W31" s="11"/>
      <c r="X31" s="11" t="s">
        <v>54</v>
      </c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 t="s">
        <v>54</v>
      </c>
      <c r="AS31" s="11"/>
      <c r="AT31" s="11"/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/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>x</v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85</v>
      </c>
      <c r="E32" s="11" t="s">
        <v>52</v>
      </c>
      <c r="F32" s="11" t="n">
        <v>31</v>
      </c>
      <c r="G32" s="11" t="s">
        <v>53</v>
      </c>
      <c r="H32" s="11" t="s">
        <v>53</v>
      </c>
      <c r="I32" s="11" t="s">
        <v>53</v>
      </c>
      <c r="J32" s="11" t="s">
        <v>53</v>
      </c>
      <c r="K32" s="11" t="s">
        <v>53</v>
      </c>
      <c r="L32" s="11" t="s">
        <v>53</v>
      </c>
      <c r="M32" s="2" t="n">
        <v>20</v>
      </c>
      <c r="N32" s="11" t="s">
        <v>53</v>
      </c>
      <c r="P32" s="11" t="s">
        <v>49</v>
      </c>
      <c r="Q32" s="11" t="s">
        <v>49</v>
      </c>
      <c r="S32" s="11"/>
      <c r="T32" s="11"/>
      <c r="U32" s="11"/>
      <c r="V32" s="11"/>
      <c r="W32" s="11"/>
      <c r="X32" s="11" t="s">
        <v>54</v>
      </c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 t="s">
        <v>54</v>
      </c>
      <c r="AS32" s="11"/>
      <c r="AT32" s="11"/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/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>x</v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85</v>
      </c>
      <c r="E33" s="11" t="s">
        <v>52</v>
      </c>
      <c r="F33" s="11" t="n">
        <v>32</v>
      </c>
      <c r="G33" s="11" t="s">
        <v>53</v>
      </c>
      <c r="H33" s="11" t="s">
        <v>53</v>
      </c>
      <c r="I33" s="11" t="s">
        <v>53</v>
      </c>
      <c r="J33" s="11" t="s">
        <v>53</v>
      </c>
      <c r="K33" s="11" t="s">
        <v>53</v>
      </c>
      <c r="L33" s="11" t="s">
        <v>53</v>
      </c>
      <c r="M33" s="2" t="n">
        <v>20</v>
      </c>
      <c r="N33" s="11" t="s">
        <v>53</v>
      </c>
      <c r="P33" s="11" t="s">
        <v>49</v>
      </c>
      <c r="Q33" s="11" t="s">
        <v>49</v>
      </c>
      <c r="S33" s="11"/>
      <c r="T33" s="11"/>
      <c r="U33" s="11"/>
      <c r="V33" s="11"/>
      <c r="W33" s="11"/>
      <c r="X33" s="11" t="s">
        <v>54</v>
      </c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 t="s">
        <v>54</v>
      </c>
      <c r="AS33" s="11"/>
      <c r="AT33" s="11"/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/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>x</v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85</v>
      </c>
      <c r="E34" s="11" t="s">
        <v>52</v>
      </c>
      <c r="F34" s="11" t="n">
        <v>33</v>
      </c>
      <c r="G34" s="11" t="s">
        <v>53</v>
      </c>
      <c r="H34" s="11" t="s">
        <v>53</v>
      </c>
      <c r="I34" s="11" t="s">
        <v>53</v>
      </c>
      <c r="J34" s="11" t="s">
        <v>53</v>
      </c>
      <c r="K34" s="11" t="s">
        <v>53</v>
      </c>
      <c r="L34" s="11" t="s">
        <v>53</v>
      </c>
      <c r="M34" s="2" t="n">
        <v>20</v>
      </c>
      <c r="N34" s="11" t="s">
        <v>53</v>
      </c>
      <c r="P34" s="11" t="s">
        <v>49</v>
      </c>
      <c r="Q34" s="11" t="s">
        <v>49</v>
      </c>
      <c r="S34" s="11"/>
      <c r="T34" s="11"/>
      <c r="U34" s="11"/>
      <c r="V34" s="11"/>
      <c r="W34" s="11"/>
      <c r="X34" s="11" t="s">
        <v>54</v>
      </c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 t="s">
        <v>54</v>
      </c>
      <c r="AS34" s="11"/>
      <c r="AT34" s="11"/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/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>x</v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85</v>
      </c>
      <c r="E35" s="11" t="s">
        <v>52</v>
      </c>
      <c r="F35" s="11" t="n">
        <v>34</v>
      </c>
      <c r="G35" s="11" t="s">
        <v>53</v>
      </c>
      <c r="H35" s="11" t="s">
        <v>53</v>
      </c>
      <c r="I35" s="11" t="s">
        <v>53</v>
      </c>
      <c r="J35" s="11" t="s">
        <v>53</v>
      </c>
      <c r="K35" s="11" t="s">
        <v>53</v>
      </c>
      <c r="L35" s="11" t="s">
        <v>53</v>
      </c>
      <c r="M35" s="2" t="n">
        <v>20</v>
      </c>
      <c r="N35" s="11" t="s">
        <v>53</v>
      </c>
      <c r="P35" s="11" t="s">
        <v>49</v>
      </c>
      <c r="Q35" s="11" t="s">
        <v>49</v>
      </c>
      <c r="S35" s="11"/>
      <c r="T35" s="11"/>
      <c r="U35" s="11"/>
      <c r="V35" s="11"/>
      <c r="W35" s="11"/>
      <c r="X35" s="11" t="s">
        <v>54</v>
      </c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 t="s">
        <v>54</v>
      </c>
      <c r="AS35" s="11"/>
      <c r="AT35" s="11"/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/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>x</v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85</v>
      </c>
      <c r="E36" s="11" t="s">
        <v>52</v>
      </c>
      <c r="F36" s="11" t="n">
        <v>35</v>
      </c>
      <c r="G36" s="11" t="s">
        <v>53</v>
      </c>
      <c r="H36" s="11" t="s">
        <v>53</v>
      </c>
      <c r="I36" s="11" t="s">
        <v>53</v>
      </c>
      <c r="J36" s="11" t="s">
        <v>53</v>
      </c>
      <c r="K36" s="11" t="s">
        <v>53</v>
      </c>
      <c r="L36" s="11" t="s">
        <v>53</v>
      </c>
      <c r="M36" s="2" t="n">
        <v>20</v>
      </c>
      <c r="N36" s="11" t="s">
        <v>53</v>
      </c>
      <c r="P36" s="11" t="s">
        <v>49</v>
      </c>
      <c r="Q36" s="11" t="s">
        <v>49</v>
      </c>
      <c r="S36" s="11"/>
      <c r="T36" s="11"/>
      <c r="U36" s="11"/>
      <c r="V36" s="11"/>
      <c r="W36" s="11"/>
      <c r="X36" s="11" t="s">
        <v>54</v>
      </c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 t="s">
        <v>54</v>
      </c>
      <c r="AS36" s="11"/>
      <c r="AT36" s="11"/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/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>x</v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85</v>
      </c>
      <c r="E37" s="11" t="s">
        <v>52</v>
      </c>
      <c r="F37" s="11" t="n">
        <v>36</v>
      </c>
      <c r="G37" s="11" t="s">
        <v>53</v>
      </c>
      <c r="H37" s="11" t="s">
        <v>53</v>
      </c>
      <c r="I37" s="11" t="s">
        <v>53</v>
      </c>
      <c r="J37" s="11" t="s">
        <v>53</v>
      </c>
      <c r="K37" s="11" t="s">
        <v>53</v>
      </c>
      <c r="L37" s="11" t="s">
        <v>53</v>
      </c>
      <c r="M37" s="2" t="n">
        <v>20</v>
      </c>
      <c r="N37" s="11" t="s">
        <v>53</v>
      </c>
      <c r="P37" s="11" t="s">
        <v>49</v>
      </c>
      <c r="Q37" s="11" t="s">
        <v>49</v>
      </c>
      <c r="S37" s="11"/>
      <c r="T37" s="11"/>
      <c r="U37" s="11"/>
      <c r="V37" s="11"/>
      <c r="W37" s="11"/>
      <c r="X37" s="11" t="s">
        <v>54</v>
      </c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 t="s">
        <v>54</v>
      </c>
      <c r="AS37" s="11"/>
      <c r="AT37" s="11"/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/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>x</v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68</v>
      </c>
      <c r="E38" s="11" t="s">
        <v>52</v>
      </c>
      <c r="F38" s="11" t="n">
        <v>37</v>
      </c>
      <c r="G38" s="11" t="s">
        <v>53</v>
      </c>
      <c r="H38" s="11" t="s">
        <v>53</v>
      </c>
      <c r="I38" s="11" t="s">
        <v>53</v>
      </c>
      <c r="J38" s="11" t="s">
        <v>53</v>
      </c>
      <c r="K38" s="11" t="s">
        <v>53</v>
      </c>
      <c r="L38" s="11" t="s">
        <v>53</v>
      </c>
      <c r="M38" s="2" t="n">
        <v>20</v>
      </c>
      <c r="N38" s="11" t="s">
        <v>53</v>
      </c>
      <c r="P38" s="11" t="s">
        <v>49</v>
      </c>
      <c r="Q38" s="11" t="s">
        <v>49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 t="s">
        <v>54</v>
      </c>
      <c r="AS38" s="11"/>
      <c r="AT38" s="11"/>
      <c r="AU38" s="11"/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/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94</v>
      </c>
      <c r="D39" s="11" t="s">
        <v>68</v>
      </c>
      <c r="E39" s="11" t="s">
        <v>52</v>
      </c>
      <c r="F39" s="11" t="n">
        <v>38</v>
      </c>
      <c r="G39" s="11" t="s">
        <v>53</v>
      </c>
      <c r="H39" s="11" t="s">
        <v>53</v>
      </c>
      <c r="I39" s="11" t="s">
        <v>53</v>
      </c>
      <c r="J39" s="11" t="s">
        <v>53</v>
      </c>
      <c r="K39" s="11" t="s">
        <v>53</v>
      </c>
      <c r="L39" s="11" t="s">
        <v>53</v>
      </c>
      <c r="M39" s="2" t="n">
        <v>20</v>
      </c>
      <c r="N39" s="11" t="s">
        <v>53</v>
      </c>
      <c r="P39" s="11" t="s">
        <v>49</v>
      </c>
      <c r="Q39" s="11" t="s">
        <v>49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 t="s">
        <v>54</v>
      </c>
      <c r="AS39" s="11"/>
      <c r="AT39" s="11"/>
      <c r="AU39" s="11"/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/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95</v>
      </c>
      <c r="D40" s="11" t="s">
        <v>68</v>
      </c>
      <c r="E40" s="11" t="s">
        <v>52</v>
      </c>
      <c r="F40" s="11" t="n">
        <v>39</v>
      </c>
      <c r="G40" s="11" t="s">
        <v>53</v>
      </c>
      <c r="H40" s="11" t="s">
        <v>53</v>
      </c>
      <c r="I40" s="11" t="s">
        <v>53</v>
      </c>
      <c r="J40" s="11" t="s">
        <v>53</v>
      </c>
      <c r="K40" s="11" t="s">
        <v>53</v>
      </c>
      <c r="L40" s="11" t="s">
        <v>53</v>
      </c>
      <c r="M40" s="2" t="n">
        <v>20</v>
      </c>
      <c r="N40" s="11" t="s">
        <v>53</v>
      </c>
      <c r="P40" s="11" t="s">
        <v>49</v>
      </c>
      <c r="Q40" s="11" t="s">
        <v>49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 t="s">
        <v>54</v>
      </c>
      <c r="AS40" s="11"/>
      <c r="AT40" s="11"/>
      <c r="AU40" s="11"/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/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96</v>
      </c>
      <c r="D41" s="11" t="s">
        <v>68</v>
      </c>
      <c r="E41" s="11" t="s">
        <v>52</v>
      </c>
      <c r="F41" s="11" t="n">
        <v>40</v>
      </c>
      <c r="G41" s="11" t="s">
        <v>53</v>
      </c>
      <c r="H41" s="11" t="s">
        <v>53</v>
      </c>
      <c r="I41" s="11" t="s">
        <v>53</v>
      </c>
      <c r="J41" s="11" t="s">
        <v>53</v>
      </c>
      <c r="K41" s="11" t="s">
        <v>53</v>
      </c>
      <c r="L41" s="11" t="s">
        <v>53</v>
      </c>
      <c r="M41" s="2" t="n">
        <v>20</v>
      </c>
      <c r="N41" s="11" t="s">
        <v>53</v>
      </c>
      <c r="P41" s="11" t="s">
        <v>49</v>
      </c>
      <c r="Q41" s="11" t="s">
        <v>49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 t="s">
        <v>54</v>
      </c>
      <c r="AS41" s="11"/>
      <c r="AT41" s="11"/>
      <c r="AU41" s="11"/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/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97</v>
      </c>
      <c r="D42" s="11" t="s">
        <v>98</v>
      </c>
      <c r="E42" s="11" t="s">
        <v>52</v>
      </c>
      <c r="F42" s="11" t="n">
        <v>41</v>
      </c>
      <c r="G42" s="11" t="s">
        <v>53</v>
      </c>
      <c r="H42" s="11" t="s">
        <v>53</v>
      </c>
      <c r="I42" s="11" t="s">
        <v>53</v>
      </c>
      <c r="J42" s="11" t="s">
        <v>53</v>
      </c>
      <c r="K42" s="11" t="s">
        <v>53</v>
      </c>
      <c r="L42" s="11" t="s">
        <v>53</v>
      </c>
      <c r="M42" s="2" t="n">
        <v>20</v>
      </c>
      <c r="N42" s="11" t="s">
        <v>53</v>
      </c>
      <c r="P42" s="11" t="s">
        <v>49</v>
      </c>
      <c r="Q42" s="11" t="s">
        <v>49</v>
      </c>
      <c r="S42" s="11"/>
      <c r="T42" s="11"/>
      <c r="U42" s="11"/>
      <c r="V42" s="11"/>
      <c r="W42" s="11"/>
      <c r="X42" s="11"/>
      <c r="Y42" s="11" t="s">
        <v>54</v>
      </c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 t="s">
        <v>54</v>
      </c>
      <c r="AT42" s="11"/>
      <c r="AU42" s="11"/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/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>x</v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98</v>
      </c>
      <c r="E43" s="11" t="s">
        <v>52</v>
      </c>
      <c r="F43" s="11" t="n">
        <v>42</v>
      </c>
      <c r="G43" s="11" t="s">
        <v>53</v>
      </c>
      <c r="H43" s="11" t="s">
        <v>53</v>
      </c>
      <c r="I43" s="11" t="s">
        <v>53</v>
      </c>
      <c r="J43" s="11" t="s">
        <v>53</v>
      </c>
      <c r="K43" s="11" t="s">
        <v>53</v>
      </c>
      <c r="L43" s="11" t="s">
        <v>53</v>
      </c>
      <c r="M43" s="2" t="n">
        <v>20</v>
      </c>
      <c r="N43" s="11" t="s">
        <v>53</v>
      </c>
      <c r="P43" s="11" t="s">
        <v>49</v>
      </c>
      <c r="Q43" s="11" t="s">
        <v>49</v>
      </c>
      <c r="S43" s="11"/>
      <c r="T43" s="11"/>
      <c r="U43" s="11"/>
      <c r="V43" s="11"/>
      <c r="W43" s="11"/>
      <c r="X43" s="11"/>
      <c r="Y43" s="11" t="s">
        <v>54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 t="s">
        <v>54</v>
      </c>
      <c r="AT43" s="11"/>
      <c r="AU43" s="11"/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/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>x</v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98</v>
      </c>
      <c r="E44" s="11" t="s">
        <v>52</v>
      </c>
      <c r="F44" s="11" t="n">
        <v>43</v>
      </c>
      <c r="G44" s="11" t="s">
        <v>53</v>
      </c>
      <c r="H44" s="11" t="s">
        <v>53</v>
      </c>
      <c r="I44" s="11" t="s">
        <v>53</v>
      </c>
      <c r="J44" s="11" t="s">
        <v>53</v>
      </c>
      <c r="K44" s="11" t="s">
        <v>53</v>
      </c>
      <c r="L44" s="11" t="s">
        <v>53</v>
      </c>
      <c r="M44" s="2" t="n">
        <v>20</v>
      </c>
      <c r="N44" s="11" t="s">
        <v>53</v>
      </c>
      <c r="P44" s="11" t="s">
        <v>49</v>
      </c>
      <c r="Q44" s="11" t="s">
        <v>49</v>
      </c>
      <c r="S44" s="11"/>
      <c r="T44" s="11"/>
      <c r="U44" s="11"/>
      <c r="V44" s="11"/>
      <c r="W44" s="11"/>
      <c r="X44" s="11"/>
      <c r="Y44" s="11" t="s">
        <v>54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 t="s">
        <v>54</v>
      </c>
      <c r="AT44" s="11"/>
      <c r="AU44" s="11"/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/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>x</v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98</v>
      </c>
      <c r="E45" s="11" t="s">
        <v>52</v>
      </c>
      <c r="F45" s="11" t="n">
        <v>44</v>
      </c>
      <c r="G45" s="11" t="s">
        <v>53</v>
      </c>
      <c r="H45" s="11" t="s">
        <v>53</v>
      </c>
      <c r="I45" s="11" t="s">
        <v>53</v>
      </c>
      <c r="J45" s="11" t="s">
        <v>53</v>
      </c>
      <c r="K45" s="11" t="s">
        <v>53</v>
      </c>
      <c r="L45" s="11" t="s">
        <v>53</v>
      </c>
      <c r="M45" s="2" t="n">
        <v>20</v>
      </c>
      <c r="N45" s="11" t="s">
        <v>53</v>
      </c>
      <c r="P45" s="11" t="s">
        <v>49</v>
      </c>
      <c r="Q45" s="11" t="s">
        <v>49</v>
      </c>
      <c r="S45" s="11"/>
      <c r="T45" s="11"/>
      <c r="U45" s="11"/>
      <c r="V45" s="11"/>
      <c r="W45" s="11"/>
      <c r="X45" s="11"/>
      <c r="Y45" s="11" t="s">
        <v>54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 t="s">
        <v>54</v>
      </c>
      <c r="AT45" s="11"/>
      <c r="AU45" s="11"/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/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>x</v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103</v>
      </c>
      <c r="E46" s="11" t="s">
        <v>52</v>
      </c>
      <c r="F46" s="11" t="n">
        <v>45</v>
      </c>
      <c r="G46" s="11" t="s">
        <v>53</v>
      </c>
      <c r="H46" s="11" t="s">
        <v>53</v>
      </c>
      <c r="I46" s="11" t="s">
        <v>53</v>
      </c>
      <c r="J46" s="11" t="s">
        <v>53</v>
      </c>
      <c r="K46" s="11" t="s">
        <v>53</v>
      </c>
      <c r="L46" s="11" t="s">
        <v>53</v>
      </c>
      <c r="M46" s="2" t="n">
        <v>20</v>
      </c>
      <c r="N46" s="11" t="s">
        <v>53</v>
      </c>
      <c r="P46" s="11" t="s">
        <v>49</v>
      </c>
      <c r="Q46" s="11" t="s">
        <v>49</v>
      </c>
      <c r="S46" s="11"/>
      <c r="T46" s="11"/>
      <c r="U46" s="11"/>
      <c r="V46" s="11"/>
      <c r="W46" s="11"/>
      <c r="X46" s="11"/>
      <c r="Y46" s="11"/>
      <c r="Z46" s="11" t="s">
        <v>54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 t="s">
        <v>54</v>
      </c>
      <c r="AT46" s="11"/>
      <c r="AU46" s="11"/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/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>x</v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104</v>
      </c>
      <c r="D47" s="11" t="s">
        <v>103</v>
      </c>
      <c r="E47" s="11" t="s">
        <v>52</v>
      </c>
      <c r="F47" s="11" t="n">
        <v>46</v>
      </c>
      <c r="G47" s="11" t="s">
        <v>53</v>
      </c>
      <c r="H47" s="11" t="s">
        <v>53</v>
      </c>
      <c r="I47" s="11" t="s">
        <v>53</v>
      </c>
      <c r="J47" s="11" t="s">
        <v>53</v>
      </c>
      <c r="K47" s="11" t="s">
        <v>53</v>
      </c>
      <c r="L47" s="11" t="s">
        <v>53</v>
      </c>
      <c r="M47" s="2" t="n">
        <v>20</v>
      </c>
      <c r="N47" s="11" t="s">
        <v>53</v>
      </c>
      <c r="P47" s="11" t="s">
        <v>49</v>
      </c>
      <c r="Q47" s="11" t="s">
        <v>49</v>
      </c>
      <c r="S47" s="11"/>
      <c r="T47" s="11"/>
      <c r="U47" s="11"/>
      <c r="V47" s="11"/>
      <c r="W47" s="11"/>
      <c r="X47" s="11"/>
      <c r="Y47" s="11"/>
      <c r="Z47" s="11" t="s">
        <v>54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 t="s">
        <v>54</v>
      </c>
      <c r="AT47" s="11"/>
      <c r="AU47" s="11"/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/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>x</v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105</v>
      </c>
      <c r="D48" s="11" t="s">
        <v>103</v>
      </c>
      <c r="E48" s="11" t="s">
        <v>52</v>
      </c>
      <c r="F48" s="11" t="n">
        <v>47</v>
      </c>
      <c r="G48" s="11" t="s">
        <v>53</v>
      </c>
      <c r="H48" s="11" t="s">
        <v>53</v>
      </c>
      <c r="I48" s="11" t="s">
        <v>53</v>
      </c>
      <c r="J48" s="11" t="s">
        <v>53</v>
      </c>
      <c r="K48" s="11" t="s">
        <v>53</v>
      </c>
      <c r="L48" s="11" t="s">
        <v>53</v>
      </c>
      <c r="M48" s="2" t="n">
        <v>20</v>
      </c>
      <c r="N48" s="11" t="s">
        <v>53</v>
      </c>
      <c r="P48" s="11" t="s">
        <v>49</v>
      </c>
      <c r="Q48" s="11" t="s">
        <v>49</v>
      </c>
      <c r="S48" s="11"/>
      <c r="T48" s="11"/>
      <c r="U48" s="11"/>
      <c r="V48" s="11"/>
      <c r="W48" s="11"/>
      <c r="X48" s="11"/>
      <c r="Y48" s="11"/>
      <c r="Z48" s="11" t="s">
        <v>54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 t="s">
        <v>54</v>
      </c>
      <c r="AT48" s="11"/>
      <c r="AU48" s="11"/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/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>x</v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106</v>
      </c>
      <c r="D49" s="11" t="s">
        <v>103</v>
      </c>
      <c r="E49" s="11" t="s">
        <v>52</v>
      </c>
      <c r="F49" s="11" t="n">
        <v>48</v>
      </c>
      <c r="G49" s="11" t="s">
        <v>53</v>
      </c>
      <c r="H49" s="11" t="s">
        <v>53</v>
      </c>
      <c r="I49" s="11" t="s">
        <v>53</v>
      </c>
      <c r="J49" s="11" t="s">
        <v>53</v>
      </c>
      <c r="K49" s="11" t="s">
        <v>53</v>
      </c>
      <c r="L49" s="11" t="s">
        <v>53</v>
      </c>
      <c r="M49" s="2" t="n">
        <v>20</v>
      </c>
      <c r="N49" s="11" t="s">
        <v>53</v>
      </c>
      <c r="P49" s="11" t="s">
        <v>49</v>
      </c>
      <c r="Q49" s="11" t="s">
        <v>49</v>
      </c>
      <c r="S49" s="11"/>
      <c r="T49" s="11"/>
      <c r="U49" s="11"/>
      <c r="V49" s="11"/>
      <c r="W49" s="11"/>
      <c r="X49" s="11"/>
      <c r="Y49" s="11"/>
      <c r="Z49" s="11" t="s">
        <v>54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 t="s">
        <v>54</v>
      </c>
      <c r="AT49" s="11"/>
      <c r="AU49" s="11"/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/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>x</v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" t="s">
        <v>53</v>
      </c>
      <c r="D50" s="11" t="s">
        <v>68</v>
      </c>
      <c r="E50" s="11" t="s">
        <v>52</v>
      </c>
      <c r="F50" s="11" t="n">
        <v>49</v>
      </c>
      <c r="G50" s="11" t="s">
        <v>53</v>
      </c>
      <c r="H50" s="11" t="s">
        <v>53</v>
      </c>
      <c r="I50" s="11" t="s">
        <v>53</v>
      </c>
      <c r="J50" s="11" t="s">
        <v>53</v>
      </c>
      <c r="K50" s="11" t="s">
        <v>53</v>
      </c>
      <c r="L50" s="11" t="s">
        <v>53</v>
      </c>
      <c r="M50" s="2" t="n">
        <v>20</v>
      </c>
      <c r="N50" s="11" t="s">
        <v>53</v>
      </c>
      <c r="P50" s="11" t="s">
        <v>49</v>
      </c>
      <c r="Q50" s="11" t="s">
        <v>49</v>
      </c>
      <c r="S50" s="11" t="s">
        <v>53</v>
      </c>
      <c r="T50" s="11" t="s">
        <v>53</v>
      </c>
      <c r="U50" s="11" t="s">
        <v>53</v>
      </c>
      <c r="V50" s="11" t="s">
        <v>53</v>
      </c>
      <c r="W50" s="11" t="s">
        <v>53</v>
      </c>
      <c r="X50" s="11" t="s">
        <v>53</v>
      </c>
      <c r="Y50" s="11" t="s">
        <v>53</v>
      </c>
      <c r="Z50" s="11" t="s">
        <v>53</v>
      </c>
      <c r="AA50" s="11" t="s">
        <v>53</v>
      </c>
      <c r="AB50" s="11" t="s">
        <v>53</v>
      </c>
      <c r="AC50" s="11" t="s">
        <v>53</v>
      </c>
      <c r="AD50" s="11" t="s">
        <v>53</v>
      </c>
      <c r="AE50" s="11" t="s">
        <v>53</v>
      </c>
      <c r="AF50" s="11" t="s">
        <v>53</v>
      </c>
      <c r="AG50" s="11" t="s">
        <v>53</v>
      </c>
      <c r="AH50" s="11" t="s">
        <v>53</v>
      </c>
      <c r="AI50" s="11" t="s">
        <v>53</v>
      </c>
      <c r="AJ50" s="11" t="s">
        <v>53</v>
      </c>
      <c r="AK50" s="11" t="s">
        <v>53</v>
      </c>
      <c r="AL50" s="11" t="s">
        <v>53</v>
      </c>
      <c r="AM50" s="11" t="s">
        <v>53</v>
      </c>
      <c r="AN50" s="11" t="s">
        <v>53</v>
      </c>
      <c r="AO50" s="11" t="s">
        <v>53</v>
      </c>
      <c r="AP50" s="11" t="s">
        <v>53</v>
      </c>
      <c r="AR50" s="11" t="s">
        <v>53</v>
      </c>
      <c r="AS50" s="11" t="s">
        <v>53</v>
      </c>
      <c r="AT50" s="11" t="s">
        <v>53</v>
      </c>
      <c r="AU50" s="11" t="s">
        <v>53</v>
      </c>
      <c r="AV50" s="11" t="s">
        <v>53</v>
      </c>
      <c r="AW50" s="11" t="s">
        <v>53</v>
      </c>
      <c r="AX50" s="11" t="s">
        <v>53</v>
      </c>
      <c r="AY50" s="11" t="s">
        <v>53</v>
      </c>
      <c r="BA50" s="2" t="str">
        <f aca="false">IF(S50="x","x",IF(S50="-","-",""))</f>
        <v>-</v>
      </c>
      <c r="BB50" s="2" t="str">
        <f aca="false">IF(T50="x","x",IF(T50="-","-",""))</f>
        <v>-</v>
      </c>
      <c r="BC50" s="2" t="str">
        <f aca="false">IF(U50="x","x",IF(U50="-","-",""))</f>
        <v>-</v>
      </c>
      <c r="BD50" s="2" t="str">
        <f aca="false">IF(V50="x","x",IF(V50="-","-",""))</f>
        <v>-</v>
      </c>
      <c r="BE50" s="2" t="str">
        <f aca="false">IF(W50="x","x",IF(W50="-","-",""))</f>
        <v>-</v>
      </c>
      <c r="BF50" s="2" t="str">
        <f aca="false">IF(X50="x","x",IF(X50="-","-",""))</f>
        <v>-</v>
      </c>
      <c r="BG50" s="2" t="str">
        <f aca="false">IF(Y50="x","x",IF(Y50="-","-",""))</f>
        <v>-</v>
      </c>
      <c r="BH50" s="2" t="str">
        <f aca="false">IF(Z50="x","x",IF(Z50="-","-",""))</f>
        <v>-</v>
      </c>
      <c r="BI50" s="2" t="str">
        <f aca="false">IF(AA50="x","x",IF(AA50="-","-",""))</f>
        <v>-</v>
      </c>
      <c r="BJ50" s="2" t="str">
        <f aca="false">IF(AB50="x","x",IF(AB50="-","-",""))</f>
        <v>-</v>
      </c>
      <c r="BK50" s="2" t="str">
        <f aca="false">IF(AC50="x","x",IF(AC50="-","-",""))</f>
        <v>-</v>
      </c>
      <c r="BL50" s="2" t="str">
        <f aca="false">IF(AD50="x","x",IF(AD50="-","-",""))</f>
        <v>-</v>
      </c>
      <c r="BM50" s="2" t="str">
        <f aca="false">IF(AE50="x","x",IF(AE50="-","-",""))</f>
        <v>-</v>
      </c>
      <c r="BN50" s="2" t="str">
        <f aca="false">IF(AF50="x","x",IF(AF50="-","-",""))</f>
        <v>-</v>
      </c>
      <c r="BO50" s="2" t="str">
        <f aca="false">IF(AG50="x","x",IF(AG50="-","-",""))</f>
        <v>-</v>
      </c>
      <c r="BP50" s="2" t="str">
        <f aca="false">IF(AH50="x","x",IF(AH50="-","-",""))</f>
        <v>-</v>
      </c>
      <c r="BQ50" s="2" t="str">
        <f aca="false">IF(AI50="x","x",IF(AI50="-","-",""))</f>
        <v>-</v>
      </c>
      <c r="BR50" s="2" t="str">
        <f aca="false">IF(AJ50="x","x",IF(AJ50="-","-",""))</f>
        <v>-</v>
      </c>
      <c r="BS50" s="2" t="str">
        <f aca="false">IF(AK50="x","x",IF(AK50="-","-",""))</f>
        <v>-</v>
      </c>
      <c r="BT50" s="2" t="str">
        <f aca="false">IF(AL50="x","x",IF(AL50="-","-",""))</f>
        <v>-</v>
      </c>
      <c r="BU50" s="2" t="str">
        <f aca="false">IF(AM50="x","x",IF(AM50="-","-",""))</f>
        <v>-</v>
      </c>
      <c r="BV50" s="2" t="str">
        <f aca="false">IF(AN50="x","x",IF(AN50="-","-",""))</f>
        <v>-</v>
      </c>
      <c r="BW50" s="2" t="str">
        <f aca="false">IF(AO50="x","x",IF(AO50="-","-",""))</f>
        <v>-</v>
      </c>
      <c r="BX50" s="2" t="str">
        <f aca="false">IF(AP50="x","x",IF(AP50="-","-",""))</f>
        <v>-</v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" t="s">
        <v>53</v>
      </c>
      <c r="D51" s="11" t="s">
        <v>68</v>
      </c>
      <c r="E51" s="11" t="s">
        <v>52</v>
      </c>
      <c r="F51" s="11" t="n">
        <v>50</v>
      </c>
      <c r="G51" s="11" t="s">
        <v>53</v>
      </c>
      <c r="H51" s="11" t="s">
        <v>53</v>
      </c>
      <c r="I51" s="11" t="s">
        <v>53</v>
      </c>
      <c r="J51" s="11" t="s">
        <v>53</v>
      </c>
      <c r="K51" s="11" t="s">
        <v>53</v>
      </c>
      <c r="L51" s="11" t="s">
        <v>53</v>
      </c>
      <c r="M51" s="2" t="n">
        <v>20</v>
      </c>
      <c r="N51" s="11" t="s">
        <v>53</v>
      </c>
      <c r="P51" s="11" t="s">
        <v>49</v>
      </c>
      <c r="Q51" s="11" t="s">
        <v>49</v>
      </c>
      <c r="S51" s="11" t="s">
        <v>53</v>
      </c>
      <c r="T51" s="11" t="s">
        <v>53</v>
      </c>
      <c r="U51" s="11" t="s">
        <v>53</v>
      </c>
      <c r="V51" s="11" t="s">
        <v>53</v>
      </c>
      <c r="W51" s="11" t="s">
        <v>53</v>
      </c>
      <c r="X51" s="11" t="s">
        <v>53</v>
      </c>
      <c r="Y51" s="11" t="s">
        <v>53</v>
      </c>
      <c r="Z51" s="11" t="s">
        <v>53</v>
      </c>
      <c r="AA51" s="11" t="s">
        <v>53</v>
      </c>
      <c r="AB51" s="11" t="s">
        <v>53</v>
      </c>
      <c r="AC51" s="11" t="s">
        <v>53</v>
      </c>
      <c r="AD51" s="11" t="s">
        <v>53</v>
      </c>
      <c r="AE51" s="11" t="s">
        <v>53</v>
      </c>
      <c r="AF51" s="11" t="s">
        <v>53</v>
      </c>
      <c r="AG51" s="11" t="s">
        <v>53</v>
      </c>
      <c r="AH51" s="11" t="s">
        <v>53</v>
      </c>
      <c r="AI51" s="11" t="s">
        <v>53</v>
      </c>
      <c r="AJ51" s="11" t="s">
        <v>53</v>
      </c>
      <c r="AK51" s="11" t="s">
        <v>53</v>
      </c>
      <c r="AL51" s="11" t="s">
        <v>53</v>
      </c>
      <c r="AM51" s="11" t="s">
        <v>53</v>
      </c>
      <c r="AN51" s="11" t="s">
        <v>53</v>
      </c>
      <c r="AO51" s="11" t="s">
        <v>53</v>
      </c>
      <c r="AP51" s="11" t="s">
        <v>53</v>
      </c>
      <c r="AR51" s="11" t="s">
        <v>53</v>
      </c>
      <c r="AS51" s="11" t="s">
        <v>53</v>
      </c>
      <c r="AT51" s="11" t="s">
        <v>53</v>
      </c>
      <c r="AU51" s="11" t="s">
        <v>53</v>
      </c>
      <c r="AV51" s="11" t="s">
        <v>53</v>
      </c>
      <c r="AW51" s="11" t="s">
        <v>53</v>
      </c>
      <c r="AX51" s="11" t="s">
        <v>53</v>
      </c>
      <c r="AY51" s="11" t="s">
        <v>53</v>
      </c>
      <c r="BA51" s="2" t="str">
        <f aca="false">IF(S51="x","x",IF(S51="-","-",""))</f>
        <v>-</v>
      </c>
      <c r="BB51" s="2" t="str">
        <f aca="false">IF(T51="x","x",IF(T51="-","-",""))</f>
        <v>-</v>
      </c>
      <c r="BC51" s="2" t="str">
        <f aca="false">IF(U51="x","x",IF(U51="-","-",""))</f>
        <v>-</v>
      </c>
      <c r="BD51" s="2" t="str">
        <f aca="false">IF(V51="x","x",IF(V51="-","-",""))</f>
        <v>-</v>
      </c>
      <c r="BE51" s="2" t="str">
        <f aca="false">IF(W51="x","x",IF(W51="-","-",""))</f>
        <v>-</v>
      </c>
      <c r="BF51" s="2" t="str">
        <f aca="false">IF(X51="x","x",IF(X51="-","-",""))</f>
        <v>-</v>
      </c>
      <c r="BG51" s="2" t="str">
        <f aca="false">IF(Y51="x","x",IF(Y51="-","-",""))</f>
        <v>-</v>
      </c>
      <c r="BH51" s="2" t="str">
        <f aca="false">IF(Z51="x","x",IF(Z51="-","-",""))</f>
        <v>-</v>
      </c>
      <c r="BI51" s="2" t="str">
        <f aca="false">IF(AA51="x","x",IF(AA51="-","-",""))</f>
        <v>-</v>
      </c>
      <c r="BJ51" s="2" t="str">
        <f aca="false">IF(AB51="x","x",IF(AB51="-","-",""))</f>
        <v>-</v>
      </c>
      <c r="BK51" s="2" t="str">
        <f aca="false">IF(AC51="x","x",IF(AC51="-","-",""))</f>
        <v>-</v>
      </c>
      <c r="BL51" s="2" t="str">
        <f aca="false">IF(AD51="x","x",IF(AD51="-","-",""))</f>
        <v>-</v>
      </c>
      <c r="BM51" s="2" t="str">
        <f aca="false">IF(AE51="x","x",IF(AE51="-","-",""))</f>
        <v>-</v>
      </c>
      <c r="BN51" s="2" t="str">
        <f aca="false">IF(AF51="x","x",IF(AF51="-","-",""))</f>
        <v>-</v>
      </c>
      <c r="BO51" s="2" t="str">
        <f aca="false">IF(AG51="x","x",IF(AG51="-","-",""))</f>
        <v>-</v>
      </c>
      <c r="BP51" s="2" t="str">
        <f aca="false">IF(AH51="x","x",IF(AH51="-","-",""))</f>
        <v>-</v>
      </c>
      <c r="BQ51" s="2" t="str">
        <f aca="false">IF(AI51="x","x",IF(AI51="-","-",""))</f>
        <v>-</v>
      </c>
      <c r="BR51" s="2" t="str">
        <f aca="false">IF(AJ51="x","x",IF(AJ51="-","-",""))</f>
        <v>-</v>
      </c>
      <c r="BS51" s="2" t="str">
        <f aca="false">IF(AK51="x","x",IF(AK51="-","-",""))</f>
        <v>-</v>
      </c>
      <c r="BT51" s="2" t="str">
        <f aca="false">IF(AL51="x","x",IF(AL51="-","-",""))</f>
        <v>-</v>
      </c>
      <c r="BU51" s="2" t="str">
        <f aca="false">IF(AM51="x","x",IF(AM51="-","-",""))</f>
        <v>-</v>
      </c>
      <c r="BV51" s="2" t="str">
        <f aca="false">IF(AN51="x","x",IF(AN51="-","-",""))</f>
        <v>-</v>
      </c>
      <c r="BW51" s="2" t="str">
        <f aca="false">IF(AO51="x","x",IF(AO51="-","-",""))</f>
        <v>-</v>
      </c>
      <c r="BX51" s="2" t="str">
        <f aca="false">IF(AP51="x","x",IF(AP51="-","-",""))</f>
        <v>-</v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" t="s">
        <v>53</v>
      </c>
      <c r="D52" s="11" t="s">
        <v>68</v>
      </c>
      <c r="E52" s="11" t="s">
        <v>52</v>
      </c>
      <c r="F52" s="11" t="n">
        <v>51</v>
      </c>
      <c r="G52" s="11" t="s">
        <v>53</v>
      </c>
      <c r="H52" s="11" t="s">
        <v>53</v>
      </c>
      <c r="I52" s="11" t="s">
        <v>53</v>
      </c>
      <c r="J52" s="11" t="s">
        <v>53</v>
      </c>
      <c r="K52" s="11" t="s">
        <v>53</v>
      </c>
      <c r="L52" s="11" t="s">
        <v>53</v>
      </c>
      <c r="M52" s="2" t="n">
        <v>20</v>
      </c>
      <c r="N52" s="11" t="s">
        <v>53</v>
      </c>
      <c r="P52" s="11" t="s">
        <v>49</v>
      </c>
      <c r="Q52" s="11" t="s">
        <v>49</v>
      </c>
      <c r="S52" s="11" t="s">
        <v>53</v>
      </c>
      <c r="T52" s="11" t="s">
        <v>53</v>
      </c>
      <c r="U52" s="11" t="s">
        <v>53</v>
      </c>
      <c r="V52" s="11" t="s">
        <v>53</v>
      </c>
      <c r="W52" s="11" t="s">
        <v>53</v>
      </c>
      <c r="X52" s="11" t="s">
        <v>53</v>
      </c>
      <c r="Y52" s="11" t="s">
        <v>53</v>
      </c>
      <c r="Z52" s="11" t="s">
        <v>53</v>
      </c>
      <c r="AA52" s="11" t="s">
        <v>53</v>
      </c>
      <c r="AB52" s="11" t="s">
        <v>53</v>
      </c>
      <c r="AC52" s="11" t="s">
        <v>53</v>
      </c>
      <c r="AD52" s="11" t="s">
        <v>53</v>
      </c>
      <c r="AE52" s="11" t="s">
        <v>53</v>
      </c>
      <c r="AF52" s="11" t="s">
        <v>53</v>
      </c>
      <c r="AG52" s="11" t="s">
        <v>53</v>
      </c>
      <c r="AH52" s="11" t="s">
        <v>53</v>
      </c>
      <c r="AI52" s="11" t="s">
        <v>53</v>
      </c>
      <c r="AJ52" s="11" t="s">
        <v>53</v>
      </c>
      <c r="AK52" s="11" t="s">
        <v>53</v>
      </c>
      <c r="AL52" s="11" t="s">
        <v>53</v>
      </c>
      <c r="AM52" s="11" t="s">
        <v>53</v>
      </c>
      <c r="AN52" s="11" t="s">
        <v>53</v>
      </c>
      <c r="AO52" s="11" t="s">
        <v>53</v>
      </c>
      <c r="AP52" s="11" t="s">
        <v>53</v>
      </c>
      <c r="AR52" s="11" t="s">
        <v>53</v>
      </c>
      <c r="AS52" s="11" t="s">
        <v>53</v>
      </c>
      <c r="AT52" s="11" t="s">
        <v>53</v>
      </c>
      <c r="AU52" s="11" t="s">
        <v>53</v>
      </c>
      <c r="AV52" s="11" t="s">
        <v>53</v>
      </c>
      <c r="AW52" s="11" t="s">
        <v>53</v>
      </c>
      <c r="AX52" s="11" t="s">
        <v>53</v>
      </c>
      <c r="AY52" s="11" t="s">
        <v>53</v>
      </c>
      <c r="BA52" s="2" t="str">
        <f aca="false">IF(S52="x","x",IF(S52="-","-",""))</f>
        <v>-</v>
      </c>
      <c r="BB52" s="2" t="str">
        <f aca="false">IF(T52="x","x",IF(T52="-","-",""))</f>
        <v>-</v>
      </c>
      <c r="BC52" s="2" t="str">
        <f aca="false">IF(U52="x","x",IF(U52="-","-",""))</f>
        <v>-</v>
      </c>
      <c r="BD52" s="2" t="str">
        <f aca="false">IF(V52="x","x",IF(V52="-","-",""))</f>
        <v>-</v>
      </c>
      <c r="BE52" s="2" t="str">
        <f aca="false">IF(W52="x","x",IF(W52="-","-",""))</f>
        <v>-</v>
      </c>
      <c r="BF52" s="2" t="str">
        <f aca="false">IF(X52="x","x",IF(X52="-","-",""))</f>
        <v>-</v>
      </c>
      <c r="BG52" s="2" t="str">
        <f aca="false">IF(Y52="x","x",IF(Y52="-","-",""))</f>
        <v>-</v>
      </c>
      <c r="BH52" s="2" t="str">
        <f aca="false">IF(Z52="x","x",IF(Z52="-","-",""))</f>
        <v>-</v>
      </c>
      <c r="BI52" s="2" t="str">
        <f aca="false">IF(AA52="x","x",IF(AA52="-","-",""))</f>
        <v>-</v>
      </c>
      <c r="BJ52" s="2" t="str">
        <f aca="false">IF(AB52="x","x",IF(AB52="-","-",""))</f>
        <v>-</v>
      </c>
      <c r="BK52" s="2" t="str">
        <f aca="false">IF(AC52="x","x",IF(AC52="-","-",""))</f>
        <v>-</v>
      </c>
      <c r="BL52" s="2" t="str">
        <f aca="false">IF(AD52="x","x",IF(AD52="-","-",""))</f>
        <v>-</v>
      </c>
      <c r="BM52" s="2" t="str">
        <f aca="false">IF(AE52="x","x",IF(AE52="-","-",""))</f>
        <v>-</v>
      </c>
      <c r="BN52" s="2" t="str">
        <f aca="false">IF(AF52="x","x",IF(AF52="-","-",""))</f>
        <v>-</v>
      </c>
      <c r="BO52" s="2" t="str">
        <f aca="false">IF(AG52="x","x",IF(AG52="-","-",""))</f>
        <v>-</v>
      </c>
      <c r="BP52" s="2" t="str">
        <f aca="false">IF(AH52="x","x",IF(AH52="-","-",""))</f>
        <v>-</v>
      </c>
      <c r="BQ52" s="2" t="str">
        <f aca="false">IF(AI52="x","x",IF(AI52="-","-",""))</f>
        <v>-</v>
      </c>
      <c r="BR52" s="2" t="str">
        <f aca="false">IF(AJ52="x","x",IF(AJ52="-","-",""))</f>
        <v>-</v>
      </c>
      <c r="BS52" s="2" t="str">
        <f aca="false">IF(AK52="x","x",IF(AK52="-","-",""))</f>
        <v>-</v>
      </c>
      <c r="BT52" s="2" t="str">
        <f aca="false">IF(AL52="x","x",IF(AL52="-","-",""))</f>
        <v>-</v>
      </c>
      <c r="BU52" s="2" t="str">
        <f aca="false">IF(AM52="x","x",IF(AM52="-","-",""))</f>
        <v>-</v>
      </c>
      <c r="BV52" s="2" t="str">
        <f aca="false">IF(AN52="x","x",IF(AN52="-","-",""))</f>
        <v>-</v>
      </c>
      <c r="BW52" s="2" t="str">
        <f aca="false">IF(AO52="x","x",IF(AO52="-","-",""))</f>
        <v>-</v>
      </c>
      <c r="BX52" s="2" t="str">
        <f aca="false">IF(AP52="x","x",IF(AP52="-","-",""))</f>
        <v>-</v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" t="s">
        <v>53</v>
      </c>
      <c r="D53" s="11" t="s">
        <v>68</v>
      </c>
      <c r="E53" s="11" t="s">
        <v>52</v>
      </c>
      <c r="F53" s="11" t="n">
        <v>52</v>
      </c>
      <c r="G53" s="11" t="s">
        <v>53</v>
      </c>
      <c r="H53" s="11" t="s">
        <v>53</v>
      </c>
      <c r="I53" s="11" t="s">
        <v>53</v>
      </c>
      <c r="J53" s="11" t="s">
        <v>53</v>
      </c>
      <c r="K53" s="11" t="s">
        <v>53</v>
      </c>
      <c r="L53" s="11" t="s">
        <v>53</v>
      </c>
      <c r="M53" s="2" t="n">
        <v>20</v>
      </c>
      <c r="N53" s="11" t="s">
        <v>53</v>
      </c>
      <c r="P53" s="11" t="s">
        <v>49</v>
      </c>
      <c r="Q53" s="11" t="s">
        <v>49</v>
      </c>
      <c r="S53" s="11" t="s">
        <v>53</v>
      </c>
      <c r="T53" s="11" t="s">
        <v>53</v>
      </c>
      <c r="U53" s="11" t="s">
        <v>53</v>
      </c>
      <c r="V53" s="11" t="s">
        <v>53</v>
      </c>
      <c r="W53" s="11" t="s">
        <v>53</v>
      </c>
      <c r="X53" s="11" t="s">
        <v>53</v>
      </c>
      <c r="Y53" s="11" t="s">
        <v>53</v>
      </c>
      <c r="Z53" s="11" t="s">
        <v>53</v>
      </c>
      <c r="AA53" s="11" t="s">
        <v>53</v>
      </c>
      <c r="AB53" s="11" t="s">
        <v>53</v>
      </c>
      <c r="AC53" s="11" t="s">
        <v>53</v>
      </c>
      <c r="AD53" s="11" t="s">
        <v>53</v>
      </c>
      <c r="AE53" s="11" t="s">
        <v>53</v>
      </c>
      <c r="AF53" s="11" t="s">
        <v>53</v>
      </c>
      <c r="AG53" s="11" t="s">
        <v>53</v>
      </c>
      <c r="AH53" s="11" t="s">
        <v>53</v>
      </c>
      <c r="AI53" s="11" t="s">
        <v>53</v>
      </c>
      <c r="AJ53" s="11" t="s">
        <v>53</v>
      </c>
      <c r="AK53" s="11" t="s">
        <v>53</v>
      </c>
      <c r="AL53" s="11" t="s">
        <v>53</v>
      </c>
      <c r="AM53" s="11" t="s">
        <v>53</v>
      </c>
      <c r="AN53" s="11" t="s">
        <v>53</v>
      </c>
      <c r="AO53" s="11" t="s">
        <v>53</v>
      </c>
      <c r="AP53" s="11" t="s">
        <v>53</v>
      </c>
      <c r="AR53" s="11" t="s">
        <v>53</v>
      </c>
      <c r="AS53" s="11" t="s">
        <v>53</v>
      </c>
      <c r="AT53" s="11" t="s">
        <v>53</v>
      </c>
      <c r="AU53" s="11" t="s">
        <v>53</v>
      </c>
      <c r="AV53" s="11" t="s">
        <v>53</v>
      </c>
      <c r="AW53" s="11" t="s">
        <v>53</v>
      </c>
      <c r="AX53" s="11" t="s">
        <v>53</v>
      </c>
      <c r="AY53" s="11" t="s">
        <v>53</v>
      </c>
      <c r="BA53" s="2" t="str">
        <f aca="false">IF(S53="x","x",IF(S53="-","-",""))</f>
        <v>-</v>
      </c>
      <c r="BB53" s="2" t="str">
        <f aca="false">IF(T53="x","x",IF(T53="-","-",""))</f>
        <v>-</v>
      </c>
      <c r="BC53" s="2" t="str">
        <f aca="false">IF(U53="x","x",IF(U53="-","-",""))</f>
        <v>-</v>
      </c>
      <c r="BD53" s="2" t="str">
        <f aca="false">IF(V53="x","x",IF(V53="-","-",""))</f>
        <v>-</v>
      </c>
      <c r="BE53" s="2" t="str">
        <f aca="false">IF(W53="x","x",IF(W53="-","-",""))</f>
        <v>-</v>
      </c>
      <c r="BF53" s="2" t="str">
        <f aca="false">IF(X53="x","x",IF(X53="-","-",""))</f>
        <v>-</v>
      </c>
      <c r="BG53" s="2" t="str">
        <f aca="false">IF(Y53="x","x",IF(Y53="-","-",""))</f>
        <v>-</v>
      </c>
      <c r="BH53" s="2" t="str">
        <f aca="false">IF(Z53="x","x",IF(Z53="-","-",""))</f>
        <v>-</v>
      </c>
      <c r="BI53" s="2" t="str">
        <f aca="false">IF(AA53="x","x",IF(AA53="-","-",""))</f>
        <v>-</v>
      </c>
      <c r="BJ53" s="2" t="str">
        <f aca="false">IF(AB53="x","x",IF(AB53="-","-",""))</f>
        <v>-</v>
      </c>
      <c r="BK53" s="2" t="str">
        <f aca="false">IF(AC53="x","x",IF(AC53="-","-",""))</f>
        <v>-</v>
      </c>
      <c r="BL53" s="2" t="str">
        <f aca="false">IF(AD53="x","x",IF(AD53="-","-",""))</f>
        <v>-</v>
      </c>
      <c r="BM53" s="2" t="str">
        <f aca="false">IF(AE53="x","x",IF(AE53="-","-",""))</f>
        <v>-</v>
      </c>
      <c r="BN53" s="2" t="str">
        <f aca="false">IF(AF53="x","x",IF(AF53="-","-",""))</f>
        <v>-</v>
      </c>
      <c r="BO53" s="2" t="str">
        <f aca="false">IF(AG53="x","x",IF(AG53="-","-",""))</f>
        <v>-</v>
      </c>
      <c r="BP53" s="2" t="str">
        <f aca="false">IF(AH53="x","x",IF(AH53="-","-",""))</f>
        <v>-</v>
      </c>
      <c r="BQ53" s="2" t="str">
        <f aca="false">IF(AI53="x","x",IF(AI53="-","-",""))</f>
        <v>-</v>
      </c>
      <c r="BR53" s="2" t="str">
        <f aca="false">IF(AJ53="x","x",IF(AJ53="-","-",""))</f>
        <v>-</v>
      </c>
      <c r="BS53" s="2" t="str">
        <f aca="false">IF(AK53="x","x",IF(AK53="-","-",""))</f>
        <v>-</v>
      </c>
      <c r="BT53" s="2" t="str">
        <f aca="false">IF(AL53="x","x",IF(AL53="-","-",""))</f>
        <v>-</v>
      </c>
      <c r="BU53" s="2" t="str">
        <f aca="false">IF(AM53="x","x",IF(AM53="-","-",""))</f>
        <v>-</v>
      </c>
      <c r="BV53" s="2" t="str">
        <f aca="false">IF(AN53="x","x",IF(AN53="-","-",""))</f>
        <v>-</v>
      </c>
      <c r="BW53" s="2" t="str">
        <f aca="false">IF(AO53="x","x",IF(AO53="-","-",""))</f>
        <v>-</v>
      </c>
      <c r="BX53" s="2" t="str">
        <f aca="false">IF(AP53="x","x",IF(AP53="-","-",""))</f>
        <v>-</v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" t="s">
        <v>53</v>
      </c>
      <c r="D54" s="11" t="s">
        <v>68</v>
      </c>
      <c r="E54" s="11" t="s">
        <v>52</v>
      </c>
      <c r="F54" s="11" t="n">
        <v>53</v>
      </c>
      <c r="G54" s="11" t="s">
        <v>53</v>
      </c>
      <c r="H54" s="11" t="s">
        <v>53</v>
      </c>
      <c r="I54" s="11" t="s">
        <v>53</v>
      </c>
      <c r="J54" s="11" t="s">
        <v>53</v>
      </c>
      <c r="K54" s="11" t="s">
        <v>53</v>
      </c>
      <c r="L54" s="11" t="s">
        <v>53</v>
      </c>
      <c r="M54" s="2" t="n">
        <v>20</v>
      </c>
      <c r="N54" s="11" t="s">
        <v>53</v>
      </c>
      <c r="P54" s="11" t="s">
        <v>49</v>
      </c>
      <c r="Q54" s="11" t="s">
        <v>49</v>
      </c>
      <c r="S54" s="11" t="s">
        <v>53</v>
      </c>
      <c r="T54" s="11" t="s">
        <v>53</v>
      </c>
      <c r="U54" s="11" t="s">
        <v>53</v>
      </c>
      <c r="V54" s="11" t="s">
        <v>53</v>
      </c>
      <c r="W54" s="11" t="s">
        <v>53</v>
      </c>
      <c r="X54" s="11" t="s">
        <v>53</v>
      </c>
      <c r="Y54" s="11" t="s">
        <v>53</v>
      </c>
      <c r="Z54" s="11" t="s">
        <v>53</v>
      </c>
      <c r="AA54" s="11" t="s">
        <v>53</v>
      </c>
      <c r="AB54" s="11" t="s">
        <v>53</v>
      </c>
      <c r="AC54" s="11" t="s">
        <v>53</v>
      </c>
      <c r="AD54" s="11" t="s">
        <v>53</v>
      </c>
      <c r="AE54" s="11" t="s">
        <v>53</v>
      </c>
      <c r="AF54" s="11" t="s">
        <v>53</v>
      </c>
      <c r="AG54" s="11" t="s">
        <v>53</v>
      </c>
      <c r="AH54" s="11" t="s">
        <v>53</v>
      </c>
      <c r="AI54" s="11" t="s">
        <v>53</v>
      </c>
      <c r="AJ54" s="11" t="s">
        <v>53</v>
      </c>
      <c r="AK54" s="11" t="s">
        <v>53</v>
      </c>
      <c r="AL54" s="11" t="s">
        <v>53</v>
      </c>
      <c r="AM54" s="11" t="s">
        <v>53</v>
      </c>
      <c r="AN54" s="11" t="s">
        <v>53</v>
      </c>
      <c r="AO54" s="11" t="s">
        <v>53</v>
      </c>
      <c r="AP54" s="11" t="s">
        <v>53</v>
      </c>
      <c r="AR54" s="11" t="s">
        <v>53</v>
      </c>
      <c r="AS54" s="11" t="s">
        <v>53</v>
      </c>
      <c r="AT54" s="11" t="s">
        <v>53</v>
      </c>
      <c r="AU54" s="11" t="s">
        <v>53</v>
      </c>
      <c r="AV54" s="11" t="s">
        <v>53</v>
      </c>
      <c r="AW54" s="11" t="s">
        <v>53</v>
      </c>
      <c r="AX54" s="11" t="s">
        <v>53</v>
      </c>
      <c r="AY54" s="11" t="s">
        <v>53</v>
      </c>
      <c r="BA54" s="2" t="str">
        <f aca="false">IF(S54="x","x",IF(S54="-","-",""))</f>
        <v>-</v>
      </c>
      <c r="BB54" s="2" t="str">
        <f aca="false">IF(T54="x","x",IF(T54="-","-",""))</f>
        <v>-</v>
      </c>
      <c r="BC54" s="2" t="str">
        <f aca="false">IF(U54="x","x",IF(U54="-","-",""))</f>
        <v>-</v>
      </c>
      <c r="BD54" s="2" t="str">
        <f aca="false">IF(V54="x","x",IF(V54="-","-",""))</f>
        <v>-</v>
      </c>
      <c r="BE54" s="2" t="str">
        <f aca="false">IF(W54="x","x",IF(W54="-","-",""))</f>
        <v>-</v>
      </c>
      <c r="BF54" s="2" t="str">
        <f aca="false">IF(X54="x","x",IF(X54="-","-",""))</f>
        <v>-</v>
      </c>
      <c r="BG54" s="2" t="str">
        <f aca="false">IF(Y54="x","x",IF(Y54="-","-",""))</f>
        <v>-</v>
      </c>
      <c r="BH54" s="2" t="str">
        <f aca="false">IF(Z54="x","x",IF(Z54="-","-",""))</f>
        <v>-</v>
      </c>
      <c r="BI54" s="2" t="str">
        <f aca="false">IF(AA54="x","x",IF(AA54="-","-",""))</f>
        <v>-</v>
      </c>
      <c r="BJ54" s="2" t="str">
        <f aca="false">IF(AB54="x","x",IF(AB54="-","-",""))</f>
        <v>-</v>
      </c>
      <c r="BK54" s="2" t="str">
        <f aca="false">IF(AC54="x","x",IF(AC54="-","-",""))</f>
        <v>-</v>
      </c>
      <c r="BL54" s="2" t="str">
        <f aca="false">IF(AD54="x","x",IF(AD54="-","-",""))</f>
        <v>-</v>
      </c>
      <c r="BM54" s="2" t="str">
        <f aca="false">IF(AE54="x","x",IF(AE54="-","-",""))</f>
        <v>-</v>
      </c>
      <c r="BN54" s="2" t="str">
        <f aca="false">IF(AF54="x","x",IF(AF54="-","-",""))</f>
        <v>-</v>
      </c>
      <c r="BO54" s="2" t="str">
        <f aca="false">IF(AG54="x","x",IF(AG54="-","-",""))</f>
        <v>-</v>
      </c>
      <c r="BP54" s="2" t="str">
        <f aca="false">IF(AH54="x","x",IF(AH54="-","-",""))</f>
        <v>-</v>
      </c>
      <c r="BQ54" s="2" t="str">
        <f aca="false">IF(AI54="x","x",IF(AI54="-","-",""))</f>
        <v>-</v>
      </c>
      <c r="BR54" s="2" t="str">
        <f aca="false">IF(AJ54="x","x",IF(AJ54="-","-",""))</f>
        <v>-</v>
      </c>
      <c r="BS54" s="2" t="str">
        <f aca="false">IF(AK54="x","x",IF(AK54="-","-",""))</f>
        <v>-</v>
      </c>
      <c r="BT54" s="2" t="str">
        <f aca="false">IF(AL54="x","x",IF(AL54="-","-",""))</f>
        <v>-</v>
      </c>
      <c r="BU54" s="2" t="str">
        <f aca="false">IF(AM54="x","x",IF(AM54="-","-",""))</f>
        <v>-</v>
      </c>
      <c r="BV54" s="2" t="str">
        <f aca="false">IF(AN54="x","x",IF(AN54="-","-",""))</f>
        <v>-</v>
      </c>
      <c r="BW54" s="2" t="str">
        <f aca="false">IF(AO54="x","x",IF(AO54="-","-",""))</f>
        <v>-</v>
      </c>
      <c r="BX54" s="2" t="str">
        <f aca="false">IF(AP54="x","x",IF(AP54="-","-",""))</f>
        <v>-</v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" t="s">
        <v>53</v>
      </c>
      <c r="D55" s="11" t="s">
        <v>68</v>
      </c>
      <c r="E55" s="11" t="s">
        <v>52</v>
      </c>
      <c r="F55" s="11" t="n">
        <v>54</v>
      </c>
      <c r="G55" s="11" t="s">
        <v>53</v>
      </c>
      <c r="H55" s="11" t="s">
        <v>53</v>
      </c>
      <c r="I55" s="11" t="s">
        <v>53</v>
      </c>
      <c r="J55" s="11" t="s">
        <v>53</v>
      </c>
      <c r="K55" s="11" t="s">
        <v>53</v>
      </c>
      <c r="L55" s="11" t="s">
        <v>53</v>
      </c>
      <c r="M55" s="2" t="n">
        <v>20</v>
      </c>
      <c r="N55" s="11" t="s">
        <v>53</v>
      </c>
      <c r="P55" s="11" t="s">
        <v>49</v>
      </c>
      <c r="Q55" s="11" t="s">
        <v>49</v>
      </c>
      <c r="S55" s="11" t="s">
        <v>53</v>
      </c>
      <c r="T55" s="11" t="s">
        <v>53</v>
      </c>
      <c r="U55" s="11" t="s">
        <v>53</v>
      </c>
      <c r="V55" s="11" t="s">
        <v>53</v>
      </c>
      <c r="W55" s="11" t="s">
        <v>53</v>
      </c>
      <c r="X55" s="11" t="s">
        <v>53</v>
      </c>
      <c r="Y55" s="11" t="s">
        <v>53</v>
      </c>
      <c r="Z55" s="11" t="s">
        <v>53</v>
      </c>
      <c r="AA55" s="11" t="s">
        <v>53</v>
      </c>
      <c r="AB55" s="11" t="s">
        <v>53</v>
      </c>
      <c r="AC55" s="11" t="s">
        <v>53</v>
      </c>
      <c r="AD55" s="11" t="s">
        <v>53</v>
      </c>
      <c r="AE55" s="11" t="s">
        <v>53</v>
      </c>
      <c r="AF55" s="11" t="s">
        <v>53</v>
      </c>
      <c r="AG55" s="11" t="s">
        <v>53</v>
      </c>
      <c r="AH55" s="11" t="s">
        <v>53</v>
      </c>
      <c r="AI55" s="11" t="s">
        <v>53</v>
      </c>
      <c r="AJ55" s="11" t="s">
        <v>53</v>
      </c>
      <c r="AK55" s="11" t="s">
        <v>53</v>
      </c>
      <c r="AL55" s="11" t="s">
        <v>53</v>
      </c>
      <c r="AM55" s="11" t="s">
        <v>53</v>
      </c>
      <c r="AN55" s="11" t="s">
        <v>53</v>
      </c>
      <c r="AO55" s="11" t="s">
        <v>53</v>
      </c>
      <c r="AP55" s="11" t="s">
        <v>53</v>
      </c>
      <c r="AR55" s="11" t="s">
        <v>53</v>
      </c>
      <c r="AS55" s="11" t="s">
        <v>53</v>
      </c>
      <c r="AT55" s="11" t="s">
        <v>53</v>
      </c>
      <c r="AU55" s="11" t="s">
        <v>53</v>
      </c>
      <c r="AV55" s="11" t="s">
        <v>53</v>
      </c>
      <c r="AW55" s="11" t="s">
        <v>53</v>
      </c>
      <c r="AX55" s="11" t="s">
        <v>53</v>
      </c>
      <c r="AY55" s="11" t="s">
        <v>53</v>
      </c>
      <c r="BA55" s="2" t="str">
        <f aca="false">IF(S55="x","x",IF(S55="-","-",""))</f>
        <v>-</v>
      </c>
      <c r="BB55" s="2" t="str">
        <f aca="false">IF(T55="x","x",IF(T55="-","-",""))</f>
        <v>-</v>
      </c>
      <c r="BC55" s="2" t="str">
        <f aca="false">IF(U55="x","x",IF(U55="-","-",""))</f>
        <v>-</v>
      </c>
      <c r="BD55" s="2" t="str">
        <f aca="false">IF(V55="x","x",IF(V55="-","-",""))</f>
        <v>-</v>
      </c>
      <c r="BE55" s="2" t="str">
        <f aca="false">IF(W55="x","x",IF(W55="-","-",""))</f>
        <v>-</v>
      </c>
      <c r="BF55" s="2" t="str">
        <f aca="false">IF(X55="x","x",IF(X55="-","-",""))</f>
        <v>-</v>
      </c>
      <c r="BG55" s="2" t="str">
        <f aca="false">IF(Y55="x","x",IF(Y55="-","-",""))</f>
        <v>-</v>
      </c>
      <c r="BH55" s="2" t="str">
        <f aca="false">IF(Z55="x","x",IF(Z55="-","-",""))</f>
        <v>-</v>
      </c>
      <c r="BI55" s="2" t="str">
        <f aca="false">IF(AA55="x","x",IF(AA55="-","-",""))</f>
        <v>-</v>
      </c>
      <c r="BJ55" s="2" t="str">
        <f aca="false">IF(AB55="x","x",IF(AB55="-","-",""))</f>
        <v>-</v>
      </c>
      <c r="BK55" s="2" t="str">
        <f aca="false">IF(AC55="x","x",IF(AC55="-","-",""))</f>
        <v>-</v>
      </c>
      <c r="BL55" s="2" t="str">
        <f aca="false">IF(AD55="x","x",IF(AD55="-","-",""))</f>
        <v>-</v>
      </c>
      <c r="BM55" s="2" t="str">
        <f aca="false">IF(AE55="x","x",IF(AE55="-","-",""))</f>
        <v>-</v>
      </c>
      <c r="BN55" s="2" t="str">
        <f aca="false">IF(AF55="x","x",IF(AF55="-","-",""))</f>
        <v>-</v>
      </c>
      <c r="BO55" s="2" t="str">
        <f aca="false">IF(AG55="x","x",IF(AG55="-","-",""))</f>
        <v>-</v>
      </c>
      <c r="BP55" s="2" t="str">
        <f aca="false">IF(AH55="x","x",IF(AH55="-","-",""))</f>
        <v>-</v>
      </c>
      <c r="BQ55" s="2" t="str">
        <f aca="false">IF(AI55="x","x",IF(AI55="-","-",""))</f>
        <v>-</v>
      </c>
      <c r="BR55" s="2" t="str">
        <f aca="false">IF(AJ55="x","x",IF(AJ55="-","-",""))</f>
        <v>-</v>
      </c>
      <c r="BS55" s="2" t="str">
        <f aca="false">IF(AK55="x","x",IF(AK55="-","-",""))</f>
        <v>-</v>
      </c>
      <c r="BT55" s="2" t="str">
        <f aca="false">IF(AL55="x","x",IF(AL55="-","-",""))</f>
        <v>-</v>
      </c>
      <c r="BU55" s="2" t="str">
        <f aca="false">IF(AM55="x","x",IF(AM55="-","-",""))</f>
        <v>-</v>
      </c>
      <c r="BV55" s="2" t="str">
        <f aca="false">IF(AN55="x","x",IF(AN55="-","-",""))</f>
        <v>-</v>
      </c>
      <c r="BW55" s="2" t="str">
        <f aca="false">IF(AO55="x","x",IF(AO55="-","-",""))</f>
        <v>-</v>
      </c>
      <c r="BX55" s="2" t="str">
        <f aca="false">IF(AP55="x","x",IF(AP55="-","-",""))</f>
        <v>-</v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" t="s">
        <v>53</v>
      </c>
      <c r="D56" s="11" t="s">
        <v>68</v>
      </c>
      <c r="E56" s="11" t="s">
        <v>52</v>
      </c>
      <c r="F56" s="11" t="n">
        <v>55</v>
      </c>
      <c r="G56" s="11" t="s">
        <v>53</v>
      </c>
      <c r="H56" s="11" t="s">
        <v>53</v>
      </c>
      <c r="I56" s="11" t="s">
        <v>53</v>
      </c>
      <c r="J56" s="11" t="s">
        <v>53</v>
      </c>
      <c r="K56" s="11" t="s">
        <v>53</v>
      </c>
      <c r="L56" s="11" t="s">
        <v>53</v>
      </c>
      <c r="M56" s="2" t="n">
        <v>20</v>
      </c>
      <c r="N56" s="11" t="s">
        <v>53</v>
      </c>
      <c r="P56" s="11" t="s">
        <v>49</v>
      </c>
      <c r="Q56" s="11" t="s">
        <v>49</v>
      </c>
      <c r="S56" s="11" t="s">
        <v>53</v>
      </c>
      <c r="T56" s="11" t="s">
        <v>53</v>
      </c>
      <c r="U56" s="11" t="s">
        <v>53</v>
      </c>
      <c r="V56" s="11" t="s">
        <v>53</v>
      </c>
      <c r="W56" s="11" t="s">
        <v>53</v>
      </c>
      <c r="X56" s="11" t="s">
        <v>53</v>
      </c>
      <c r="Y56" s="11" t="s">
        <v>53</v>
      </c>
      <c r="Z56" s="11" t="s">
        <v>53</v>
      </c>
      <c r="AA56" s="11" t="s">
        <v>53</v>
      </c>
      <c r="AB56" s="11" t="s">
        <v>53</v>
      </c>
      <c r="AC56" s="11" t="s">
        <v>53</v>
      </c>
      <c r="AD56" s="11" t="s">
        <v>53</v>
      </c>
      <c r="AE56" s="11" t="s">
        <v>53</v>
      </c>
      <c r="AF56" s="11" t="s">
        <v>53</v>
      </c>
      <c r="AG56" s="11" t="s">
        <v>53</v>
      </c>
      <c r="AH56" s="11" t="s">
        <v>53</v>
      </c>
      <c r="AI56" s="11" t="s">
        <v>53</v>
      </c>
      <c r="AJ56" s="11" t="s">
        <v>53</v>
      </c>
      <c r="AK56" s="11" t="s">
        <v>53</v>
      </c>
      <c r="AL56" s="11" t="s">
        <v>53</v>
      </c>
      <c r="AM56" s="11" t="s">
        <v>53</v>
      </c>
      <c r="AN56" s="11" t="s">
        <v>53</v>
      </c>
      <c r="AO56" s="11" t="s">
        <v>53</v>
      </c>
      <c r="AP56" s="11" t="s">
        <v>53</v>
      </c>
      <c r="AR56" s="11" t="s">
        <v>53</v>
      </c>
      <c r="AS56" s="11" t="s">
        <v>53</v>
      </c>
      <c r="AT56" s="11" t="s">
        <v>53</v>
      </c>
      <c r="AU56" s="11" t="s">
        <v>53</v>
      </c>
      <c r="AV56" s="11" t="s">
        <v>53</v>
      </c>
      <c r="AW56" s="11" t="s">
        <v>53</v>
      </c>
      <c r="AX56" s="11" t="s">
        <v>53</v>
      </c>
      <c r="AY56" s="11" t="s">
        <v>53</v>
      </c>
      <c r="BA56" s="2" t="str">
        <f aca="false">IF(S56="x","x",IF(S56="-","-",""))</f>
        <v>-</v>
      </c>
      <c r="BB56" s="2" t="str">
        <f aca="false">IF(T56="x","x",IF(T56="-","-",""))</f>
        <v>-</v>
      </c>
      <c r="BC56" s="2" t="str">
        <f aca="false">IF(U56="x","x",IF(U56="-","-",""))</f>
        <v>-</v>
      </c>
      <c r="BD56" s="2" t="str">
        <f aca="false">IF(V56="x","x",IF(V56="-","-",""))</f>
        <v>-</v>
      </c>
      <c r="BE56" s="2" t="str">
        <f aca="false">IF(W56="x","x",IF(W56="-","-",""))</f>
        <v>-</v>
      </c>
      <c r="BF56" s="2" t="str">
        <f aca="false">IF(X56="x","x",IF(X56="-","-",""))</f>
        <v>-</v>
      </c>
      <c r="BG56" s="2" t="str">
        <f aca="false">IF(Y56="x","x",IF(Y56="-","-",""))</f>
        <v>-</v>
      </c>
      <c r="BH56" s="2" t="str">
        <f aca="false">IF(Z56="x","x",IF(Z56="-","-",""))</f>
        <v>-</v>
      </c>
      <c r="BI56" s="2" t="str">
        <f aca="false">IF(AA56="x","x",IF(AA56="-","-",""))</f>
        <v>-</v>
      </c>
      <c r="BJ56" s="2" t="str">
        <f aca="false">IF(AB56="x","x",IF(AB56="-","-",""))</f>
        <v>-</v>
      </c>
      <c r="BK56" s="2" t="str">
        <f aca="false">IF(AC56="x","x",IF(AC56="-","-",""))</f>
        <v>-</v>
      </c>
      <c r="BL56" s="2" t="str">
        <f aca="false">IF(AD56="x","x",IF(AD56="-","-",""))</f>
        <v>-</v>
      </c>
      <c r="BM56" s="2" t="str">
        <f aca="false">IF(AE56="x","x",IF(AE56="-","-",""))</f>
        <v>-</v>
      </c>
      <c r="BN56" s="2" t="str">
        <f aca="false">IF(AF56="x","x",IF(AF56="-","-",""))</f>
        <v>-</v>
      </c>
      <c r="BO56" s="2" t="str">
        <f aca="false">IF(AG56="x","x",IF(AG56="-","-",""))</f>
        <v>-</v>
      </c>
      <c r="BP56" s="2" t="str">
        <f aca="false">IF(AH56="x","x",IF(AH56="-","-",""))</f>
        <v>-</v>
      </c>
      <c r="BQ56" s="2" t="str">
        <f aca="false">IF(AI56="x","x",IF(AI56="-","-",""))</f>
        <v>-</v>
      </c>
      <c r="BR56" s="2" t="str">
        <f aca="false">IF(AJ56="x","x",IF(AJ56="-","-",""))</f>
        <v>-</v>
      </c>
      <c r="BS56" s="2" t="str">
        <f aca="false">IF(AK56="x","x",IF(AK56="-","-",""))</f>
        <v>-</v>
      </c>
      <c r="BT56" s="2" t="str">
        <f aca="false">IF(AL56="x","x",IF(AL56="-","-",""))</f>
        <v>-</v>
      </c>
      <c r="BU56" s="2" t="str">
        <f aca="false">IF(AM56="x","x",IF(AM56="-","-",""))</f>
        <v>-</v>
      </c>
      <c r="BV56" s="2" t="str">
        <f aca="false">IF(AN56="x","x",IF(AN56="-","-",""))</f>
        <v>-</v>
      </c>
      <c r="BW56" s="2" t="str">
        <f aca="false">IF(AO56="x","x",IF(AO56="-","-",""))</f>
        <v>-</v>
      </c>
      <c r="BX56" s="2" t="str">
        <f aca="false">IF(AP56="x","x",IF(AP56="-","-",""))</f>
        <v>-</v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" t="s">
        <v>53</v>
      </c>
      <c r="D57" s="11" t="s">
        <v>68</v>
      </c>
      <c r="E57" s="11" t="s">
        <v>52</v>
      </c>
      <c r="F57" s="11" t="n">
        <v>56</v>
      </c>
      <c r="G57" s="11" t="s">
        <v>53</v>
      </c>
      <c r="H57" s="11" t="s">
        <v>53</v>
      </c>
      <c r="I57" s="11" t="s">
        <v>53</v>
      </c>
      <c r="J57" s="11" t="s">
        <v>53</v>
      </c>
      <c r="K57" s="11" t="s">
        <v>53</v>
      </c>
      <c r="L57" s="11" t="s">
        <v>53</v>
      </c>
      <c r="M57" s="2" t="n">
        <v>20</v>
      </c>
      <c r="N57" s="11" t="s">
        <v>53</v>
      </c>
      <c r="P57" s="11" t="s">
        <v>49</v>
      </c>
      <c r="Q57" s="11" t="s">
        <v>49</v>
      </c>
      <c r="S57" s="11" t="s">
        <v>53</v>
      </c>
      <c r="T57" s="11" t="s">
        <v>53</v>
      </c>
      <c r="U57" s="11" t="s">
        <v>53</v>
      </c>
      <c r="V57" s="11" t="s">
        <v>53</v>
      </c>
      <c r="W57" s="11" t="s">
        <v>53</v>
      </c>
      <c r="X57" s="11" t="s">
        <v>53</v>
      </c>
      <c r="Y57" s="11" t="s">
        <v>53</v>
      </c>
      <c r="Z57" s="11" t="s">
        <v>53</v>
      </c>
      <c r="AA57" s="11" t="s">
        <v>53</v>
      </c>
      <c r="AB57" s="11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11" t="s">
        <v>53</v>
      </c>
      <c r="AJ57" s="11" t="s">
        <v>53</v>
      </c>
      <c r="AK57" s="11" t="s">
        <v>53</v>
      </c>
      <c r="AL57" s="11" t="s">
        <v>53</v>
      </c>
      <c r="AM57" s="11" t="s">
        <v>53</v>
      </c>
      <c r="AN57" s="11" t="s">
        <v>53</v>
      </c>
      <c r="AO57" s="11" t="s">
        <v>53</v>
      </c>
      <c r="AP57" s="11" t="s">
        <v>53</v>
      </c>
      <c r="AR57" s="11" t="s">
        <v>53</v>
      </c>
      <c r="AS57" s="11" t="s">
        <v>53</v>
      </c>
      <c r="AT57" s="11" t="s">
        <v>53</v>
      </c>
      <c r="AU57" s="11" t="s">
        <v>53</v>
      </c>
      <c r="AV57" s="11" t="s">
        <v>53</v>
      </c>
      <c r="AW57" s="11" t="s">
        <v>53</v>
      </c>
      <c r="AX57" s="11" t="s">
        <v>53</v>
      </c>
      <c r="AY57" s="11" t="s">
        <v>53</v>
      </c>
      <c r="BA57" s="2" t="str">
        <f aca="false">IF(S57="x","x",IF(S57="-","-",""))</f>
        <v>-</v>
      </c>
      <c r="BB57" s="2" t="str">
        <f aca="false">IF(T57="x","x",IF(T57="-","-",""))</f>
        <v>-</v>
      </c>
      <c r="BC57" s="2" t="str">
        <f aca="false">IF(U57="x","x",IF(U57="-","-",""))</f>
        <v>-</v>
      </c>
      <c r="BD57" s="2" t="str">
        <f aca="false">IF(V57="x","x",IF(V57="-","-",""))</f>
        <v>-</v>
      </c>
      <c r="BE57" s="2" t="str">
        <f aca="false">IF(W57="x","x",IF(W57="-","-",""))</f>
        <v>-</v>
      </c>
      <c r="BF57" s="2" t="str">
        <f aca="false">IF(X57="x","x",IF(X57="-","-",""))</f>
        <v>-</v>
      </c>
      <c r="BG57" s="2" t="str">
        <f aca="false">IF(Y57="x","x",IF(Y57="-","-",""))</f>
        <v>-</v>
      </c>
      <c r="BH57" s="2" t="str">
        <f aca="false">IF(Z57="x","x",IF(Z57="-","-",""))</f>
        <v>-</v>
      </c>
      <c r="BI57" s="2" t="str">
        <f aca="false">IF(AA57="x","x",IF(AA57="-","-",""))</f>
        <v>-</v>
      </c>
      <c r="BJ57" s="2" t="str">
        <f aca="false">IF(AB57="x","x",IF(AB57="-","-",""))</f>
        <v>-</v>
      </c>
      <c r="BK57" s="2" t="str">
        <f aca="false">IF(AC57="x","x",IF(AC57="-","-",""))</f>
        <v>-</v>
      </c>
      <c r="BL57" s="2" t="str">
        <f aca="false">IF(AD57="x","x",IF(AD57="-","-",""))</f>
        <v>-</v>
      </c>
      <c r="BM57" s="2" t="str">
        <f aca="false">IF(AE57="x","x",IF(AE57="-","-",""))</f>
        <v>-</v>
      </c>
      <c r="BN57" s="2" t="str">
        <f aca="false">IF(AF57="x","x",IF(AF57="-","-",""))</f>
        <v>-</v>
      </c>
      <c r="BO57" s="2" t="str">
        <f aca="false">IF(AG57="x","x",IF(AG57="-","-",""))</f>
        <v>-</v>
      </c>
      <c r="BP57" s="2" t="str">
        <f aca="false">IF(AH57="x","x",IF(AH57="-","-",""))</f>
        <v>-</v>
      </c>
      <c r="BQ57" s="2" t="str">
        <f aca="false">IF(AI57="x","x",IF(AI57="-","-",""))</f>
        <v>-</v>
      </c>
      <c r="BR57" s="2" t="str">
        <f aca="false">IF(AJ57="x","x",IF(AJ57="-","-",""))</f>
        <v>-</v>
      </c>
      <c r="BS57" s="2" t="str">
        <f aca="false">IF(AK57="x","x",IF(AK57="-","-",""))</f>
        <v>-</v>
      </c>
      <c r="BT57" s="2" t="str">
        <f aca="false">IF(AL57="x","x",IF(AL57="-","-",""))</f>
        <v>-</v>
      </c>
      <c r="BU57" s="2" t="str">
        <f aca="false">IF(AM57="x","x",IF(AM57="-","-",""))</f>
        <v>-</v>
      </c>
      <c r="BV57" s="2" t="str">
        <f aca="false">IF(AN57="x","x",IF(AN57="-","-",""))</f>
        <v>-</v>
      </c>
      <c r="BW57" s="2" t="str">
        <f aca="false">IF(AO57="x","x",IF(AO57="-","-",""))</f>
        <v>-</v>
      </c>
      <c r="BX57" s="2" t="str">
        <f aca="false">IF(AP57="x","x",IF(AP57="-","-",""))</f>
        <v>-</v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" t="s">
        <v>53</v>
      </c>
      <c r="D58" s="11" t="s">
        <v>68</v>
      </c>
      <c r="E58" s="11" t="s">
        <v>52</v>
      </c>
      <c r="F58" s="11" t="n">
        <v>57</v>
      </c>
      <c r="G58" s="11" t="s">
        <v>53</v>
      </c>
      <c r="H58" s="11" t="s">
        <v>53</v>
      </c>
      <c r="I58" s="11" t="s">
        <v>53</v>
      </c>
      <c r="J58" s="11" t="s">
        <v>53</v>
      </c>
      <c r="K58" s="11" t="s">
        <v>53</v>
      </c>
      <c r="L58" s="11" t="s">
        <v>53</v>
      </c>
      <c r="M58" s="2" t="n">
        <v>20</v>
      </c>
      <c r="N58" s="11" t="s">
        <v>53</v>
      </c>
      <c r="P58" s="11" t="s">
        <v>49</v>
      </c>
      <c r="Q58" s="11" t="s">
        <v>49</v>
      </c>
      <c r="S58" s="11" t="s">
        <v>53</v>
      </c>
      <c r="T58" s="11" t="s">
        <v>53</v>
      </c>
      <c r="U58" s="11" t="s">
        <v>53</v>
      </c>
      <c r="V58" s="11" t="s">
        <v>53</v>
      </c>
      <c r="W58" s="11" t="s">
        <v>53</v>
      </c>
      <c r="X58" s="11" t="s">
        <v>53</v>
      </c>
      <c r="Y58" s="11" t="s">
        <v>53</v>
      </c>
      <c r="Z58" s="11" t="s">
        <v>53</v>
      </c>
      <c r="AA58" s="11" t="s">
        <v>53</v>
      </c>
      <c r="AB58" s="11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11" t="s">
        <v>53</v>
      </c>
      <c r="AJ58" s="11" t="s">
        <v>53</v>
      </c>
      <c r="AK58" s="11" t="s">
        <v>53</v>
      </c>
      <c r="AL58" s="11" t="s">
        <v>53</v>
      </c>
      <c r="AM58" s="11" t="s">
        <v>53</v>
      </c>
      <c r="AN58" s="11" t="s">
        <v>53</v>
      </c>
      <c r="AO58" s="11" t="s">
        <v>53</v>
      </c>
      <c r="AP58" s="11" t="s">
        <v>53</v>
      </c>
      <c r="AR58" s="11" t="s">
        <v>53</v>
      </c>
      <c r="AS58" s="11" t="s">
        <v>53</v>
      </c>
      <c r="AT58" s="11" t="s">
        <v>53</v>
      </c>
      <c r="AU58" s="11" t="s">
        <v>53</v>
      </c>
      <c r="AV58" s="11" t="s">
        <v>53</v>
      </c>
      <c r="AW58" s="11" t="s">
        <v>53</v>
      </c>
      <c r="AX58" s="11" t="s">
        <v>53</v>
      </c>
      <c r="AY58" s="11" t="s">
        <v>53</v>
      </c>
      <c r="BA58" s="2" t="str">
        <f aca="false">IF(S58="x","x",IF(S58="-","-",""))</f>
        <v>-</v>
      </c>
      <c r="BB58" s="2" t="str">
        <f aca="false">IF(T58="x","x",IF(T58="-","-",""))</f>
        <v>-</v>
      </c>
      <c r="BC58" s="2" t="str">
        <f aca="false">IF(U58="x","x",IF(U58="-","-",""))</f>
        <v>-</v>
      </c>
      <c r="BD58" s="2" t="str">
        <f aca="false">IF(V58="x","x",IF(V58="-","-",""))</f>
        <v>-</v>
      </c>
      <c r="BE58" s="2" t="str">
        <f aca="false">IF(W58="x","x",IF(W58="-","-",""))</f>
        <v>-</v>
      </c>
      <c r="BF58" s="2" t="str">
        <f aca="false">IF(X58="x","x",IF(X58="-","-",""))</f>
        <v>-</v>
      </c>
      <c r="BG58" s="2" t="str">
        <f aca="false">IF(Y58="x","x",IF(Y58="-","-",""))</f>
        <v>-</v>
      </c>
      <c r="BH58" s="2" t="str">
        <f aca="false">IF(Z58="x","x",IF(Z58="-","-",""))</f>
        <v>-</v>
      </c>
      <c r="BI58" s="2" t="str">
        <f aca="false">IF(AA58="x","x",IF(AA58="-","-",""))</f>
        <v>-</v>
      </c>
      <c r="BJ58" s="2" t="str">
        <f aca="false">IF(AB58="x","x",IF(AB58="-","-",""))</f>
        <v>-</v>
      </c>
      <c r="BK58" s="2" t="str">
        <f aca="false">IF(AC58="x","x",IF(AC58="-","-",""))</f>
        <v>-</v>
      </c>
      <c r="BL58" s="2" t="str">
        <f aca="false">IF(AD58="x","x",IF(AD58="-","-",""))</f>
        <v>-</v>
      </c>
      <c r="BM58" s="2" t="str">
        <f aca="false">IF(AE58="x","x",IF(AE58="-","-",""))</f>
        <v>-</v>
      </c>
      <c r="BN58" s="2" t="str">
        <f aca="false">IF(AF58="x","x",IF(AF58="-","-",""))</f>
        <v>-</v>
      </c>
      <c r="BO58" s="2" t="str">
        <f aca="false">IF(AG58="x","x",IF(AG58="-","-",""))</f>
        <v>-</v>
      </c>
      <c r="BP58" s="2" t="str">
        <f aca="false">IF(AH58="x","x",IF(AH58="-","-",""))</f>
        <v>-</v>
      </c>
      <c r="BQ58" s="2" t="str">
        <f aca="false">IF(AI58="x","x",IF(AI58="-","-",""))</f>
        <v>-</v>
      </c>
      <c r="BR58" s="2" t="str">
        <f aca="false">IF(AJ58="x","x",IF(AJ58="-","-",""))</f>
        <v>-</v>
      </c>
      <c r="BS58" s="2" t="str">
        <f aca="false">IF(AK58="x","x",IF(AK58="-","-",""))</f>
        <v>-</v>
      </c>
      <c r="BT58" s="2" t="str">
        <f aca="false">IF(AL58="x","x",IF(AL58="-","-",""))</f>
        <v>-</v>
      </c>
      <c r="BU58" s="2" t="str">
        <f aca="false">IF(AM58="x","x",IF(AM58="-","-",""))</f>
        <v>-</v>
      </c>
      <c r="BV58" s="2" t="str">
        <f aca="false">IF(AN58="x","x",IF(AN58="-","-",""))</f>
        <v>-</v>
      </c>
      <c r="BW58" s="2" t="str">
        <f aca="false">IF(AO58="x","x",IF(AO58="-","-",""))</f>
        <v>-</v>
      </c>
      <c r="BX58" s="2" t="str">
        <f aca="false">IF(AP58="x","x",IF(AP58="-","-",""))</f>
        <v>-</v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" t="s">
        <v>53</v>
      </c>
      <c r="D59" s="11" t="s">
        <v>68</v>
      </c>
      <c r="E59" s="11" t="s">
        <v>52</v>
      </c>
      <c r="F59" s="11" t="n">
        <v>58</v>
      </c>
      <c r="G59" s="11" t="s">
        <v>53</v>
      </c>
      <c r="H59" s="11" t="s">
        <v>53</v>
      </c>
      <c r="I59" s="11" t="s">
        <v>53</v>
      </c>
      <c r="J59" s="11" t="s">
        <v>53</v>
      </c>
      <c r="K59" s="11" t="s">
        <v>53</v>
      </c>
      <c r="L59" s="11" t="s">
        <v>53</v>
      </c>
      <c r="M59" s="2" t="n">
        <v>20</v>
      </c>
      <c r="N59" s="11" t="s">
        <v>53</v>
      </c>
      <c r="P59" s="11" t="s">
        <v>49</v>
      </c>
      <c r="Q59" s="11" t="s">
        <v>49</v>
      </c>
      <c r="S59" s="11" t="s">
        <v>53</v>
      </c>
      <c r="T59" s="11" t="s">
        <v>53</v>
      </c>
      <c r="U59" s="11" t="s">
        <v>53</v>
      </c>
      <c r="V59" s="11" t="s">
        <v>53</v>
      </c>
      <c r="W59" s="11" t="s">
        <v>53</v>
      </c>
      <c r="X59" s="11" t="s">
        <v>53</v>
      </c>
      <c r="Y59" s="11" t="s">
        <v>53</v>
      </c>
      <c r="Z59" s="11" t="s">
        <v>53</v>
      </c>
      <c r="AA59" s="11" t="s">
        <v>53</v>
      </c>
      <c r="AB59" s="11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11" t="s">
        <v>53</v>
      </c>
      <c r="AJ59" s="11" t="s">
        <v>53</v>
      </c>
      <c r="AK59" s="11" t="s">
        <v>53</v>
      </c>
      <c r="AL59" s="11" t="s">
        <v>53</v>
      </c>
      <c r="AM59" s="11" t="s">
        <v>53</v>
      </c>
      <c r="AN59" s="11" t="s">
        <v>53</v>
      </c>
      <c r="AO59" s="11" t="s">
        <v>53</v>
      </c>
      <c r="AP59" s="11" t="s">
        <v>53</v>
      </c>
      <c r="AR59" s="11" t="s">
        <v>53</v>
      </c>
      <c r="AS59" s="11" t="s">
        <v>53</v>
      </c>
      <c r="AT59" s="11" t="s">
        <v>53</v>
      </c>
      <c r="AU59" s="11" t="s">
        <v>53</v>
      </c>
      <c r="AV59" s="11" t="s">
        <v>53</v>
      </c>
      <c r="AW59" s="11" t="s">
        <v>53</v>
      </c>
      <c r="AX59" s="11" t="s">
        <v>53</v>
      </c>
      <c r="AY59" s="11" t="s">
        <v>53</v>
      </c>
      <c r="BA59" s="2" t="str">
        <f aca="false">IF(S59="x","x",IF(S59="-","-",""))</f>
        <v>-</v>
      </c>
      <c r="BB59" s="2" t="str">
        <f aca="false">IF(T59="x","x",IF(T59="-","-",""))</f>
        <v>-</v>
      </c>
      <c r="BC59" s="2" t="str">
        <f aca="false">IF(U59="x","x",IF(U59="-","-",""))</f>
        <v>-</v>
      </c>
      <c r="BD59" s="2" t="str">
        <f aca="false">IF(V59="x","x",IF(V59="-","-",""))</f>
        <v>-</v>
      </c>
      <c r="BE59" s="2" t="str">
        <f aca="false">IF(W59="x","x",IF(W59="-","-",""))</f>
        <v>-</v>
      </c>
      <c r="BF59" s="2" t="str">
        <f aca="false">IF(X59="x","x",IF(X59="-","-",""))</f>
        <v>-</v>
      </c>
      <c r="BG59" s="2" t="str">
        <f aca="false">IF(Y59="x","x",IF(Y59="-","-",""))</f>
        <v>-</v>
      </c>
      <c r="BH59" s="2" t="str">
        <f aca="false">IF(Z59="x","x",IF(Z59="-","-",""))</f>
        <v>-</v>
      </c>
      <c r="BI59" s="2" t="str">
        <f aca="false">IF(AA59="x","x",IF(AA59="-","-",""))</f>
        <v>-</v>
      </c>
      <c r="BJ59" s="2" t="str">
        <f aca="false">IF(AB59="x","x",IF(AB59="-","-",""))</f>
        <v>-</v>
      </c>
      <c r="BK59" s="2" t="str">
        <f aca="false">IF(AC59="x","x",IF(AC59="-","-",""))</f>
        <v>-</v>
      </c>
      <c r="BL59" s="2" t="str">
        <f aca="false">IF(AD59="x","x",IF(AD59="-","-",""))</f>
        <v>-</v>
      </c>
      <c r="BM59" s="2" t="str">
        <f aca="false">IF(AE59="x","x",IF(AE59="-","-",""))</f>
        <v>-</v>
      </c>
      <c r="BN59" s="2" t="str">
        <f aca="false">IF(AF59="x","x",IF(AF59="-","-",""))</f>
        <v>-</v>
      </c>
      <c r="BO59" s="2" t="str">
        <f aca="false">IF(AG59="x","x",IF(AG59="-","-",""))</f>
        <v>-</v>
      </c>
      <c r="BP59" s="2" t="str">
        <f aca="false">IF(AH59="x","x",IF(AH59="-","-",""))</f>
        <v>-</v>
      </c>
      <c r="BQ59" s="2" t="str">
        <f aca="false">IF(AI59="x","x",IF(AI59="-","-",""))</f>
        <v>-</v>
      </c>
      <c r="BR59" s="2" t="str">
        <f aca="false">IF(AJ59="x","x",IF(AJ59="-","-",""))</f>
        <v>-</v>
      </c>
      <c r="BS59" s="2" t="str">
        <f aca="false">IF(AK59="x","x",IF(AK59="-","-",""))</f>
        <v>-</v>
      </c>
      <c r="BT59" s="2" t="str">
        <f aca="false">IF(AL59="x","x",IF(AL59="-","-",""))</f>
        <v>-</v>
      </c>
      <c r="BU59" s="2" t="str">
        <f aca="false">IF(AM59="x","x",IF(AM59="-","-",""))</f>
        <v>-</v>
      </c>
      <c r="BV59" s="2" t="str">
        <f aca="false">IF(AN59="x","x",IF(AN59="-","-",""))</f>
        <v>-</v>
      </c>
      <c r="BW59" s="2" t="str">
        <f aca="false">IF(AO59="x","x",IF(AO59="-","-",""))</f>
        <v>-</v>
      </c>
      <c r="BX59" s="2" t="str">
        <f aca="false">IF(AP59="x","x",IF(AP59="-","-",""))</f>
        <v>-</v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" t="s">
        <v>53</v>
      </c>
      <c r="D60" s="11" t="s">
        <v>68</v>
      </c>
      <c r="E60" s="11" t="s">
        <v>52</v>
      </c>
      <c r="F60" s="11" t="n">
        <v>59</v>
      </c>
      <c r="G60" s="11" t="s">
        <v>53</v>
      </c>
      <c r="H60" s="11" t="s">
        <v>53</v>
      </c>
      <c r="I60" s="11" t="s">
        <v>53</v>
      </c>
      <c r="J60" s="11" t="s">
        <v>53</v>
      </c>
      <c r="K60" s="11" t="s">
        <v>53</v>
      </c>
      <c r="L60" s="11" t="s">
        <v>53</v>
      </c>
      <c r="M60" s="2" t="n">
        <v>20</v>
      </c>
      <c r="N60" s="11" t="s">
        <v>53</v>
      </c>
      <c r="P60" s="11" t="s">
        <v>49</v>
      </c>
      <c r="Q60" s="11" t="s">
        <v>49</v>
      </c>
      <c r="S60" s="11" t="s">
        <v>53</v>
      </c>
      <c r="T60" s="11" t="s">
        <v>53</v>
      </c>
      <c r="U60" s="11" t="s">
        <v>53</v>
      </c>
      <c r="V60" s="11" t="s">
        <v>53</v>
      </c>
      <c r="W60" s="11" t="s">
        <v>53</v>
      </c>
      <c r="X60" s="11" t="s">
        <v>53</v>
      </c>
      <c r="Y60" s="11" t="s">
        <v>53</v>
      </c>
      <c r="Z60" s="11" t="s">
        <v>53</v>
      </c>
      <c r="AA60" s="11" t="s">
        <v>53</v>
      </c>
      <c r="AB60" s="11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11" t="s">
        <v>53</v>
      </c>
      <c r="AJ60" s="11" t="s">
        <v>53</v>
      </c>
      <c r="AK60" s="11" t="s">
        <v>53</v>
      </c>
      <c r="AL60" s="11" t="s">
        <v>53</v>
      </c>
      <c r="AM60" s="11" t="s">
        <v>53</v>
      </c>
      <c r="AN60" s="11" t="s">
        <v>53</v>
      </c>
      <c r="AO60" s="11" t="s">
        <v>53</v>
      </c>
      <c r="AP60" s="11" t="s">
        <v>53</v>
      </c>
      <c r="AR60" s="11" t="s">
        <v>53</v>
      </c>
      <c r="AS60" s="11" t="s">
        <v>53</v>
      </c>
      <c r="AT60" s="11" t="s">
        <v>53</v>
      </c>
      <c r="AU60" s="11" t="s">
        <v>53</v>
      </c>
      <c r="AV60" s="11" t="s">
        <v>53</v>
      </c>
      <c r="AW60" s="11" t="s">
        <v>53</v>
      </c>
      <c r="AX60" s="11" t="s">
        <v>53</v>
      </c>
      <c r="AY60" s="11" t="s">
        <v>53</v>
      </c>
      <c r="BA60" s="2" t="str">
        <f aca="false">IF(S60="x","x",IF(S60="-","-",""))</f>
        <v>-</v>
      </c>
      <c r="BB60" s="2" t="str">
        <f aca="false">IF(T60="x","x",IF(T60="-","-",""))</f>
        <v>-</v>
      </c>
      <c r="BC60" s="2" t="str">
        <f aca="false">IF(U60="x","x",IF(U60="-","-",""))</f>
        <v>-</v>
      </c>
      <c r="BD60" s="2" t="str">
        <f aca="false">IF(V60="x","x",IF(V60="-","-",""))</f>
        <v>-</v>
      </c>
      <c r="BE60" s="2" t="str">
        <f aca="false">IF(W60="x","x",IF(W60="-","-",""))</f>
        <v>-</v>
      </c>
      <c r="BF60" s="2" t="str">
        <f aca="false">IF(X60="x","x",IF(X60="-","-",""))</f>
        <v>-</v>
      </c>
      <c r="BG60" s="2" t="str">
        <f aca="false">IF(Y60="x","x",IF(Y60="-","-",""))</f>
        <v>-</v>
      </c>
      <c r="BH60" s="2" t="str">
        <f aca="false">IF(Z60="x","x",IF(Z60="-","-",""))</f>
        <v>-</v>
      </c>
      <c r="BI60" s="2" t="str">
        <f aca="false">IF(AA60="x","x",IF(AA60="-","-",""))</f>
        <v>-</v>
      </c>
      <c r="BJ60" s="2" t="str">
        <f aca="false">IF(AB60="x","x",IF(AB60="-","-",""))</f>
        <v>-</v>
      </c>
      <c r="BK60" s="2" t="str">
        <f aca="false">IF(AC60="x","x",IF(AC60="-","-",""))</f>
        <v>-</v>
      </c>
      <c r="BL60" s="2" t="str">
        <f aca="false">IF(AD60="x","x",IF(AD60="-","-",""))</f>
        <v>-</v>
      </c>
      <c r="BM60" s="2" t="str">
        <f aca="false">IF(AE60="x","x",IF(AE60="-","-",""))</f>
        <v>-</v>
      </c>
      <c r="BN60" s="2" t="str">
        <f aca="false">IF(AF60="x","x",IF(AF60="-","-",""))</f>
        <v>-</v>
      </c>
      <c r="BO60" s="2" t="str">
        <f aca="false">IF(AG60="x","x",IF(AG60="-","-",""))</f>
        <v>-</v>
      </c>
      <c r="BP60" s="2" t="str">
        <f aca="false">IF(AH60="x","x",IF(AH60="-","-",""))</f>
        <v>-</v>
      </c>
      <c r="BQ60" s="2" t="str">
        <f aca="false">IF(AI60="x","x",IF(AI60="-","-",""))</f>
        <v>-</v>
      </c>
      <c r="BR60" s="2" t="str">
        <f aca="false">IF(AJ60="x","x",IF(AJ60="-","-",""))</f>
        <v>-</v>
      </c>
      <c r="BS60" s="2" t="str">
        <f aca="false">IF(AK60="x","x",IF(AK60="-","-",""))</f>
        <v>-</v>
      </c>
      <c r="BT60" s="2" t="str">
        <f aca="false">IF(AL60="x","x",IF(AL60="-","-",""))</f>
        <v>-</v>
      </c>
      <c r="BU60" s="2" t="str">
        <f aca="false">IF(AM60="x","x",IF(AM60="-","-",""))</f>
        <v>-</v>
      </c>
      <c r="BV60" s="2" t="str">
        <f aca="false">IF(AN60="x","x",IF(AN60="-","-",""))</f>
        <v>-</v>
      </c>
      <c r="BW60" s="2" t="str">
        <f aca="false">IF(AO60="x","x",IF(AO60="-","-",""))</f>
        <v>-</v>
      </c>
      <c r="BX60" s="2" t="str">
        <f aca="false">IF(AP60="x","x",IF(AP60="-","-",""))</f>
        <v>-</v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" t="s">
        <v>53</v>
      </c>
      <c r="D61" s="11" t="s">
        <v>68</v>
      </c>
      <c r="E61" s="11" t="s">
        <v>52</v>
      </c>
      <c r="F61" s="11" t="n">
        <v>60</v>
      </c>
      <c r="G61" s="11" t="s">
        <v>53</v>
      </c>
      <c r="H61" s="11" t="s">
        <v>53</v>
      </c>
      <c r="I61" s="11" t="s">
        <v>53</v>
      </c>
      <c r="J61" s="11" t="s">
        <v>53</v>
      </c>
      <c r="K61" s="11" t="s">
        <v>53</v>
      </c>
      <c r="L61" s="11" t="s">
        <v>53</v>
      </c>
      <c r="M61" s="2" t="n">
        <v>20</v>
      </c>
      <c r="N61" s="11" t="s">
        <v>53</v>
      </c>
      <c r="P61" s="11" t="s">
        <v>49</v>
      </c>
      <c r="Q61" s="11" t="s">
        <v>49</v>
      </c>
      <c r="S61" s="11" t="s">
        <v>53</v>
      </c>
      <c r="T61" s="11" t="s">
        <v>53</v>
      </c>
      <c r="U61" s="11" t="s">
        <v>53</v>
      </c>
      <c r="V61" s="11" t="s">
        <v>53</v>
      </c>
      <c r="W61" s="11" t="s">
        <v>53</v>
      </c>
      <c r="X61" s="11" t="s">
        <v>53</v>
      </c>
      <c r="Y61" s="11" t="s">
        <v>53</v>
      </c>
      <c r="Z61" s="11" t="s">
        <v>53</v>
      </c>
      <c r="AA61" s="11" t="s">
        <v>53</v>
      </c>
      <c r="AB61" s="11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11" t="s">
        <v>53</v>
      </c>
      <c r="AJ61" s="11" t="s">
        <v>53</v>
      </c>
      <c r="AK61" s="11" t="s">
        <v>53</v>
      </c>
      <c r="AL61" s="11" t="s">
        <v>53</v>
      </c>
      <c r="AM61" s="11" t="s">
        <v>53</v>
      </c>
      <c r="AN61" s="11" t="s">
        <v>53</v>
      </c>
      <c r="AO61" s="11" t="s">
        <v>53</v>
      </c>
      <c r="AP61" s="11" t="s">
        <v>53</v>
      </c>
      <c r="AR61" s="11" t="s">
        <v>53</v>
      </c>
      <c r="AS61" s="11" t="s">
        <v>53</v>
      </c>
      <c r="AT61" s="11" t="s">
        <v>53</v>
      </c>
      <c r="AU61" s="11" t="s">
        <v>53</v>
      </c>
      <c r="AV61" s="11" t="s">
        <v>53</v>
      </c>
      <c r="AW61" s="11" t="s">
        <v>53</v>
      </c>
      <c r="AX61" s="11" t="s">
        <v>53</v>
      </c>
      <c r="AY61" s="11" t="s">
        <v>53</v>
      </c>
      <c r="BA61" s="2" t="str">
        <f aca="false">IF(S61="x","x",IF(S61="-","-",""))</f>
        <v>-</v>
      </c>
      <c r="BB61" s="2" t="str">
        <f aca="false">IF(T61="x","x",IF(T61="-","-",""))</f>
        <v>-</v>
      </c>
      <c r="BC61" s="2" t="str">
        <f aca="false">IF(U61="x","x",IF(U61="-","-",""))</f>
        <v>-</v>
      </c>
      <c r="BD61" s="2" t="str">
        <f aca="false">IF(V61="x","x",IF(V61="-","-",""))</f>
        <v>-</v>
      </c>
      <c r="BE61" s="2" t="str">
        <f aca="false">IF(W61="x","x",IF(W61="-","-",""))</f>
        <v>-</v>
      </c>
      <c r="BF61" s="2" t="str">
        <f aca="false">IF(X61="x","x",IF(X61="-","-",""))</f>
        <v>-</v>
      </c>
      <c r="BG61" s="2" t="str">
        <f aca="false">IF(Y61="x","x",IF(Y61="-","-",""))</f>
        <v>-</v>
      </c>
      <c r="BH61" s="2" t="str">
        <f aca="false">IF(Z61="x","x",IF(Z61="-","-",""))</f>
        <v>-</v>
      </c>
      <c r="BI61" s="2" t="str">
        <f aca="false">IF(AA61="x","x",IF(AA61="-","-",""))</f>
        <v>-</v>
      </c>
      <c r="BJ61" s="2" t="str">
        <f aca="false">IF(AB61="x","x",IF(AB61="-","-",""))</f>
        <v>-</v>
      </c>
      <c r="BK61" s="2" t="str">
        <f aca="false">IF(AC61="x","x",IF(AC61="-","-",""))</f>
        <v>-</v>
      </c>
      <c r="BL61" s="2" t="str">
        <f aca="false">IF(AD61="x","x",IF(AD61="-","-",""))</f>
        <v>-</v>
      </c>
      <c r="BM61" s="2" t="str">
        <f aca="false">IF(AE61="x","x",IF(AE61="-","-",""))</f>
        <v>-</v>
      </c>
      <c r="BN61" s="2" t="str">
        <f aca="false">IF(AF61="x","x",IF(AF61="-","-",""))</f>
        <v>-</v>
      </c>
      <c r="BO61" s="2" t="str">
        <f aca="false">IF(AG61="x","x",IF(AG61="-","-",""))</f>
        <v>-</v>
      </c>
      <c r="BP61" s="2" t="str">
        <f aca="false">IF(AH61="x","x",IF(AH61="-","-",""))</f>
        <v>-</v>
      </c>
      <c r="BQ61" s="2" t="str">
        <f aca="false">IF(AI61="x","x",IF(AI61="-","-",""))</f>
        <v>-</v>
      </c>
      <c r="BR61" s="2" t="str">
        <f aca="false">IF(AJ61="x","x",IF(AJ61="-","-",""))</f>
        <v>-</v>
      </c>
      <c r="BS61" s="2" t="str">
        <f aca="false">IF(AK61="x","x",IF(AK61="-","-",""))</f>
        <v>-</v>
      </c>
      <c r="BT61" s="2" t="str">
        <f aca="false">IF(AL61="x","x",IF(AL61="-","-",""))</f>
        <v>-</v>
      </c>
      <c r="BU61" s="2" t="str">
        <f aca="false">IF(AM61="x","x",IF(AM61="-","-",""))</f>
        <v>-</v>
      </c>
      <c r="BV61" s="2" t="str">
        <f aca="false">IF(AN61="x","x",IF(AN61="-","-",""))</f>
        <v>-</v>
      </c>
      <c r="BW61" s="2" t="str">
        <f aca="false">IF(AO61="x","x",IF(AO61="-","-",""))</f>
        <v>-</v>
      </c>
      <c r="BX61" s="2" t="str">
        <f aca="false">IF(AP61="x","x",IF(AP61="-","-",""))</f>
        <v>-</v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" t="s">
        <v>53</v>
      </c>
      <c r="D62" s="11" t="s">
        <v>68</v>
      </c>
      <c r="E62" s="11" t="s">
        <v>52</v>
      </c>
      <c r="F62" s="11" t="n">
        <v>61</v>
      </c>
      <c r="G62" s="11" t="s">
        <v>53</v>
      </c>
      <c r="H62" s="11" t="s">
        <v>53</v>
      </c>
      <c r="I62" s="11" t="s">
        <v>53</v>
      </c>
      <c r="J62" s="11" t="s">
        <v>53</v>
      </c>
      <c r="K62" s="11" t="s">
        <v>53</v>
      </c>
      <c r="L62" s="11" t="s">
        <v>53</v>
      </c>
      <c r="M62" s="2" t="n">
        <v>20</v>
      </c>
      <c r="N62" s="11" t="s">
        <v>53</v>
      </c>
      <c r="P62" s="11" t="s">
        <v>49</v>
      </c>
      <c r="Q62" s="11" t="s">
        <v>49</v>
      </c>
      <c r="S62" s="11" t="s">
        <v>53</v>
      </c>
      <c r="T62" s="11" t="s">
        <v>53</v>
      </c>
      <c r="U62" s="11" t="s">
        <v>53</v>
      </c>
      <c r="V62" s="11" t="s">
        <v>53</v>
      </c>
      <c r="W62" s="11" t="s">
        <v>53</v>
      </c>
      <c r="X62" s="11" t="s">
        <v>53</v>
      </c>
      <c r="Y62" s="11" t="s">
        <v>53</v>
      </c>
      <c r="Z62" s="11" t="s">
        <v>53</v>
      </c>
      <c r="AA62" s="11" t="s">
        <v>53</v>
      </c>
      <c r="AB62" s="11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11" t="s">
        <v>53</v>
      </c>
      <c r="AJ62" s="11" t="s">
        <v>53</v>
      </c>
      <c r="AK62" s="11" t="s">
        <v>53</v>
      </c>
      <c r="AL62" s="11" t="s">
        <v>53</v>
      </c>
      <c r="AM62" s="11" t="s">
        <v>53</v>
      </c>
      <c r="AN62" s="11" t="s">
        <v>53</v>
      </c>
      <c r="AO62" s="11" t="s">
        <v>53</v>
      </c>
      <c r="AP62" s="11" t="s">
        <v>53</v>
      </c>
      <c r="AR62" s="11" t="s">
        <v>53</v>
      </c>
      <c r="AS62" s="11" t="s">
        <v>53</v>
      </c>
      <c r="AT62" s="11" t="s">
        <v>53</v>
      </c>
      <c r="AU62" s="11" t="s">
        <v>53</v>
      </c>
      <c r="AV62" s="11" t="s">
        <v>53</v>
      </c>
      <c r="AW62" s="11" t="s">
        <v>53</v>
      </c>
      <c r="AX62" s="11" t="s">
        <v>53</v>
      </c>
      <c r="AY62" s="11" t="s">
        <v>53</v>
      </c>
      <c r="BA62" s="2" t="str">
        <f aca="false">IF(S62="x","x",IF(S62="-","-",""))</f>
        <v>-</v>
      </c>
      <c r="BB62" s="2" t="str">
        <f aca="false">IF(T62="x","x",IF(T62="-","-",""))</f>
        <v>-</v>
      </c>
      <c r="BC62" s="2" t="str">
        <f aca="false">IF(U62="x","x",IF(U62="-","-",""))</f>
        <v>-</v>
      </c>
      <c r="BD62" s="2" t="str">
        <f aca="false">IF(V62="x","x",IF(V62="-","-",""))</f>
        <v>-</v>
      </c>
      <c r="BE62" s="2" t="str">
        <f aca="false">IF(W62="x","x",IF(W62="-","-",""))</f>
        <v>-</v>
      </c>
      <c r="BF62" s="2" t="str">
        <f aca="false">IF(X62="x","x",IF(X62="-","-",""))</f>
        <v>-</v>
      </c>
      <c r="BG62" s="2" t="str">
        <f aca="false">IF(Y62="x","x",IF(Y62="-","-",""))</f>
        <v>-</v>
      </c>
      <c r="BH62" s="2" t="str">
        <f aca="false">IF(Z62="x","x",IF(Z62="-","-",""))</f>
        <v>-</v>
      </c>
      <c r="BI62" s="2" t="str">
        <f aca="false">IF(AA62="x","x",IF(AA62="-","-",""))</f>
        <v>-</v>
      </c>
      <c r="BJ62" s="2" t="str">
        <f aca="false">IF(AB62="x","x",IF(AB62="-","-",""))</f>
        <v>-</v>
      </c>
      <c r="BK62" s="2" t="str">
        <f aca="false">IF(AC62="x","x",IF(AC62="-","-",""))</f>
        <v>-</v>
      </c>
      <c r="BL62" s="2" t="str">
        <f aca="false">IF(AD62="x","x",IF(AD62="-","-",""))</f>
        <v>-</v>
      </c>
      <c r="BM62" s="2" t="str">
        <f aca="false">IF(AE62="x","x",IF(AE62="-","-",""))</f>
        <v>-</v>
      </c>
      <c r="BN62" s="2" t="str">
        <f aca="false">IF(AF62="x","x",IF(AF62="-","-",""))</f>
        <v>-</v>
      </c>
      <c r="BO62" s="2" t="str">
        <f aca="false">IF(AG62="x","x",IF(AG62="-","-",""))</f>
        <v>-</v>
      </c>
      <c r="BP62" s="2" t="str">
        <f aca="false">IF(AH62="x","x",IF(AH62="-","-",""))</f>
        <v>-</v>
      </c>
      <c r="BQ62" s="2" t="str">
        <f aca="false">IF(AI62="x","x",IF(AI62="-","-",""))</f>
        <v>-</v>
      </c>
      <c r="BR62" s="2" t="str">
        <f aca="false">IF(AJ62="x","x",IF(AJ62="-","-",""))</f>
        <v>-</v>
      </c>
      <c r="BS62" s="2" t="str">
        <f aca="false">IF(AK62="x","x",IF(AK62="-","-",""))</f>
        <v>-</v>
      </c>
      <c r="BT62" s="2" t="str">
        <f aca="false">IF(AL62="x","x",IF(AL62="-","-",""))</f>
        <v>-</v>
      </c>
      <c r="BU62" s="2" t="str">
        <f aca="false">IF(AM62="x","x",IF(AM62="-","-",""))</f>
        <v>-</v>
      </c>
      <c r="BV62" s="2" t="str">
        <f aca="false">IF(AN62="x","x",IF(AN62="-","-",""))</f>
        <v>-</v>
      </c>
      <c r="BW62" s="2" t="str">
        <f aca="false">IF(AO62="x","x",IF(AO62="-","-",""))</f>
        <v>-</v>
      </c>
      <c r="BX62" s="2" t="str">
        <f aca="false">IF(AP62="x","x",IF(AP62="-","-",""))</f>
        <v>-</v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" t="s">
        <v>53</v>
      </c>
      <c r="D63" s="11" t="s">
        <v>68</v>
      </c>
      <c r="E63" s="11" t="s">
        <v>52</v>
      </c>
      <c r="F63" s="11" t="n">
        <v>62</v>
      </c>
      <c r="G63" s="11" t="s">
        <v>53</v>
      </c>
      <c r="H63" s="11" t="s">
        <v>53</v>
      </c>
      <c r="I63" s="11" t="s">
        <v>53</v>
      </c>
      <c r="J63" s="11" t="s">
        <v>53</v>
      </c>
      <c r="K63" s="11" t="s">
        <v>53</v>
      </c>
      <c r="L63" s="11" t="s">
        <v>53</v>
      </c>
      <c r="M63" s="2" t="n">
        <v>20</v>
      </c>
      <c r="N63" s="11" t="s">
        <v>53</v>
      </c>
      <c r="P63" s="11" t="s">
        <v>49</v>
      </c>
      <c r="Q63" s="11" t="s">
        <v>49</v>
      </c>
      <c r="S63" s="11" t="s">
        <v>53</v>
      </c>
      <c r="T63" s="11" t="s">
        <v>53</v>
      </c>
      <c r="U63" s="11" t="s">
        <v>53</v>
      </c>
      <c r="V63" s="11" t="s">
        <v>53</v>
      </c>
      <c r="W63" s="11" t="s">
        <v>53</v>
      </c>
      <c r="X63" s="11" t="s">
        <v>53</v>
      </c>
      <c r="Y63" s="11" t="s">
        <v>53</v>
      </c>
      <c r="Z63" s="11" t="s">
        <v>53</v>
      </c>
      <c r="AA63" s="11" t="s">
        <v>53</v>
      </c>
      <c r="AB63" s="11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11" t="s">
        <v>53</v>
      </c>
      <c r="AJ63" s="11" t="s">
        <v>53</v>
      </c>
      <c r="AK63" s="11" t="s">
        <v>53</v>
      </c>
      <c r="AL63" s="11" t="s">
        <v>53</v>
      </c>
      <c r="AM63" s="11" t="s">
        <v>53</v>
      </c>
      <c r="AN63" s="11" t="s">
        <v>53</v>
      </c>
      <c r="AO63" s="11" t="s">
        <v>53</v>
      </c>
      <c r="AP63" s="11" t="s">
        <v>53</v>
      </c>
      <c r="AR63" s="11" t="s">
        <v>53</v>
      </c>
      <c r="AS63" s="11" t="s">
        <v>53</v>
      </c>
      <c r="AT63" s="11" t="s">
        <v>53</v>
      </c>
      <c r="AU63" s="11" t="s">
        <v>53</v>
      </c>
      <c r="AV63" s="11" t="s">
        <v>53</v>
      </c>
      <c r="AW63" s="11" t="s">
        <v>53</v>
      </c>
      <c r="AX63" s="11" t="s">
        <v>53</v>
      </c>
      <c r="AY63" s="11" t="s">
        <v>53</v>
      </c>
      <c r="BA63" s="2" t="str">
        <f aca="false">IF(S63="x","x",IF(S63="-","-",""))</f>
        <v>-</v>
      </c>
      <c r="BB63" s="2" t="str">
        <f aca="false">IF(T63="x","x",IF(T63="-","-",""))</f>
        <v>-</v>
      </c>
      <c r="BC63" s="2" t="str">
        <f aca="false">IF(U63="x","x",IF(U63="-","-",""))</f>
        <v>-</v>
      </c>
      <c r="BD63" s="2" t="str">
        <f aca="false">IF(V63="x","x",IF(V63="-","-",""))</f>
        <v>-</v>
      </c>
      <c r="BE63" s="2" t="str">
        <f aca="false">IF(W63="x","x",IF(W63="-","-",""))</f>
        <v>-</v>
      </c>
      <c r="BF63" s="2" t="str">
        <f aca="false">IF(X63="x","x",IF(X63="-","-",""))</f>
        <v>-</v>
      </c>
      <c r="BG63" s="2" t="str">
        <f aca="false">IF(Y63="x","x",IF(Y63="-","-",""))</f>
        <v>-</v>
      </c>
      <c r="BH63" s="2" t="str">
        <f aca="false">IF(Z63="x","x",IF(Z63="-","-",""))</f>
        <v>-</v>
      </c>
      <c r="BI63" s="2" t="str">
        <f aca="false">IF(AA63="x","x",IF(AA63="-","-",""))</f>
        <v>-</v>
      </c>
      <c r="BJ63" s="2" t="str">
        <f aca="false">IF(AB63="x","x",IF(AB63="-","-",""))</f>
        <v>-</v>
      </c>
      <c r="BK63" s="2" t="str">
        <f aca="false">IF(AC63="x","x",IF(AC63="-","-",""))</f>
        <v>-</v>
      </c>
      <c r="BL63" s="2" t="str">
        <f aca="false">IF(AD63="x","x",IF(AD63="-","-",""))</f>
        <v>-</v>
      </c>
      <c r="BM63" s="2" t="str">
        <f aca="false">IF(AE63="x","x",IF(AE63="-","-",""))</f>
        <v>-</v>
      </c>
      <c r="BN63" s="2" t="str">
        <f aca="false">IF(AF63="x","x",IF(AF63="-","-",""))</f>
        <v>-</v>
      </c>
      <c r="BO63" s="2" t="str">
        <f aca="false">IF(AG63="x","x",IF(AG63="-","-",""))</f>
        <v>-</v>
      </c>
      <c r="BP63" s="2" t="str">
        <f aca="false">IF(AH63="x","x",IF(AH63="-","-",""))</f>
        <v>-</v>
      </c>
      <c r="BQ63" s="2" t="str">
        <f aca="false">IF(AI63="x","x",IF(AI63="-","-",""))</f>
        <v>-</v>
      </c>
      <c r="BR63" s="2" t="str">
        <f aca="false">IF(AJ63="x","x",IF(AJ63="-","-",""))</f>
        <v>-</v>
      </c>
      <c r="BS63" s="2" t="str">
        <f aca="false">IF(AK63="x","x",IF(AK63="-","-",""))</f>
        <v>-</v>
      </c>
      <c r="BT63" s="2" t="str">
        <f aca="false">IF(AL63="x","x",IF(AL63="-","-",""))</f>
        <v>-</v>
      </c>
      <c r="BU63" s="2" t="str">
        <f aca="false">IF(AM63="x","x",IF(AM63="-","-",""))</f>
        <v>-</v>
      </c>
      <c r="BV63" s="2" t="str">
        <f aca="false">IF(AN63="x","x",IF(AN63="-","-",""))</f>
        <v>-</v>
      </c>
      <c r="BW63" s="2" t="str">
        <f aca="false">IF(AO63="x","x",IF(AO63="-","-",""))</f>
        <v>-</v>
      </c>
      <c r="BX63" s="2" t="str">
        <f aca="false">IF(AP63="x","x",IF(AP63="-","-",""))</f>
        <v>-</v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" t="s">
        <v>53</v>
      </c>
      <c r="D64" s="11" t="s">
        <v>68</v>
      </c>
      <c r="E64" s="11" t="s">
        <v>52</v>
      </c>
      <c r="F64" s="11" t="n">
        <v>63</v>
      </c>
      <c r="G64" s="11" t="s">
        <v>53</v>
      </c>
      <c r="H64" s="11" t="s">
        <v>53</v>
      </c>
      <c r="I64" s="11" t="s">
        <v>53</v>
      </c>
      <c r="J64" s="11" t="s">
        <v>53</v>
      </c>
      <c r="K64" s="11" t="s">
        <v>53</v>
      </c>
      <c r="L64" s="11" t="s">
        <v>53</v>
      </c>
      <c r="M64" s="2" t="n">
        <v>20</v>
      </c>
      <c r="N64" s="11" t="s">
        <v>53</v>
      </c>
      <c r="P64" s="11" t="s">
        <v>49</v>
      </c>
      <c r="Q64" s="11" t="s">
        <v>49</v>
      </c>
      <c r="S64" s="11" t="s">
        <v>53</v>
      </c>
      <c r="T64" s="11" t="s">
        <v>53</v>
      </c>
      <c r="U64" s="11" t="s">
        <v>53</v>
      </c>
      <c r="V64" s="11" t="s">
        <v>53</v>
      </c>
      <c r="W64" s="11" t="s">
        <v>53</v>
      </c>
      <c r="X64" s="11" t="s">
        <v>53</v>
      </c>
      <c r="Y64" s="11" t="s">
        <v>53</v>
      </c>
      <c r="Z64" s="11" t="s">
        <v>53</v>
      </c>
      <c r="AA64" s="11" t="s">
        <v>53</v>
      </c>
      <c r="AB64" s="11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11" t="s">
        <v>53</v>
      </c>
      <c r="AJ64" s="11" t="s">
        <v>53</v>
      </c>
      <c r="AK64" s="11" t="s">
        <v>53</v>
      </c>
      <c r="AL64" s="11" t="s">
        <v>53</v>
      </c>
      <c r="AM64" s="11" t="s">
        <v>53</v>
      </c>
      <c r="AN64" s="11" t="s">
        <v>53</v>
      </c>
      <c r="AO64" s="11" t="s">
        <v>53</v>
      </c>
      <c r="AP64" s="11" t="s">
        <v>53</v>
      </c>
      <c r="AR64" s="11" t="s">
        <v>53</v>
      </c>
      <c r="AS64" s="11" t="s">
        <v>53</v>
      </c>
      <c r="AT64" s="11" t="s">
        <v>53</v>
      </c>
      <c r="AU64" s="11" t="s">
        <v>53</v>
      </c>
      <c r="AV64" s="11" t="s">
        <v>53</v>
      </c>
      <c r="AW64" s="11" t="s">
        <v>53</v>
      </c>
      <c r="AX64" s="11" t="s">
        <v>53</v>
      </c>
      <c r="AY64" s="11" t="s">
        <v>53</v>
      </c>
      <c r="BA64" s="2" t="str">
        <f aca="false">IF(S64="x","x",IF(S64="-","-",""))</f>
        <v>-</v>
      </c>
      <c r="BB64" s="2" t="str">
        <f aca="false">IF(T64="x","x",IF(T64="-","-",""))</f>
        <v>-</v>
      </c>
      <c r="BC64" s="2" t="str">
        <f aca="false">IF(U64="x","x",IF(U64="-","-",""))</f>
        <v>-</v>
      </c>
      <c r="BD64" s="2" t="str">
        <f aca="false">IF(V64="x","x",IF(V64="-","-",""))</f>
        <v>-</v>
      </c>
      <c r="BE64" s="2" t="str">
        <f aca="false">IF(W64="x","x",IF(W64="-","-",""))</f>
        <v>-</v>
      </c>
      <c r="BF64" s="2" t="str">
        <f aca="false">IF(X64="x","x",IF(X64="-","-",""))</f>
        <v>-</v>
      </c>
      <c r="BG64" s="2" t="str">
        <f aca="false">IF(Y64="x","x",IF(Y64="-","-",""))</f>
        <v>-</v>
      </c>
      <c r="BH64" s="2" t="str">
        <f aca="false">IF(Z64="x","x",IF(Z64="-","-",""))</f>
        <v>-</v>
      </c>
      <c r="BI64" s="2" t="str">
        <f aca="false">IF(AA64="x","x",IF(AA64="-","-",""))</f>
        <v>-</v>
      </c>
      <c r="BJ64" s="2" t="str">
        <f aca="false">IF(AB64="x","x",IF(AB64="-","-",""))</f>
        <v>-</v>
      </c>
      <c r="BK64" s="2" t="str">
        <f aca="false">IF(AC64="x","x",IF(AC64="-","-",""))</f>
        <v>-</v>
      </c>
      <c r="BL64" s="2" t="str">
        <f aca="false">IF(AD64="x","x",IF(AD64="-","-",""))</f>
        <v>-</v>
      </c>
      <c r="BM64" s="2" t="str">
        <f aca="false">IF(AE64="x","x",IF(AE64="-","-",""))</f>
        <v>-</v>
      </c>
      <c r="BN64" s="2" t="str">
        <f aca="false">IF(AF64="x","x",IF(AF64="-","-",""))</f>
        <v>-</v>
      </c>
      <c r="BO64" s="2" t="str">
        <f aca="false">IF(AG64="x","x",IF(AG64="-","-",""))</f>
        <v>-</v>
      </c>
      <c r="BP64" s="2" t="str">
        <f aca="false">IF(AH64="x","x",IF(AH64="-","-",""))</f>
        <v>-</v>
      </c>
      <c r="BQ64" s="2" t="str">
        <f aca="false">IF(AI64="x","x",IF(AI64="-","-",""))</f>
        <v>-</v>
      </c>
      <c r="BR64" s="2" t="str">
        <f aca="false">IF(AJ64="x","x",IF(AJ64="-","-",""))</f>
        <v>-</v>
      </c>
      <c r="BS64" s="2" t="str">
        <f aca="false">IF(AK64="x","x",IF(AK64="-","-",""))</f>
        <v>-</v>
      </c>
      <c r="BT64" s="2" t="str">
        <f aca="false">IF(AL64="x","x",IF(AL64="-","-",""))</f>
        <v>-</v>
      </c>
      <c r="BU64" s="2" t="str">
        <f aca="false">IF(AM64="x","x",IF(AM64="-","-",""))</f>
        <v>-</v>
      </c>
      <c r="BV64" s="2" t="str">
        <f aca="false">IF(AN64="x","x",IF(AN64="-","-",""))</f>
        <v>-</v>
      </c>
      <c r="BW64" s="2" t="str">
        <f aca="false">IF(AO64="x","x",IF(AO64="-","-",""))</f>
        <v>-</v>
      </c>
      <c r="BX64" s="2" t="str">
        <f aca="false">IF(AP64="x","x",IF(AP64="-","-",""))</f>
        <v>-</v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" t="s">
        <v>53</v>
      </c>
      <c r="D65" s="11" t="s">
        <v>68</v>
      </c>
      <c r="E65" s="11" t="s">
        <v>52</v>
      </c>
      <c r="F65" s="11" t="n">
        <v>64</v>
      </c>
      <c r="G65" s="11" t="s">
        <v>53</v>
      </c>
      <c r="H65" s="11" t="s">
        <v>53</v>
      </c>
      <c r="I65" s="11" t="s">
        <v>53</v>
      </c>
      <c r="J65" s="11" t="s">
        <v>53</v>
      </c>
      <c r="K65" s="11" t="s">
        <v>53</v>
      </c>
      <c r="L65" s="11" t="s">
        <v>53</v>
      </c>
      <c r="M65" s="2" t="n">
        <v>20</v>
      </c>
      <c r="N65" s="11" t="s">
        <v>53</v>
      </c>
      <c r="P65" s="11" t="s">
        <v>49</v>
      </c>
      <c r="Q65" s="11" t="s">
        <v>49</v>
      </c>
      <c r="S65" s="11" t="s">
        <v>53</v>
      </c>
      <c r="T65" s="11" t="s">
        <v>53</v>
      </c>
      <c r="U65" s="11" t="s">
        <v>53</v>
      </c>
      <c r="V65" s="11" t="s">
        <v>53</v>
      </c>
      <c r="W65" s="11" t="s">
        <v>53</v>
      </c>
      <c r="X65" s="11" t="s">
        <v>53</v>
      </c>
      <c r="Y65" s="11" t="s">
        <v>53</v>
      </c>
      <c r="Z65" s="11" t="s">
        <v>53</v>
      </c>
      <c r="AA65" s="11" t="s">
        <v>53</v>
      </c>
      <c r="AB65" s="11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11" t="s">
        <v>53</v>
      </c>
      <c r="AJ65" s="11" t="s">
        <v>53</v>
      </c>
      <c r="AK65" s="11" t="s">
        <v>53</v>
      </c>
      <c r="AL65" s="11" t="s">
        <v>53</v>
      </c>
      <c r="AM65" s="11" t="s">
        <v>53</v>
      </c>
      <c r="AN65" s="11" t="s">
        <v>53</v>
      </c>
      <c r="AO65" s="11" t="s">
        <v>53</v>
      </c>
      <c r="AP65" s="11" t="s">
        <v>53</v>
      </c>
      <c r="AR65" s="11" t="s">
        <v>53</v>
      </c>
      <c r="AS65" s="11" t="s">
        <v>53</v>
      </c>
      <c r="AT65" s="11" t="s">
        <v>53</v>
      </c>
      <c r="AU65" s="11" t="s">
        <v>53</v>
      </c>
      <c r="AV65" s="11" t="s">
        <v>53</v>
      </c>
      <c r="AW65" s="11" t="s">
        <v>53</v>
      </c>
      <c r="AX65" s="11" t="s">
        <v>53</v>
      </c>
      <c r="AY65" s="11" t="s">
        <v>53</v>
      </c>
      <c r="BA65" s="2" t="str">
        <f aca="false">IF(S65="x","x",IF(S65="-","-",""))</f>
        <v>-</v>
      </c>
      <c r="BB65" s="2" t="str">
        <f aca="false">IF(T65="x","x",IF(T65="-","-",""))</f>
        <v>-</v>
      </c>
      <c r="BC65" s="2" t="str">
        <f aca="false">IF(U65="x","x",IF(U65="-","-",""))</f>
        <v>-</v>
      </c>
      <c r="BD65" s="2" t="str">
        <f aca="false">IF(V65="x","x",IF(V65="-","-",""))</f>
        <v>-</v>
      </c>
      <c r="BE65" s="2" t="str">
        <f aca="false">IF(W65="x","x",IF(W65="-","-",""))</f>
        <v>-</v>
      </c>
      <c r="BF65" s="2" t="str">
        <f aca="false">IF(X65="x","x",IF(X65="-","-",""))</f>
        <v>-</v>
      </c>
      <c r="BG65" s="2" t="str">
        <f aca="false">IF(Y65="x","x",IF(Y65="-","-",""))</f>
        <v>-</v>
      </c>
      <c r="BH65" s="2" t="str">
        <f aca="false">IF(Z65="x","x",IF(Z65="-","-",""))</f>
        <v>-</v>
      </c>
      <c r="BI65" s="2" t="str">
        <f aca="false">IF(AA65="x","x",IF(AA65="-","-",""))</f>
        <v>-</v>
      </c>
      <c r="BJ65" s="2" t="str">
        <f aca="false">IF(AB65="x","x",IF(AB65="-","-",""))</f>
        <v>-</v>
      </c>
      <c r="BK65" s="2" t="str">
        <f aca="false">IF(AC65="x","x",IF(AC65="-","-",""))</f>
        <v>-</v>
      </c>
      <c r="BL65" s="2" t="str">
        <f aca="false">IF(AD65="x","x",IF(AD65="-","-",""))</f>
        <v>-</v>
      </c>
      <c r="BM65" s="2" t="str">
        <f aca="false">IF(AE65="x","x",IF(AE65="-","-",""))</f>
        <v>-</v>
      </c>
      <c r="BN65" s="2" t="str">
        <f aca="false">IF(AF65="x","x",IF(AF65="-","-",""))</f>
        <v>-</v>
      </c>
      <c r="BO65" s="2" t="str">
        <f aca="false">IF(AG65="x","x",IF(AG65="-","-",""))</f>
        <v>-</v>
      </c>
      <c r="BP65" s="2" t="str">
        <f aca="false">IF(AH65="x","x",IF(AH65="-","-",""))</f>
        <v>-</v>
      </c>
      <c r="BQ65" s="2" t="str">
        <f aca="false">IF(AI65="x","x",IF(AI65="-","-",""))</f>
        <v>-</v>
      </c>
      <c r="BR65" s="2" t="str">
        <f aca="false">IF(AJ65="x","x",IF(AJ65="-","-",""))</f>
        <v>-</v>
      </c>
      <c r="BS65" s="2" t="str">
        <f aca="false">IF(AK65="x","x",IF(AK65="-","-",""))</f>
        <v>-</v>
      </c>
      <c r="BT65" s="2" t="str">
        <f aca="false">IF(AL65="x","x",IF(AL65="-","-",""))</f>
        <v>-</v>
      </c>
      <c r="BU65" s="2" t="str">
        <f aca="false">IF(AM65="x","x",IF(AM65="-","-",""))</f>
        <v>-</v>
      </c>
      <c r="BV65" s="2" t="str">
        <f aca="false">IF(AN65="x","x",IF(AN65="-","-",""))</f>
        <v>-</v>
      </c>
      <c r="BW65" s="2" t="str">
        <f aca="false">IF(AO65="x","x",IF(AO65="-","-",""))</f>
        <v>-</v>
      </c>
      <c r="BX65" s="2" t="str">
        <f aca="false">IF(AP65="x","x",IF(AP65="-","-",""))</f>
        <v>-</v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B66" s="2"/>
      <c r="D66" s="11"/>
      <c r="E66" s="11"/>
      <c r="F66" s="11"/>
      <c r="G66" s="11"/>
      <c r="H66" s="11"/>
      <c r="I66" s="11"/>
      <c r="J66" s="11"/>
      <c r="K66" s="11"/>
      <c r="L66" s="11"/>
      <c r="N66" s="11"/>
      <c r="P66" s="11"/>
      <c r="Q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R66" s="11"/>
      <c r="AS66" s="11"/>
      <c r="AT66" s="11"/>
      <c r="AU66" s="11"/>
      <c r="AV66" s="11"/>
      <c r="AW66" s="11"/>
      <c r="AX66" s="11"/>
      <c r="AY66" s="11"/>
      <c r="BZ66" s="11"/>
      <c r="CA66" s="11"/>
      <c r="CB66" s="11"/>
      <c r="CC66" s="11"/>
      <c r="CD66" s="11"/>
      <c r="CE66" s="11"/>
      <c r="CF66" s="11"/>
      <c r="CG66" s="11"/>
    </row>
    <row r="67" customFormat="false" ht="13.8" hidden="false" customHeight="false" outlineLevel="0" collapsed="false">
      <c r="B67" s="2"/>
      <c r="D67" s="11"/>
      <c r="E67" s="11"/>
      <c r="F67" s="11"/>
      <c r="G67" s="11"/>
      <c r="H67" s="11"/>
      <c r="I67" s="11"/>
      <c r="J67" s="11"/>
      <c r="K67" s="11"/>
      <c r="L67" s="11"/>
      <c r="N67" s="11"/>
      <c r="P67" s="11"/>
      <c r="Q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R67" s="11"/>
      <c r="AS67" s="11"/>
      <c r="AT67" s="11"/>
      <c r="AU67" s="11"/>
      <c r="AV67" s="11"/>
      <c r="AW67" s="11"/>
      <c r="AX67" s="11"/>
      <c r="AY67" s="11"/>
      <c r="BZ67" s="11"/>
      <c r="CA67" s="11"/>
      <c r="CB67" s="11"/>
      <c r="CC67" s="11"/>
      <c r="CD67" s="11"/>
      <c r="CE67" s="11"/>
      <c r="CF67" s="11"/>
      <c r="CG67" s="11"/>
    </row>
    <row r="68" customFormat="false" ht="13.8" hidden="false" customHeight="false" outlineLevel="0" collapsed="false">
      <c r="B68" s="2"/>
      <c r="D68" s="11"/>
      <c r="E68" s="11"/>
      <c r="F68" s="11"/>
      <c r="G68" s="11"/>
      <c r="H68" s="11"/>
      <c r="I68" s="11"/>
      <c r="J68" s="11"/>
      <c r="K68" s="11"/>
      <c r="L68" s="11"/>
      <c r="N68" s="11"/>
      <c r="P68" s="11"/>
      <c r="Q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R68" s="11"/>
      <c r="AS68" s="11"/>
      <c r="AT68" s="11"/>
      <c r="AU68" s="11"/>
      <c r="AV68" s="11"/>
      <c r="AW68" s="11"/>
      <c r="AX68" s="11"/>
      <c r="AY68" s="11"/>
      <c r="BZ68" s="11"/>
      <c r="CA68" s="11"/>
      <c r="CB68" s="11"/>
      <c r="CC68" s="11"/>
      <c r="CD68" s="11"/>
      <c r="CE68" s="11"/>
      <c r="CF68" s="11"/>
      <c r="CG68" s="11"/>
    </row>
    <row r="69" customFormat="false" ht="13.8" hidden="false" customHeight="false" outlineLevel="0" collapsed="false">
      <c r="B69" s="2"/>
      <c r="D69" s="11"/>
      <c r="E69" s="11"/>
      <c r="F69" s="11"/>
      <c r="G69" s="11"/>
      <c r="H69" s="11"/>
      <c r="I69" s="11"/>
      <c r="J69" s="11"/>
      <c r="K69" s="11"/>
      <c r="L69" s="11"/>
      <c r="N69" s="11"/>
      <c r="P69" s="11"/>
      <c r="Q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R69" s="11"/>
      <c r="AS69" s="11"/>
      <c r="AT69" s="11"/>
      <c r="AU69" s="11"/>
      <c r="AV69" s="11"/>
      <c r="AW69" s="11"/>
      <c r="AX69" s="11"/>
      <c r="AY69" s="11"/>
      <c r="BZ69" s="11"/>
      <c r="CA69" s="11"/>
      <c r="CB69" s="11"/>
      <c r="CC69" s="11"/>
      <c r="CD69" s="11"/>
      <c r="CE69" s="11"/>
      <c r="CF69" s="11"/>
      <c r="CG69" s="11"/>
    </row>
    <row r="70" customFormat="false" ht="13.8" hidden="false" customHeight="false" outlineLevel="0" collapsed="false">
      <c r="B70" s="2"/>
      <c r="D70" s="11"/>
      <c r="E70" s="11"/>
      <c r="F70" s="11"/>
      <c r="G70" s="11"/>
      <c r="H70" s="11"/>
      <c r="I70" s="11"/>
      <c r="J70" s="11"/>
      <c r="K70" s="11"/>
      <c r="L70" s="11"/>
      <c r="N70" s="11"/>
      <c r="P70" s="11"/>
      <c r="Q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R70" s="11"/>
      <c r="AS70" s="11"/>
      <c r="AT70" s="11"/>
      <c r="AU70" s="11"/>
      <c r="AV70" s="11"/>
      <c r="AW70" s="11"/>
      <c r="AX70" s="11"/>
      <c r="AY70" s="11"/>
      <c r="BZ70" s="11"/>
      <c r="CA70" s="11"/>
      <c r="CB70" s="11"/>
      <c r="CC70" s="11"/>
      <c r="CD70" s="11"/>
      <c r="CE70" s="11"/>
      <c r="CF70" s="11"/>
      <c r="CG70" s="11"/>
    </row>
    <row r="71" customFormat="false" ht="13.8" hidden="false" customHeight="false" outlineLevel="0" collapsed="false">
      <c r="B71" s="2"/>
      <c r="D71" s="11"/>
      <c r="E71" s="11"/>
      <c r="F71" s="11"/>
      <c r="G71" s="11"/>
      <c r="H71" s="11"/>
      <c r="I71" s="11"/>
      <c r="J71" s="11"/>
      <c r="K71" s="11"/>
      <c r="L71" s="11"/>
      <c r="N71" s="11"/>
      <c r="P71" s="11"/>
      <c r="Q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R71" s="11"/>
      <c r="AS71" s="11"/>
      <c r="AT71" s="11"/>
      <c r="AU71" s="11"/>
      <c r="AV71" s="11"/>
      <c r="AW71" s="11"/>
      <c r="AX71" s="11"/>
      <c r="AY71" s="11"/>
      <c r="BZ71" s="11"/>
      <c r="CA71" s="11"/>
      <c r="CB71" s="11"/>
      <c r="CC71" s="11"/>
      <c r="CD71" s="11"/>
      <c r="CE71" s="11"/>
      <c r="CF71" s="11"/>
      <c r="CG71" s="11"/>
    </row>
    <row r="72" customFormat="false" ht="13.8" hidden="false" customHeight="false" outlineLevel="0" collapsed="false">
      <c r="B72" s="2"/>
      <c r="D72" s="11"/>
      <c r="E72" s="11"/>
      <c r="F72" s="11"/>
      <c r="G72" s="11"/>
      <c r="H72" s="11"/>
      <c r="I72" s="11"/>
      <c r="J72" s="11"/>
      <c r="K72" s="11"/>
      <c r="L72" s="11"/>
      <c r="N72" s="11"/>
      <c r="P72" s="11"/>
      <c r="Q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R72" s="11"/>
      <c r="AS72" s="11"/>
      <c r="AT72" s="11"/>
      <c r="AU72" s="11"/>
      <c r="AV72" s="11"/>
      <c r="AW72" s="11"/>
      <c r="AX72" s="11"/>
      <c r="AY72" s="11"/>
      <c r="BZ72" s="11"/>
      <c r="CA72" s="11"/>
      <c r="CB72" s="11"/>
      <c r="CC72" s="11"/>
      <c r="CD72" s="11"/>
      <c r="CE72" s="11"/>
      <c r="CF72" s="11"/>
      <c r="CG72" s="11"/>
    </row>
    <row r="73" customFormat="false" ht="13.8" hidden="false" customHeight="false" outlineLevel="0" collapsed="false">
      <c r="B73" s="2"/>
      <c r="D73" s="11"/>
      <c r="E73" s="11"/>
      <c r="F73" s="11"/>
      <c r="G73" s="11"/>
      <c r="H73" s="11"/>
      <c r="I73" s="11"/>
      <c r="J73" s="11"/>
      <c r="K73" s="11"/>
      <c r="L73" s="11"/>
      <c r="N73" s="11"/>
      <c r="P73" s="11"/>
      <c r="Q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R73" s="11"/>
      <c r="AS73" s="11"/>
      <c r="AT73" s="11"/>
      <c r="AU73" s="11"/>
      <c r="AV73" s="11"/>
      <c r="AW73" s="11"/>
      <c r="AX73" s="11"/>
      <c r="AY73" s="11"/>
      <c r="BZ73" s="11"/>
      <c r="CA73" s="11"/>
      <c r="CB73" s="11"/>
      <c r="CC73" s="11"/>
      <c r="CD73" s="11"/>
      <c r="CE73" s="11"/>
      <c r="CF73" s="11"/>
      <c r="CG73" s="11"/>
    </row>
    <row r="74" customFormat="false" ht="13.8" hidden="false" customHeight="false" outlineLevel="0" collapsed="false">
      <c r="B74" s="2"/>
      <c r="D74" s="11"/>
      <c r="E74" s="11"/>
      <c r="F74" s="11"/>
      <c r="G74" s="11"/>
      <c r="H74" s="11"/>
      <c r="I74" s="11"/>
      <c r="J74" s="11"/>
      <c r="K74" s="11"/>
      <c r="L74" s="11"/>
      <c r="N74" s="11"/>
      <c r="P74" s="11"/>
      <c r="Q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R74" s="11"/>
      <c r="AS74" s="11"/>
      <c r="AT74" s="11"/>
      <c r="AU74" s="11"/>
      <c r="AV74" s="11"/>
      <c r="AW74" s="11"/>
      <c r="AX74" s="11"/>
      <c r="AY74" s="11"/>
      <c r="BZ74" s="11"/>
      <c r="CA74" s="11"/>
      <c r="CB74" s="11"/>
      <c r="CC74" s="11"/>
      <c r="CD74" s="11"/>
      <c r="CE74" s="11"/>
      <c r="CF74" s="11"/>
      <c r="CG74" s="11"/>
    </row>
    <row r="75" customFormat="false" ht="13.8" hidden="false" customHeight="false" outlineLevel="0" collapsed="false">
      <c r="B75" s="2"/>
      <c r="D75" s="11"/>
      <c r="E75" s="11"/>
      <c r="F75" s="11"/>
      <c r="G75" s="11"/>
      <c r="H75" s="11"/>
      <c r="I75" s="11"/>
      <c r="J75" s="11"/>
      <c r="K75" s="11"/>
      <c r="L75" s="11"/>
      <c r="N75" s="11"/>
      <c r="P75" s="11"/>
      <c r="Q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R75" s="11"/>
      <c r="AS75" s="11"/>
      <c r="AT75" s="11"/>
      <c r="AU75" s="11"/>
      <c r="AV75" s="11"/>
      <c r="AW75" s="11"/>
      <c r="AX75" s="11"/>
      <c r="AY75" s="11"/>
      <c r="BZ75" s="11"/>
      <c r="CA75" s="11"/>
      <c r="CB75" s="11"/>
      <c r="CC75" s="11"/>
      <c r="CD75" s="11"/>
      <c r="CE75" s="11"/>
      <c r="CF75" s="11"/>
      <c r="CG75" s="11"/>
    </row>
    <row r="76" customFormat="false" ht="13.8" hidden="false" customHeight="false" outlineLevel="0" collapsed="false">
      <c r="B76" s="2"/>
      <c r="D76" s="11"/>
      <c r="E76" s="11"/>
      <c r="F76" s="11"/>
      <c r="G76" s="11"/>
      <c r="H76" s="11"/>
      <c r="I76" s="11"/>
      <c r="J76" s="11"/>
      <c r="K76" s="11"/>
      <c r="L76" s="11"/>
      <c r="N76" s="11"/>
      <c r="P76" s="11"/>
      <c r="Q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R76" s="11"/>
      <c r="AS76" s="11"/>
      <c r="AT76" s="11"/>
      <c r="AU76" s="11"/>
      <c r="AV76" s="11"/>
      <c r="AW76" s="11"/>
      <c r="AX76" s="11"/>
      <c r="AY76" s="11"/>
      <c r="BZ76" s="11"/>
      <c r="CA76" s="11"/>
      <c r="CB76" s="11"/>
      <c r="CC76" s="11"/>
      <c r="CD76" s="11"/>
      <c r="CE76" s="11"/>
      <c r="CF76" s="11"/>
      <c r="CG76" s="11"/>
    </row>
    <row r="77" customFormat="false" ht="13.8" hidden="false" customHeight="false" outlineLevel="0" collapsed="false">
      <c r="B77" s="2"/>
      <c r="D77" s="11"/>
      <c r="E77" s="11"/>
      <c r="F77" s="11"/>
      <c r="G77" s="11"/>
      <c r="H77" s="11"/>
      <c r="I77" s="11"/>
      <c r="J77" s="11"/>
      <c r="K77" s="11"/>
      <c r="L77" s="11"/>
      <c r="N77" s="11"/>
      <c r="P77" s="11"/>
      <c r="Q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R77" s="11"/>
      <c r="AS77" s="11"/>
      <c r="AT77" s="11"/>
      <c r="AU77" s="11"/>
      <c r="AV77" s="11"/>
      <c r="AW77" s="11"/>
      <c r="AX77" s="11"/>
      <c r="AY77" s="11"/>
      <c r="BZ77" s="11"/>
      <c r="CA77" s="11"/>
      <c r="CB77" s="11"/>
      <c r="CC77" s="11"/>
      <c r="CD77" s="11"/>
      <c r="CE77" s="11"/>
      <c r="CF77" s="11"/>
      <c r="CG77" s="11"/>
    </row>
    <row r="78" customFormat="false" ht="13.8" hidden="false" customHeight="false" outlineLevel="0" collapsed="false">
      <c r="B78" s="2"/>
      <c r="D78" s="11"/>
      <c r="E78" s="11"/>
      <c r="F78" s="11"/>
      <c r="G78" s="11"/>
      <c r="H78" s="11"/>
      <c r="I78" s="11"/>
      <c r="J78" s="11"/>
      <c r="K78" s="11"/>
      <c r="L78" s="11"/>
      <c r="N78" s="11"/>
      <c r="P78" s="11"/>
      <c r="Q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R78" s="11"/>
      <c r="AS78" s="11"/>
      <c r="AT78" s="11"/>
      <c r="AU78" s="11"/>
      <c r="AV78" s="11"/>
      <c r="AW78" s="11"/>
      <c r="AX78" s="11"/>
      <c r="AY78" s="11"/>
      <c r="BZ78" s="11"/>
      <c r="CA78" s="11"/>
      <c r="CB78" s="11"/>
      <c r="CC78" s="11"/>
      <c r="CD78" s="11"/>
      <c r="CE78" s="11"/>
      <c r="CF78" s="11"/>
      <c r="CG78" s="11"/>
    </row>
    <row r="79" customFormat="false" ht="13.8" hidden="false" customHeight="false" outlineLevel="0" collapsed="false">
      <c r="B79" s="2"/>
      <c r="D79" s="11"/>
      <c r="E79" s="11"/>
      <c r="F79" s="11"/>
      <c r="G79" s="11"/>
      <c r="H79" s="11"/>
      <c r="I79" s="11"/>
      <c r="J79" s="11"/>
      <c r="K79" s="11"/>
      <c r="L79" s="11"/>
      <c r="N79" s="11"/>
      <c r="P79" s="11"/>
      <c r="Q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R79" s="11"/>
      <c r="AS79" s="11"/>
      <c r="AT79" s="11"/>
      <c r="AU79" s="11"/>
      <c r="AV79" s="11"/>
      <c r="AW79" s="11"/>
      <c r="AX79" s="11"/>
      <c r="AY79" s="11"/>
      <c r="BZ79" s="11"/>
      <c r="CA79" s="11"/>
      <c r="CB79" s="11"/>
      <c r="CC79" s="11"/>
      <c r="CD79" s="11"/>
      <c r="CE79" s="11"/>
      <c r="CF79" s="11"/>
      <c r="CG79" s="11"/>
    </row>
    <row r="80" customFormat="false" ht="13.8" hidden="false" customHeight="false" outlineLevel="0" collapsed="false">
      <c r="B80" s="2"/>
      <c r="D80" s="11"/>
      <c r="E80" s="11"/>
      <c r="F80" s="11"/>
      <c r="G80" s="11"/>
      <c r="H80" s="11"/>
      <c r="I80" s="11"/>
      <c r="J80" s="11"/>
      <c r="K80" s="11"/>
      <c r="L80" s="11"/>
      <c r="N80" s="11"/>
      <c r="P80" s="11"/>
      <c r="Q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R80" s="11"/>
      <c r="AS80" s="11"/>
      <c r="AT80" s="11"/>
      <c r="AU80" s="11"/>
      <c r="AV80" s="11"/>
      <c r="AW80" s="11"/>
      <c r="AX80" s="11"/>
      <c r="AY80" s="11"/>
      <c r="BZ80" s="11"/>
      <c r="CA80" s="11"/>
      <c r="CB80" s="11"/>
      <c r="CC80" s="11"/>
      <c r="CD80" s="11"/>
      <c r="CE80" s="11"/>
      <c r="CF80" s="11"/>
      <c r="CG80" s="11"/>
    </row>
    <row r="81" customFormat="false" ht="13.8" hidden="false" customHeight="false" outlineLevel="0" collapsed="false">
      <c r="B81" s="2"/>
      <c r="D81" s="11"/>
      <c r="E81" s="11"/>
      <c r="F81" s="11"/>
      <c r="G81" s="11"/>
      <c r="H81" s="11"/>
      <c r="I81" s="11"/>
      <c r="J81" s="11"/>
      <c r="K81" s="11"/>
      <c r="L81" s="11"/>
      <c r="N81" s="11"/>
      <c r="P81" s="11"/>
      <c r="Q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R81" s="11"/>
      <c r="AS81" s="11"/>
      <c r="AT81" s="11"/>
      <c r="AU81" s="11"/>
      <c r="AV81" s="11"/>
      <c r="AW81" s="11"/>
      <c r="AX81" s="11"/>
      <c r="AY81" s="11"/>
      <c r="BZ81" s="11"/>
      <c r="CA81" s="11"/>
      <c r="CB81" s="11"/>
      <c r="CC81" s="11"/>
      <c r="CD81" s="11"/>
      <c r="CE81" s="11"/>
      <c r="CF81" s="11"/>
      <c r="CG81" s="11"/>
    </row>
    <row r="82" customFormat="false" ht="13.8" hidden="false" customHeight="false" outlineLevel="0" collapsed="false">
      <c r="B82" s="2"/>
      <c r="D82" s="11"/>
      <c r="E82" s="11"/>
      <c r="F82" s="11"/>
      <c r="G82" s="11"/>
      <c r="H82" s="11"/>
      <c r="I82" s="11"/>
      <c r="J82" s="11"/>
      <c r="K82" s="11"/>
      <c r="L82" s="11"/>
      <c r="N82" s="11"/>
      <c r="P82" s="11"/>
      <c r="Q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R82" s="11"/>
      <c r="AS82" s="11"/>
      <c r="AT82" s="11"/>
      <c r="AU82" s="11"/>
      <c r="AV82" s="11"/>
      <c r="AW82" s="11"/>
      <c r="AX82" s="11"/>
      <c r="AY82" s="11"/>
      <c r="BZ82" s="11"/>
      <c r="CA82" s="11"/>
      <c r="CB82" s="11"/>
      <c r="CC82" s="11"/>
      <c r="CD82" s="11"/>
      <c r="CE82" s="11"/>
      <c r="CF82" s="11"/>
      <c r="CG82" s="11"/>
    </row>
    <row r="83" customFormat="false" ht="13.8" hidden="false" customHeight="false" outlineLevel="0" collapsed="false">
      <c r="B83" s="2"/>
      <c r="D83" s="11"/>
      <c r="E83" s="11"/>
      <c r="F83" s="11"/>
      <c r="G83" s="11"/>
      <c r="H83" s="11"/>
      <c r="I83" s="11"/>
      <c r="J83" s="11"/>
      <c r="K83" s="11"/>
      <c r="L83" s="11"/>
      <c r="N83" s="11"/>
      <c r="P83" s="11"/>
      <c r="Q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R83" s="11"/>
      <c r="AS83" s="11"/>
      <c r="AT83" s="11"/>
      <c r="AU83" s="11"/>
      <c r="AV83" s="11"/>
      <c r="AW83" s="11"/>
      <c r="AX83" s="11"/>
      <c r="AY83" s="11"/>
      <c r="BZ83" s="11"/>
      <c r="CA83" s="11"/>
      <c r="CB83" s="11"/>
      <c r="CC83" s="11"/>
      <c r="CD83" s="11"/>
      <c r="CE83" s="11"/>
      <c r="CF83" s="11"/>
      <c r="CG83" s="11"/>
    </row>
    <row r="84" customFormat="false" ht="13.8" hidden="false" customHeight="false" outlineLevel="0" collapsed="false">
      <c r="B84" s="2"/>
      <c r="D84" s="11"/>
      <c r="E84" s="11"/>
      <c r="F84" s="11"/>
      <c r="G84" s="11"/>
      <c r="H84" s="11"/>
      <c r="I84" s="11"/>
      <c r="J84" s="11"/>
      <c r="K84" s="11"/>
      <c r="L84" s="11"/>
      <c r="N84" s="11"/>
      <c r="P84" s="11"/>
      <c r="Q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R84" s="11"/>
      <c r="AS84" s="11"/>
      <c r="AT84" s="11"/>
      <c r="AU84" s="11"/>
      <c r="AV84" s="11"/>
      <c r="AW84" s="11"/>
      <c r="AX84" s="11"/>
      <c r="AY84" s="11"/>
      <c r="BZ84" s="11"/>
      <c r="CA84" s="11"/>
      <c r="CB84" s="11"/>
      <c r="CC84" s="11"/>
      <c r="CD84" s="11"/>
      <c r="CE84" s="11"/>
      <c r="CF84" s="11"/>
      <c r="CG84" s="11"/>
    </row>
    <row r="85" customFormat="false" ht="13.8" hidden="false" customHeight="false" outlineLevel="0" collapsed="false">
      <c r="B85" s="2"/>
      <c r="D85" s="11"/>
      <c r="E85" s="11"/>
      <c r="F85" s="11"/>
      <c r="G85" s="11"/>
      <c r="H85" s="11"/>
      <c r="I85" s="11"/>
      <c r="J85" s="11"/>
      <c r="K85" s="11"/>
      <c r="L85" s="11"/>
      <c r="N85" s="11"/>
      <c r="P85" s="11"/>
      <c r="Q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R85" s="11"/>
      <c r="AS85" s="11"/>
      <c r="AT85" s="11"/>
      <c r="AU85" s="11"/>
      <c r="AV85" s="11"/>
      <c r="AW85" s="11"/>
      <c r="AX85" s="11"/>
      <c r="AY85" s="11"/>
      <c r="BZ85" s="11"/>
      <c r="CA85" s="11"/>
      <c r="CB85" s="11"/>
      <c r="CC85" s="11"/>
      <c r="CD85" s="11"/>
      <c r="CE85" s="11"/>
      <c r="CF85" s="11"/>
      <c r="CG85" s="11"/>
    </row>
    <row r="86" customFormat="false" ht="13.8" hidden="false" customHeight="false" outlineLevel="0" collapsed="false">
      <c r="B86" s="2"/>
      <c r="D86" s="11"/>
      <c r="E86" s="11"/>
      <c r="F86" s="11"/>
      <c r="G86" s="11"/>
      <c r="H86" s="11"/>
      <c r="I86" s="11"/>
      <c r="J86" s="11"/>
      <c r="K86" s="11"/>
      <c r="L86" s="11"/>
      <c r="N86" s="11"/>
      <c r="P86" s="11"/>
      <c r="Q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R86" s="11"/>
      <c r="AS86" s="11"/>
      <c r="AT86" s="11"/>
      <c r="AU86" s="11"/>
      <c r="AV86" s="11"/>
      <c r="AW86" s="11"/>
      <c r="AX86" s="11"/>
      <c r="AY86" s="11"/>
      <c r="BZ86" s="11"/>
      <c r="CA86" s="11"/>
      <c r="CB86" s="11"/>
      <c r="CC86" s="11"/>
      <c r="CD86" s="11"/>
      <c r="CE86" s="11"/>
      <c r="CF86" s="11"/>
      <c r="CG86" s="11"/>
    </row>
    <row r="87" customFormat="false" ht="13.8" hidden="false" customHeight="false" outlineLevel="0" collapsed="false">
      <c r="B87" s="2"/>
      <c r="D87" s="11"/>
      <c r="E87" s="11"/>
      <c r="F87" s="11"/>
      <c r="G87" s="11"/>
      <c r="H87" s="11"/>
      <c r="I87" s="11"/>
      <c r="J87" s="11"/>
      <c r="K87" s="11"/>
      <c r="L87" s="11"/>
      <c r="N87" s="11"/>
      <c r="P87" s="11"/>
      <c r="Q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R87" s="11"/>
      <c r="AS87" s="11"/>
      <c r="AT87" s="11"/>
      <c r="AU87" s="11"/>
      <c r="AV87" s="11"/>
      <c r="AW87" s="11"/>
      <c r="AX87" s="11"/>
      <c r="AY87" s="11"/>
      <c r="BZ87" s="11"/>
      <c r="CA87" s="11"/>
      <c r="CB87" s="11"/>
      <c r="CC87" s="11"/>
      <c r="CD87" s="11"/>
      <c r="CE87" s="11"/>
      <c r="CF87" s="11"/>
      <c r="CG87" s="11"/>
    </row>
    <row r="88" customFormat="false" ht="13.8" hidden="false" customHeight="false" outlineLevel="0" collapsed="false">
      <c r="B88" s="2"/>
      <c r="D88" s="11"/>
      <c r="E88" s="11"/>
      <c r="F88" s="11"/>
      <c r="G88" s="11"/>
      <c r="H88" s="11"/>
      <c r="I88" s="11"/>
      <c r="J88" s="11"/>
      <c r="K88" s="11"/>
      <c r="L88" s="11"/>
      <c r="N88" s="11"/>
      <c r="P88" s="11"/>
      <c r="Q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R88" s="11"/>
      <c r="AS88" s="11"/>
      <c r="AT88" s="11"/>
      <c r="AU88" s="11"/>
      <c r="AV88" s="11"/>
      <c r="AW88" s="11"/>
      <c r="AX88" s="11"/>
      <c r="AY88" s="11"/>
      <c r="BZ88" s="11"/>
      <c r="CA88" s="11"/>
      <c r="CB88" s="11"/>
      <c r="CC88" s="11"/>
      <c r="CD88" s="11"/>
      <c r="CE88" s="11"/>
      <c r="CF88" s="11"/>
      <c r="CG88" s="11"/>
    </row>
    <row r="89" customFormat="false" ht="13.8" hidden="false" customHeight="false" outlineLevel="0" collapsed="false">
      <c r="B89" s="2"/>
      <c r="D89" s="11"/>
      <c r="E89" s="11"/>
      <c r="F89" s="11"/>
      <c r="G89" s="11"/>
      <c r="H89" s="11"/>
      <c r="I89" s="11"/>
      <c r="J89" s="11"/>
      <c r="K89" s="11"/>
      <c r="L89" s="11"/>
      <c r="N89" s="11"/>
      <c r="P89" s="11"/>
      <c r="Q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R89" s="11"/>
      <c r="AS89" s="11"/>
      <c r="AT89" s="11"/>
      <c r="AU89" s="11"/>
      <c r="AV89" s="11"/>
      <c r="AW89" s="11"/>
      <c r="AX89" s="11"/>
      <c r="AY89" s="11"/>
      <c r="BZ89" s="11"/>
      <c r="CA89" s="11"/>
      <c r="CB89" s="11"/>
      <c r="CC89" s="11"/>
      <c r="CD89" s="11"/>
      <c r="CE89" s="11"/>
      <c r="CF89" s="11"/>
      <c r="CG89" s="11"/>
    </row>
    <row r="90" customFormat="false" ht="13.8" hidden="false" customHeight="false" outlineLevel="0" collapsed="false">
      <c r="B90" s="2"/>
      <c r="D90" s="11"/>
      <c r="E90" s="11"/>
      <c r="F90" s="11"/>
      <c r="G90" s="11"/>
      <c r="H90" s="11"/>
      <c r="I90" s="11"/>
      <c r="J90" s="11"/>
      <c r="K90" s="11"/>
      <c r="L90" s="11"/>
      <c r="N90" s="11"/>
      <c r="P90" s="11"/>
      <c r="Q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R90" s="11"/>
      <c r="AS90" s="11"/>
      <c r="AT90" s="11"/>
      <c r="AU90" s="11"/>
      <c r="AV90" s="11"/>
      <c r="AW90" s="11"/>
      <c r="AX90" s="11"/>
      <c r="AY90" s="11"/>
      <c r="BZ90" s="11"/>
      <c r="CA90" s="11"/>
      <c r="CB90" s="11"/>
      <c r="CC90" s="11"/>
      <c r="CD90" s="11"/>
      <c r="CE90" s="11"/>
      <c r="CF90" s="11"/>
      <c r="CG90" s="11"/>
    </row>
    <row r="91" customFormat="false" ht="13.8" hidden="false" customHeight="false" outlineLevel="0" collapsed="false">
      <c r="B91" s="2"/>
      <c r="D91" s="11"/>
      <c r="E91" s="11"/>
      <c r="F91" s="11"/>
      <c r="G91" s="11"/>
      <c r="H91" s="11"/>
      <c r="I91" s="11"/>
      <c r="J91" s="11"/>
      <c r="K91" s="11"/>
      <c r="L91" s="11"/>
      <c r="N91" s="11"/>
      <c r="P91" s="11"/>
      <c r="Q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R91" s="11"/>
      <c r="AS91" s="11"/>
      <c r="AT91" s="11"/>
      <c r="AU91" s="11"/>
      <c r="AV91" s="11"/>
      <c r="AW91" s="11"/>
      <c r="AX91" s="11"/>
      <c r="AY91" s="11"/>
      <c r="BZ91" s="11"/>
      <c r="CA91" s="11"/>
      <c r="CB91" s="11"/>
      <c r="CC91" s="11"/>
      <c r="CD91" s="11"/>
      <c r="CE91" s="11"/>
      <c r="CF91" s="11"/>
      <c r="CG91" s="11"/>
    </row>
    <row r="92" customFormat="false" ht="13.8" hidden="false" customHeight="false" outlineLevel="0" collapsed="false">
      <c r="B92" s="2"/>
      <c r="D92" s="11"/>
      <c r="E92" s="11"/>
      <c r="F92" s="11"/>
      <c r="G92" s="11"/>
      <c r="H92" s="11"/>
      <c r="I92" s="11"/>
      <c r="J92" s="11"/>
      <c r="K92" s="11"/>
      <c r="L92" s="11"/>
      <c r="N92" s="11"/>
      <c r="P92" s="11"/>
      <c r="Q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R92" s="11"/>
      <c r="AS92" s="11"/>
      <c r="AT92" s="11"/>
      <c r="AU92" s="11"/>
      <c r="AV92" s="11"/>
      <c r="AW92" s="11"/>
      <c r="AX92" s="11"/>
      <c r="AY92" s="11"/>
      <c r="BZ92" s="11"/>
      <c r="CA92" s="11"/>
      <c r="CB92" s="11"/>
      <c r="CC92" s="11"/>
      <c r="CD92" s="11"/>
      <c r="CE92" s="11"/>
      <c r="CF92" s="11"/>
      <c r="CG92" s="11"/>
    </row>
    <row r="93" customFormat="false" ht="13.8" hidden="false" customHeight="false" outlineLevel="0" collapsed="false">
      <c r="B93" s="2"/>
      <c r="D93" s="11"/>
      <c r="E93" s="11"/>
      <c r="F93" s="11"/>
      <c r="G93" s="11"/>
      <c r="H93" s="11"/>
      <c r="I93" s="11"/>
      <c r="J93" s="11"/>
      <c r="K93" s="11"/>
      <c r="L93" s="11"/>
      <c r="N93" s="11"/>
      <c r="P93" s="11"/>
      <c r="Q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R93" s="11"/>
      <c r="AS93" s="11"/>
      <c r="AT93" s="11"/>
      <c r="AU93" s="11"/>
      <c r="AV93" s="11"/>
      <c r="AW93" s="11"/>
      <c r="AX93" s="11"/>
      <c r="AY93" s="11"/>
      <c r="BZ93" s="11"/>
      <c r="CA93" s="11"/>
      <c r="CB93" s="11"/>
      <c r="CC93" s="11"/>
      <c r="CD93" s="11"/>
      <c r="CE93" s="11"/>
      <c r="CF93" s="11"/>
      <c r="CG93" s="11"/>
    </row>
    <row r="94" customFormat="false" ht="13.8" hidden="false" customHeight="false" outlineLevel="0" collapsed="false">
      <c r="B94" s="2"/>
      <c r="D94" s="11"/>
      <c r="E94" s="11"/>
      <c r="F94" s="11"/>
      <c r="G94" s="11"/>
      <c r="H94" s="11"/>
      <c r="I94" s="11"/>
      <c r="J94" s="11"/>
      <c r="K94" s="11"/>
      <c r="L94" s="11"/>
      <c r="N94" s="11"/>
      <c r="P94" s="11"/>
      <c r="Q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R94" s="11"/>
      <c r="AS94" s="11"/>
      <c r="AT94" s="11"/>
      <c r="AU94" s="11"/>
      <c r="AV94" s="11"/>
      <c r="AW94" s="11"/>
      <c r="AX94" s="11"/>
      <c r="AY94" s="11"/>
      <c r="BZ94" s="11"/>
      <c r="CA94" s="11"/>
      <c r="CB94" s="11"/>
      <c r="CC94" s="11"/>
      <c r="CD94" s="11"/>
      <c r="CE94" s="11"/>
      <c r="CF94" s="11"/>
      <c r="CG94" s="11"/>
    </row>
    <row r="95" customFormat="false" ht="13.8" hidden="false" customHeight="false" outlineLevel="0" collapsed="false">
      <c r="B95" s="2"/>
      <c r="D95" s="11"/>
      <c r="E95" s="11"/>
      <c r="F95" s="11"/>
      <c r="G95" s="11"/>
      <c r="H95" s="11"/>
      <c r="I95" s="11"/>
      <c r="J95" s="11"/>
      <c r="K95" s="11"/>
      <c r="L95" s="11"/>
      <c r="N95" s="11"/>
      <c r="P95" s="11"/>
      <c r="Q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R95" s="11"/>
      <c r="AS95" s="11"/>
      <c r="AT95" s="11"/>
      <c r="AU95" s="11"/>
      <c r="AV95" s="11"/>
      <c r="AW95" s="11"/>
      <c r="AX95" s="11"/>
      <c r="AY95" s="11"/>
      <c r="BZ95" s="11"/>
      <c r="CA95" s="11"/>
      <c r="CB95" s="11"/>
      <c r="CC95" s="11"/>
      <c r="CD95" s="11"/>
      <c r="CE95" s="11"/>
      <c r="CF95" s="11"/>
      <c r="CG95" s="11"/>
    </row>
    <row r="96" customFormat="false" ht="13.8" hidden="false" customHeight="false" outlineLevel="0" collapsed="false">
      <c r="B96" s="2"/>
      <c r="D96" s="11"/>
      <c r="E96" s="11"/>
      <c r="F96" s="11"/>
      <c r="G96" s="11"/>
      <c r="H96" s="11"/>
      <c r="I96" s="11"/>
      <c r="J96" s="11"/>
      <c r="K96" s="11"/>
      <c r="L96" s="11"/>
      <c r="N96" s="11"/>
      <c r="P96" s="11"/>
      <c r="Q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R96" s="11"/>
      <c r="AS96" s="11"/>
      <c r="AT96" s="11"/>
      <c r="AU96" s="11"/>
      <c r="AV96" s="11"/>
      <c r="AW96" s="11"/>
      <c r="AX96" s="11"/>
      <c r="AY96" s="11"/>
      <c r="BZ96" s="11"/>
      <c r="CA96" s="11"/>
      <c r="CB96" s="11"/>
      <c r="CC96" s="11"/>
      <c r="CD96" s="11"/>
      <c r="CE96" s="11"/>
      <c r="CF96" s="11"/>
      <c r="CG96" s="11"/>
    </row>
    <row r="97" customFormat="false" ht="13.8" hidden="false" customHeight="false" outlineLevel="0" collapsed="false">
      <c r="B97" s="2"/>
      <c r="D97" s="11"/>
      <c r="E97" s="11"/>
      <c r="F97" s="11"/>
      <c r="G97" s="11"/>
      <c r="H97" s="11"/>
      <c r="I97" s="11"/>
      <c r="J97" s="11"/>
      <c r="K97" s="11"/>
      <c r="L97" s="11"/>
      <c r="N97" s="11"/>
      <c r="P97" s="11"/>
      <c r="Q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R97" s="11"/>
      <c r="AS97" s="11"/>
      <c r="AT97" s="11"/>
      <c r="AU97" s="11"/>
      <c r="AV97" s="11"/>
      <c r="AW97" s="11"/>
      <c r="AX97" s="11"/>
      <c r="AY97" s="11"/>
      <c r="BZ97" s="11"/>
      <c r="CA97" s="11"/>
      <c r="CB97" s="11"/>
      <c r="CC97" s="11"/>
      <c r="CD97" s="11"/>
      <c r="CE97" s="11"/>
      <c r="CF97" s="11"/>
      <c r="CG97" s="11"/>
    </row>
    <row r="98" customFormat="false" ht="13.8" hidden="false" customHeight="false" outlineLevel="0" collapsed="false">
      <c r="B98" s="2"/>
      <c r="D98" s="11"/>
      <c r="E98" s="11"/>
      <c r="F98" s="11"/>
      <c r="G98" s="11"/>
      <c r="H98" s="11"/>
      <c r="I98" s="11"/>
      <c r="J98" s="11"/>
      <c r="K98" s="11"/>
      <c r="L98" s="11"/>
      <c r="N98" s="11"/>
      <c r="P98" s="11"/>
      <c r="Q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R98" s="11"/>
      <c r="AS98" s="11"/>
      <c r="AT98" s="11"/>
      <c r="AU98" s="11"/>
      <c r="AV98" s="11"/>
      <c r="AW98" s="11"/>
      <c r="AX98" s="11"/>
      <c r="AY98" s="11"/>
      <c r="BZ98" s="11"/>
      <c r="CA98" s="11"/>
      <c r="CB98" s="11"/>
      <c r="CC98" s="11"/>
      <c r="CD98" s="11"/>
      <c r="CE98" s="11"/>
      <c r="CF98" s="11"/>
      <c r="CG98" s="11"/>
    </row>
    <row r="99" customFormat="false" ht="13.8" hidden="false" customHeight="false" outlineLevel="0" collapsed="false">
      <c r="B99" s="2"/>
      <c r="D99" s="11"/>
      <c r="E99" s="11"/>
      <c r="F99" s="11"/>
      <c r="G99" s="11"/>
      <c r="H99" s="11"/>
      <c r="I99" s="11"/>
      <c r="J99" s="11"/>
      <c r="K99" s="11"/>
      <c r="L99" s="11"/>
      <c r="N99" s="11"/>
      <c r="P99" s="11"/>
      <c r="Q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R99" s="11"/>
      <c r="AS99" s="11"/>
      <c r="AT99" s="11"/>
      <c r="AU99" s="11"/>
      <c r="AV99" s="11"/>
      <c r="AW99" s="11"/>
      <c r="AX99" s="11"/>
      <c r="AY99" s="11"/>
      <c r="BZ99" s="11"/>
      <c r="CA99" s="11"/>
      <c r="CB99" s="11"/>
      <c r="CC99" s="11"/>
      <c r="CD99" s="11"/>
      <c r="CE99" s="11"/>
      <c r="CF99" s="11"/>
      <c r="CG99" s="11"/>
    </row>
    <row r="100" customFormat="false" ht="13.8" hidden="false" customHeight="false" outlineLevel="0" collapsed="false">
      <c r="B100" s="2"/>
      <c r="D100" s="11"/>
      <c r="E100" s="11"/>
      <c r="F100" s="11"/>
      <c r="G100" s="11"/>
      <c r="H100" s="11"/>
      <c r="I100" s="11"/>
      <c r="J100" s="11"/>
      <c r="K100" s="11"/>
      <c r="L100" s="11"/>
      <c r="N100" s="11"/>
      <c r="P100" s="11"/>
      <c r="Q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R100" s="11"/>
      <c r="AS100" s="11"/>
      <c r="AT100" s="11"/>
      <c r="AU100" s="11"/>
      <c r="AV100" s="11"/>
      <c r="AW100" s="11"/>
      <c r="AX100" s="11"/>
      <c r="AY100" s="11"/>
      <c r="BZ100" s="11"/>
      <c r="CA100" s="11"/>
      <c r="CB100" s="11"/>
      <c r="CC100" s="11"/>
      <c r="CD100" s="11"/>
      <c r="CE100" s="11"/>
      <c r="CF100" s="11"/>
      <c r="CG100" s="11"/>
    </row>
    <row r="101" customFormat="false" ht="13.8" hidden="false" customHeight="false" outlineLevel="0" collapsed="false">
      <c r="B101" s="2"/>
      <c r="D101" s="11"/>
      <c r="E101" s="11"/>
      <c r="F101" s="11"/>
      <c r="G101" s="11"/>
      <c r="H101" s="11"/>
      <c r="I101" s="11"/>
      <c r="J101" s="11"/>
      <c r="K101" s="11"/>
      <c r="L101" s="11"/>
      <c r="N101" s="11"/>
      <c r="P101" s="11"/>
      <c r="Q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R101" s="11"/>
      <c r="AS101" s="11"/>
      <c r="AT101" s="11"/>
      <c r="AU101" s="11"/>
      <c r="AV101" s="11"/>
      <c r="AW101" s="11"/>
      <c r="AX101" s="11"/>
      <c r="AY101" s="11"/>
      <c r="BZ101" s="11"/>
      <c r="CA101" s="11"/>
      <c r="CB101" s="11"/>
      <c r="CC101" s="11"/>
      <c r="CD101" s="11"/>
      <c r="CE101" s="11"/>
      <c r="CF101" s="11"/>
      <c r="CG101" s="11"/>
    </row>
    <row r="102" customFormat="false" ht="13.8" hidden="false" customHeight="false" outlineLevel="0" collapsed="false">
      <c r="B102" s="2"/>
      <c r="D102" s="11"/>
      <c r="E102" s="11"/>
      <c r="F102" s="11"/>
      <c r="G102" s="11"/>
      <c r="H102" s="11"/>
      <c r="I102" s="11"/>
      <c r="J102" s="11"/>
      <c r="K102" s="11"/>
      <c r="L102" s="11"/>
      <c r="N102" s="11"/>
      <c r="P102" s="11"/>
      <c r="Q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R102" s="11"/>
      <c r="AS102" s="11"/>
      <c r="AT102" s="11"/>
      <c r="AU102" s="11"/>
      <c r="AV102" s="11"/>
      <c r="AW102" s="11"/>
      <c r="AX102" s="11"/>
      <c r="AY102" s="11"/>
      <c r="BZ102" s="11"/>
      <c r="CA102" s="11"/>
      <c r="CB102" s="11"/>
      <c r="CC102" s="11"/>
      <c r="CD102" s="11"/>
      <c r="CE102" s="11"/>
      <c r="CF102" s="11"/>
      <c r="CG102" s="11"/>
    </row>
    <row r="103" customFormat="false" ht="13.8" hidden="false" customHeight="false" outlineLevel="0" collapsed="false">
      <c r="B103" s="2"/>
      <c r="D103" s="11"/>
      <c r="E103" s="11"/>
      <c r="F103" s="11"/>
      <c r="G103" s="11"/>
      <c r="H103" s="11"/>
      <c r="I103" s="11"/>
      <c r="J103" s="11"/>
      <c r="K103" s="11"/>
      <c r="L103" s="11"/>
      <c r="N103" s="11"/>
      <c r="P103" s="11"/>
      <c r="Q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R103" s="11"/>
      <c r="AS103" s="11"/>
      <c r="AT103" s="11"/>
      <c r="AU103" s="11"/>
      <c r="AV103" s="11"/>
      <c r="AW103" s="11"/>
      <c r="AX103" s="11"/>
      <c r="AY103" s="11"/>
      <c r="BZ103" s="11"/>
      <c r="CA103" s="11"/>
      <c r="CB103" s="11"/>
      <c r="CC103" s="11"/>
      <c r="CD103" s="11"/>
      <c r="CE103" s="11"/>
      <c r="CF103" s="11"/>
      <c r="CG103" s="11"/>
    </row>
    <row r="104" customFormat="false" ht="13.8" hidden="false" customHeight="false" outlineLevel="0" collapsed="false">
      <c r="B104" s="2"/>
      <c r="D104" s="11"/>
      <c r="E104" s="11"/>
      <c r="F104" s="11"/>
      <c r="G104" s="11"/>
      <c r="H104" s="11"/>
      <c r="I104" s="11"/>
      <c r="J104" s="11"/>
      <c r="K104" s="11"/>
      <c r="L104" s="11"/>
      <c r="N104" s="11"/>
      <c r="P104" s="11"/>
      <c r="Q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R104" s="11"/>
      <c r="AS104" s="11"/>
      <c r="AT104" s="11"/>
      <c r="AU104" s="11"/>
      <c r="AV104" s="11"/>
      <c r="AW104" s="11"/>
      <c r="AX104" s="11"/>
      <c r="AY104" s="11"/>
      <c r="BZ104" s="11"/>
      <c r="CA104" s="11"/>
      <c r="CB104" s="11"/>
      <c r="CC104" s="11"/>
      <c r="CD104" s="11"/>
      <c r="CE104" s="11"/>
      <c r="CF104" s="11"/>
      <c r="CG104" s="11"/>
    </row>
    <row r="105" customFormat="false" ht="13.8" hidden="false" customHeight="false" outlineLevel="0" collapsed="false">
      <c r="B105" s="2"/>
      <c r="D105" s="11"/>
      <c r="E105" s="11"/>
      <c r="F105" s="11"/>
      <c r="G105" s="11"/>
      <c r="H105" s="11"/>
      <c r="I105" s="11"/>
      <c r="J105" s="11"/>
      <c r="K105" s="11"/>
      <c r="L105" s="11"/>
      <c r="N105" s="11"/>
      <c r="P105" s="11"/>
      <c r="Q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R105" s="11"/>
      <c r="AS105" s="11"/>
      <c r="AT105" s="11"/>
      <c r="AU105" s="11"/>
      <c r="AV105" s="11"/>
      <c r="AW105" s="11"/>
      <c r="AX105" s="11"/>
      <c r="AY105" s="11"/>
      <c r="BZ105" s="11"/>
      <c r="CA105" s="11"/>
      <c r="CB105" s="11"/>
      <c r="CC105" s="11"/>
      <c r="CD105" s="11"/>
      <c r="CE105" s="11"/>
      <c r="CF105" s="11"/>
      <c r="CG105" s="11"/>
    </row>
    <row r="106" customFormat="false" ht="13.8" hidden="false" customHeight="false" outlineLevel="0" collapsed="false">
      <c r="B106" s="2"/>
      <c r="D106" s="11"/>
      <c r="E106" s="11"/>
      <c r="F106" s="11"/>
      <c r="G106" s="11"/>
      <c r="H106" s="11"/>
      <c r="I106" s="11"/>
      <c r="J106" s="11"/>
      <c r="K106" s="11"/>
      <c r="L106" s="11"/>
      <c r="N106" s="11"/>
      <c r="P106" s="11"/>
      <c r="Q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R106" s="11"/>
      <c r="AS106" s="11"/>
      <c r="AT106" s="11"/>
      <c r="AU106" s="11"/>
      <c r="AV106" s="11"/>
      <c r="AW106" s="11"/>
      <c r="AX106" s="11"/>
      <c r="AY106" s="11"/>
      <c r="BZ106" s="11"/>
      <c r="CA106" s="11"/>
      <c r="CB106" s="11"/>
      <c r="CC106" s="11"/>
      <c r="CD106" s="11"/>
      <c r="CE106" s="11"/>
      <c r="CF106" s="11"/>
      <c r="CG106" s="11"/>
    </row>
    <row r="107" customFormat="false" ht="13.8" hidden="false" customHeight="false" outlineLevel="0" collapsed="false">
      <c r="B107" s="2"/>
      <c r="D107" s="11"/>
      <c r="E107" s="11"/>
      <c r="F107" s="11"/>
      <c r="G107" s="11"/>
      <c r="H107" s="11"/>
      <c r="I107" s="11"/>
      <c r="J107" s="11"/>
      <c r="K107" s="11"/>
      <c r="L107" s="11"/>
      <c r="N107" s="11"/>
      <c r="P107" s="11"/>
      <c r="Q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R107" s="11"/>
      <c r="AS107" s="11"/>
      <c r="AT107" s="11"/>
      <c r="AU107" s="11"/>
      <c r="AV107" s="11"/>
      <c r="AW107" s="11"/>
      <c r="AX107" s="11"/>
      <c r="AY107" s="11"/>
      <c r="BZ107" s="11"/>
      <c r="CA107" s="11"/>
      <c r="CB107" s="11"/>
      <c r="CC107" s="11"/>
      <c r="CD107" s="11"/>
      <c r="CE107" s="11"/>
      <c r="CF107" s="11"/>
      <c r="CG107" s="11"/>
    </row>
    <row r="108" customFormat="false" ht="13.8" hidden="false" customHeight="false" outlineLevel="0" collapsed="false">
      <c r="B108" s="2"/>
      <c r="D108" s="11"/>
      <c r="E108" s="11"/>
      <c r="F108" s="11"/>
      <c r="G108" s="11"/>
      <c r="H108" s="11"/>
      <c r="I108" s="11"/>
      <c r="J108" s="11"/>
      <c r="K108" s="11"/>
      <c r="L108" s="11"/>
      <c r="N108" s="11"/>
      <c r="P108" s="11"/>
      <c r="Q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R108" s="11"/>
      <c r="AS108" s="11"/>
      <c r="AT108" s="11"/>
      <c r="AU108" s="11"/>
      <c r="AV108" s="11"/>
      <c r="AW108" s="11"/>
      <c r="AX108" s="11"/>
      <c r="AY108" s="11"/>
      <c r="BZ108" s="11"/>
      <c r="CA108" s="11"/>
      <c r="CB108" s="11"/>
      <c r="CC108" s="11"/>
      <c r="CD108" s="11"/>
      <c r="CE108" s="11"/>
      <c r="CF108" s="11"/>
      <c r="CG108" s="11"/>
    </row>
    <row r="109" customFormat="false" ht="13.8" hidden="false" customHeight="false" outlineLevel="0" collapsed="false">
      <c r="B109" s="2"/>
      <c r="D109" s="11"/>
      <c r="E109" s="11"/>
      <c r="F109" s="11"/>
      <c r="G109" s="11"/>
      <c r="H109" s="11"/>
      <c r="I109" s="11"/>
      <c r="J109" s="11"/>
      <c r="K109" s="11"/>
      <c r="L109" s="11"/>
      <c r="N109" s="11"/>
      <c r="P109" s="11"/>
      <c r="Q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R109" s="11"/>
      <c r="AS109" s="11"/>
      <c r="AT109" s="11"/>
      <c r="AU109" s="11"/>
      <c r="AV109" s="11"/>
      <c r="AW109" s="11"/>
      <c r="AX109" s="11"/>
      <c r="AY109" s="11"/>
      <c r="BZ109" s="11"/>
      <c r="CA109" s="11"/>
      <c r="CB109" s="11"/>
      <c r="CC109" s="11"/>
      <c r="CD109" s="11"/>
      <c r="CE109" s="11"/>
      <c r="CF109" s="11"/>
      <c r="CG109" s="11"/>
    </row>
    <row r="110" customFormat="false" ht="13.8" hidden="false" customHeight="false" outlineLevel="0" collapsed="false">
      <c r="B110" s="2"/>
      <c r="D110" s="11"/>
      <c r="E110" s="11"/>
      <c r="F110" s="11"/>
      <c r="G110" s="11"/>
      <c r="H110" s="11"/>
      <c r="I110" s="11"/>
      <c r="J110" s="11"/>
      <c r="K110" s="11"/>
      <c r="L110" s="11"/>
      <c r="N110" s="11"/>
      <c r="P110" s="11"/>
      <c r="Q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R110" s="11"/>
      <c r="AS110" s="11"/>
      <c r="AT110" s="11"/>
      <c r="AU110" s="11"/>
      <c r="AV110" s="11"/>
      <c r="AW110" s="11"/>
      <c r="AX110" s="11"/>
      <c r="AY110" s="11"/>
      <c r="BZ110" s="11"/>
      <c r="CA110" s="11"/>
      <c r="CB110" s="11"/>
      <c r="CC110" s="11"/>
      <c r="CD110" s="11"/>
      <c r="CE110" s="11"/>
      <c r="CF110" s="11"/>
      <c r="CG110" s="11"/>
    </row>
    <row r="111" customFormat="false" ht="13.8" hidden="false" customHeight="false" outlineLevel="0" collapsed="false">
      <c r="B111" s="2"/>
      <c r="D111" s="11"/>
      <c r="E111" s="11"/>
      <c r="F111" s="11"/>
      <c r="G111" s="11"/>
      <c r="H111" s="11"/>
      <c r="I111" s="11"/>
      <c r="J111" s="11"/>
      <c r="K111" s="11"/>
      <c r="L111" s="11"/>
      <c r="N111" s="11"/>
      <c r="P111" s="11"/>
      <c r="Q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R111" s="11"/>
      <c r="AS111" s="11"/>
      <c r="AT111" s="11"/>
      <c r="AU111" s="11"/>
      <c r="AV111" s="11"/>
      <c r="AW111" s="11"/>
      <c r="AX111" s="11"/>
      <c r="AY111" s="11"/>
      <c r="BZ111" s="11"/>
      <c r="CA111" s="11"/>
      <c r="CB111" s="11"/>
      <c r="CC111" s="11"/>
      <c r="CD111" s="11"/>
      <c r="CE111" s="11"/>
      <c r="CF111" s="11"/>
      <c r="CG111" s="11"/>
    </row>
    <row r="112" customFormat="false" ht="13.8" hidden="false" customHeight="false" outlineLevel="0" collapsed="false">
      <c r="B112" s="2"/>
      <c r="D112" s="11"/>
      <c r="E112" s="11"/>
      <c r="F112" s="11"/>
      <c r="G112" s="11"/>
      <c r="H112" s="11"/>
      <c r="I112" s="11"/>
      <c r="J112" s="11"/>
      <c r="K112" s="11"/>
      <c r="L112" s="11"/>
      <c r="N112" s="11"/>
      <c r="P112" s="11"/>
      <c r="Q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R112" s="11"/>
      <c r="AS112" s="11"/>
      <c r="AT112" s="11"/>
      <c r="AU112" s="11"/>
      <c r="AV112" s="11"/>
      <c r="AW112" s="11"/>
      <c r="AX112" s="11"/>
      <c r="AY112" s="11"/>
      <c r="BZ112" s="11"/>
      <c r="CA112" s="11"/>
      <c r="CB112" s="11"/>
      <c r="CC112" s="11"/>
      <c r="CD112" s="11"/>
      <c r="CE112" s="11"/>
      <c r="CF112" s="11"/>
      <c r="CG112" s="11"/>
    </row>
    <row r="113" customFormat="false" ht="13.8" hidden="false" customHeight="false" outlineLevel="0" collapsed="false">
      <c r="B113" s="2"/>
      <c r="D113" s="11"/>
      <c r="E113" s="11"/>
      <c r="F113" s="11"/>
      <c r="G113" s="11"/>
      <c r="H113" s="11"/>
      <c r="I113" s="11"/>
      <c r="J113" s="11"/>
      <c r="K113" s="11"/>
      <c r="L113" s="11"/>
      <c r="N113" s="11"/>
      <c r="P113" s="11"/>
      <c r="Q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R113" s="11"/>
      <c r="AS113" s="11"/>
      <c r="AT113" s="11"/>
      <c r="AU113" s="11"/>
      <c r="AV113" s="11"/>
      <c r="AW113" s="11"/>
      <c r="AX113" s="11"/>
      <c r="AY113" s="11"/>
      <c r="BZ113" s="11"/>
      <c r="CA113" s="11"/>
      <c r="CB113" s="11"/>
      <c r="CC113" s="11"/>
      <c r="CD113" s="11"/>
      <c r="CE113" s="11"/>
      <c r="CF113" s="11"/>
      <c r="CG113" s="11"/>
    </row>
    <row r="114" customFormat="false" ht="13.8" hidden="false" customHeight="false" outlineLevel="0" collapsed="false">
      <c r="B114" s="2"/>
      <c r="D114" s="11"/>
      <c r="E114" s="11"/>
      <c r="F114" s="11"/>
      <c r="G114" s="11"/>
      <c r="H114" s="11"/>
      <c r="I114" s="11"/>
      <c r="J114" s="11"/>
      <c r="K114" s="11"/>
      <c r="L114" s="11"/>
      <c r="N114" s="11"/>
      <c r="P114" s="11"/>
      <c r="Q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R114" s="11"/>
      <c r="AS114" s="11"/>
      <c r="AT114" s="11"/>
      <c r="AU114" s="11"/>
      <c r="AV114" s="11"/>
      <c r="AW114" s="11"/>
      <c r="AX114" s="11"/>
      <c r="AY114" s="11"/>
      <c r="BZ114" s="11"/>
      <c r="CA114" s="11"/>
      <c r="CB114" s="11"/>
      <c r="CC114" s="11"/>
      <c r="CD114" s="11"/>
      <c r="CE114" s="11"/>
      <c r="CF114" s="11"/>
      <c r="CG114" s="11"/>
    </row>
    <row r="115" customFormat="false" ht="13.8" hidden="false" customHeight="false" outlineLevel="0" collapsed="false">
      <c r="B115" s="2"/>
      <c r="D115" s="11"/>
      <c r="E115" s="11"/>
      <c r="F115" s="11"/>
      <c r="G115" s="11"/>
      <c r="H115" s="11"/>
      <c r="I115" s="11"/>
      <c r="J115" s="11"/>
      <c r="K115" s="11"/>
      <c r="L115" s="11"/>
      <c r="N115" s="11"/>
      <c r="P115" s="11"/>
      <c r="Q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R115" s="11"/>
      <c r="AS115" s="11"/>
      <c r="AT115" s="11"/>
      <c r="AU115" s="11"/>
      <c r="AV115" s="11"/>
      <c r="AW115" s="11"/>
      <c r="AX115" s="11"/>
      <c r="AY115" s="11"/>
      <c r="BZ115" s="11"/>
      <c r="CA115" s="11"/>
      <c r="CB115" s="11"/>
      <c r="CC115" s="11"/>
      <c r="CD115" s="11"/>
      <c r="CE115" s="11"/>
      <c r="CF115" s="11"/>
      <c r="CG115" s="11"/>
    </row>
    <row r="116" customFormat="false" ht="13.8" hidden="false" customHeight="false" outlineLevel="0" collapsed="false">
      <c r="B116" s="2"/>
      <c r="D116" s="11"/>
      <c r="E116" s="11"/>
      <c r="F116" s="11"/>
      <c r="G116" s="11"/>
      <c r="H116" s="11"/>
      <c r="I116" s="11"/>
      <c r="J116" s="11"/>
      <c r="K116" s="11"/>
      <c r="L116" s="11"/>
      <c r="N116" s="11"/>
      <c r="P116" s="11"/>
      <c r="Q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R116" s="11"/>
      <c r="AS116" s="11"/>
      <c r="AT116" s="11"/>
      <c r="AU116" s="11"/>
      <c r="AV116" s="11"/>
      <c r="AW116" s="11"/>
      <c r="AX116" s="11"/>
      <c r="AY116" s="11"/>
      <c r="BZ116" s="11"/>
      <c r="CA116" s="11"/>
      <c r="CB116" s="11"/>
      <c r="CC116" s="11"/>
      <c r="CD116" s="11"/>
      <c r="CE116" s="11"/>
      <c r="CF116" s="11"/>
      <c r="CG116" s="11"/>
    </row>
    <row r="117" customFormat="false" ht="13.8" hidden="false" customHeight="false" outlineLevel="0" collapsed="false">
      <c r="B117" s="2"/>
      <c r="D117" s="11"/>
      <c r="E117" s="11"/>
      <c r="F117" s="11"/>
      <c r="G117" s="11"/>
      <c r="H117" s="11"/>
      <c r="I117" s="11"/>
      <c r="J117" s="11"/>
      <c r="K117" s="11"/>
      <c r="L117" s="11"/>
      <c r="N117" s="11"/>
      <c r="P117" s="11"/>
      <c r="Q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R117" s="11"/>
      <c r="AS117" s="11"/>
      <c r="AT117" s="11"/>
      <c r="AU117" s="11"/>
      <c r="AV117" s="11"/>
      <c r="AW117" s="11"/>
      <c r="AX117" s="11"/>
      <c r="AY117" s="11"/>
      <c r="BZ117" s="11"/>
      <c r="CA117" s="11"/>
      <c r="CB117" s="11"/>
      <c r="CC117" s="11"/>
      <c r="CD117" s="11"/>
      <c r="CE117" s="11"/>
      <c r="CF117" s="11"/>
      <c r="CG117" s="11"/>
    </row>
    <row r="118" customFormat="false" ht="13.8" hidden="false" customHeight="false" outlineLevel="0" collapsed="false">
      <c r="B118" s="2"/>
      <c r="D118" s="11"/>
      <c r="E118" s="11"/>
      <c r="F118" s="11"/>
      <c r="G118" s="11"/>
      <c r="H118" s="11"/>
      <c r="I118" s="11"/>
      <c r="J118" s="11"/>
      <c r="K118" s="11"/>
      <c r="L118" s="11"/>
      <c r="N118" s="11"/>
      <c r="P118" s="11"/>
      <c r="Q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R118" s="11"/>
      <c r="AS118" s="11"/>
      <c r="AT118" s="11"/>
      <c r="AU118" s="11"/>
      <c r="AV118" s="11"/>
      <c r="AW118" s="11"/>
      <c r="AX118" s="11"/>
      <c r="AY118" s="11"/>
      <c r="BZ118" s="11"/>
      <c r="CA118" s="11"/>
      <c r="CB118" s="11"/>
      <c r="CC118" s="11"/>
      <c r="CD118" s="11"/>
      <c r="CE118" s="11"/>
      <c r="CF118" s="11"/>
      <c r="CG118" s="11"/>
    </row>
    <row r="119" customFormat="false" ht="13.8" hidden="false" customHeight="false" outlineLevel="0" collapsed="false">
      <c r="B119" s="2"/>
      <c r="D119" s="11"/>
      <c r="E119" s="11"/>
      <c r="F119" s="11"/>
      <c r="G119" s="11"/>
      <c r="H119" s="11"/>
      <c r="I119" s="11"/>
      <c r="J119" s="11"/>
      <c r="K119" s="11"/>
      <c r="L119" s="11"/>
      <c r="N119" s="11"/>
      <c r="P119" s="11"/>
      <c r="Q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R119" s="11"/>
      <c r="AS119" s="11"/>
      <c r="AT119" s="11"/>
      <c r="AU119" s="11"/>
      <c r="AV119" s="11"/>
      <c r="AW119" s="11"/>
      <c r="AX119" s="11"/>
      <c r="AY119" s="11"/>
      <c r="BZ119" s="11"/>
      <c r="CA119" s="11"/>
      <c r="CB119" s="11"/>
      <c r="CC119" s="11"/>
      <c r="CD119" s="11"/>
      <c r="CE119" s="11"/>
      <c r="CF119" s="11"/>
      <c r="CG119" s="11"/>
    </row>
    <row r="120" customFormat="false" ht="13.8" hidden="false" customHeight="false" outlineLevel="0" collapsed="false">
      <c r="B120" s="2"/>
      <c r="D120" s="11"/>
      <c r="E120" s="11"/>
      <c r="F120" s="11"/>
      <c r="G120" s="11"/>
      <c r="H120" s="11"/>
      <c r="I120" s="11"/>
      <c r="J120" s="11"/>
      <c r="K120" s="11"/>
      <c r="L120" s="11"/>
      <c r="N120" s="11"/>
      <c r="P120" s="11"/>
      <c r="Q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R120" s="11"/>
      <c r="AS120" s="11"/>
      <c r="AT120" s="11"/>
      <c r="AU120" s="11"/>
      <c r="AV120" s="11"/>
      <c r="AW120" s="11"/>
      <c r="AX120" s="11"/>
      <c r="AY120" s="11"/>
      <c r="BZ120" s="11"/>
      <c r="CA120" s="11"/>
      <c r="CB120" s="11"/>
      <c r="CC120" s="11"/>
      <c r="CD120" s="11"/>
      <c r="CE120" s="11"/>
      <c r="CF120" s="11"/>
      <c r="CG120" s="11"/>
    </row>
    <row r="121" customFormat="false" ht="13.8" hidden="false" customHeight="false" outlineLevel="0" collapsed="false">
      <c r="B121" s="2"/>
      <c r="D121" s="11"/>
      <c r="E121" s="11"/>
      <c r="F121" s="11"/>
      <c r="G121" s="11"/>
      <c r="H121" s="11"/>
      <c r="I121" s="11"/>
      <c r="J121" s="11"/>
      <c r="K121" s="11"/>
      <c r="L121" s="11"/>
      <c r="N121" s="11"/>
      <c r="P121" s="11"/>
      <c r="Q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R121" s="11"/>
      <c r="AS121" s="11"/>
      <c r="AT121" s="11"/>
      <c r="AU121" s="11"/>
      <c r="AV121" s="11"/>
      <c r="AW121" s="11"/>
      <c r="AX121" s="11"/>
      <c r="AY121" s="11"/>
      <c r="BZ121" s="11"/>
      <c r="CA121" s="11"/>
      <c r="CB121" s="11"/>
      <c r="CC121" s="11"/>
      <c r="CD121" s="11"/>
      <c r="CE121" s="11"/>
      <c r="CF121" s="11"/>
      <c r="CG121" s="11"/>
    </row>
    <row r="122" customFormat="false" ht="13.8" hidden="false" customHeight="false" outlineLevel="0" collapsed="false">
      <c r="B122" s="2"/>
      <c r="D122" s="11"/>
      <c r="E122" s="11"/>
      <c r="F122" s="11"/>
      <c r="G122" s="11"/>
      <c r="H122" s="11"/>
      <c r="I122" s="11"/>
      <c r="J122" s="11"/>
      <c r="K122" s="11"/>
      <c r="L122" s="11"/>
      <c r="N122" s="11"/>
      <c r="P122" s="11"/>
      <c r="Q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R122" s="11"/>
      <c r="AS122" s="11"/>
      <c r="AT122" s="11"/>
      <c r="AU122" s="11"/>
      <c r="AV122" s="11"/>
      <c r="AW122" s="11"/>
      <c r="AX122" s="11"/>
      <c r="AY122" s="11"/>
      <c r="BZ122" s="11"/>
      <c r="CA122" s="11"/>
      <c r="CB122" s="11"/>
      <c r="CC122" s="11"/>
      <c r="CD122" s="11"/>
      <c r="CE122" s="11"/>
      <c r="CF122" s="11"/>
      <c r="CG122" s="11"/>
    </row>
    <row r="123" customFormat="false" ht="13.8" hidden="false" customHeight="false" outlineLevel="0" collapsed="false">
      <c r="B123" s="2"/>
      <c r="D123" s="11"/>
      <c r="E123" s="11"/>
      <c r="F123" s="11"/>
      <c r="G123" s="11"/>
      <c r="H123" s="11"/>
      <c r="I123" s="11"/>
      <c r="J123" s="11"/>
      <c r="K123" s="11"/>
      <c r="L123" s="11"/>
      <c r="N123" s="11"/>
      <c r="P123" s="11"/>
      <c r="Q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R123" s="11"/>
      <c r="AS123" s="11"/>
      <c r="AT123" s="11"/>
      <c r="AU123" s="11"/>
      <c r="AV123" s="11"/>
      <c r="AW123" s="11"/>
      <c r="AX123" s="11"/>
      <c r="AY123" s="11"/>
      <c r="BZ123" s="11"/>
      <c r="CA123" s="11"/>
      <c r="CB123" s="11"/>
      <c r="CC123" s="11"/>
      <c r="CD123" s="11"/>
      <c r="CE123" s="11"/>
      <c r="CF123" s="11"/>
      <c r="CG123" s="11"/>
    </row>
    <row r="124" customFormat="false" ht="13.8" hidden="false" customHeight="false" outlineLevel="0" collapsed="false">
      <c r="B124" s="2"/>
      <c r="D124" s="11"/>
      <c r="E124" s="11"/>
      <c r="F124" s="11"/>
      <c r="G124" s="11"/>
      <c r="H124" s="11"/>
      <c r="I124" s="11"/>
      <c r="J124" s="11"/>
      <c r="K124" s="11"/>
      <c r="L124" s="11"/>
      <c r="N124" s="11"/>
      <c r="P124" s="11"/>
      <c r="Q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R124" s="11"/>
      <c r="AS124" s="11"/>
      <c r="AT124" s="11"/>
      <c r="AU124" s="11"/>
      <c r="AV124" s="11"/>
      <c r="AW124" s="11"/>
      <c r="AX124" s="11"/>
      <c r="AY124" s="11"/>
      <c r="BZ124" s="11"/>
      <c r="CA124" s="11"/>
      <c r="CB124" s="11"/>
      <c r="CC124" s="11"/>
      <c r="CD124" s="11"/>
      <c r="CE124" s="11"/>
      <c r="CF124" s="11"/>
      <c r="CG124" s="11"/>
    </row>
    <row r="125" customFormat="false" ht="13.8" hidden="false" customHeight="false" outlineLevel="0" collapsed="false">
      <c r="B125" s="2"/>
      <c r="D125" s="11"/>
      <c r="E125" s="11"/>
      <c r="F125" s="11"/>
      <c r="G125" s="11"/>
      <c r="H125" s="11"/>
      <c r="I125" s="11"/>
      <c r="J125" s="11"/>
      <c r="K125" s="11"/>
      <c r="L125" s="11"/>
      <c r="N125" s="11"/>
      <c r="P125" s="11"/>
      <c r="Q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R125" s="11"/>
      <c r="AS125" s="11"/>
      <c r="AT125" s="11"/>
      <c r="AU125" s="11"/>
      <c r="AV125" s="11"/>
      <c r="AW125" s="11"/>
      <c r="AX125" s="11"/>
      <c r="AY125" s="11"/>
      <c r="BZ125" s="11"/>
      <c r="CA125" s="11"/>
      <c r="CB125" s="11"/>
      <c r="CC125" s="11"/>
      <c r="CD125" s="11"/>
      <c r="CE125" s="11"/>
      <c r="CF125" s="11"/>
      <c r="CG125" s="11"/>
    </row>
    <row r="126" customFormat="false" ht="13.8" hidden="false" customHeight="false" outlineLevel="0" collapsed="false">
      <c r="B126" s="2"/>
      <c r="D126" s="11"/>
      <c r="E126" s="11"/>
      <c r="F126" s="11"/>
      <c r="G126" s="11"/>
      <c r="H126" s="11"/>
      <c r="I126" s="11"/>
      <c r="J126" s="11"/>
      <c r="K126" s="11"/>
      <c r="L126" s="11"/>
      <c r="N126" s="11"/>
      <c r="P126" s="11"/>
      <c r="Q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R126" s="11"/>
      <c r="AS126" s="11"/>
      <c r="AT126" s="11"/>
      <c r="AU126" s="11"/>
      <c r="AV126" s="11"/>
      <c r="AW126" s="11"/>
      <c r="AX126" s="11"/>
      <c r="AY126" s="11"/>
      <c r="BZ126" s="11"/>
      <c r="CA126" s="11"/>
      <c r="CB126" s="11"/>
      <c r="CC126" s="11"/>
      <c r="CD126" s="11"/>
      <c r="CE126" s="11"/>
      <c r="CF126" s="11"/>
      <c r="CG126" s="11"/>
    </row>
    <row r="127" customFormat="false" ht="13.8" hidden="false" customHeight="false" outlineLevel="0" collapsed="false">
      <c r="B127" s="2"/>
      <c r="D127" s="11"/>
      <c r="E127" s="11"/>
      <c r="F127" s="11"/>
      <c r="G127" s="11"/>
      <c r="H127" s="11"/>
      <c r="I127" s="11"/>
      <c r="J127" s="11"/>
      <c r="K127" s="11"/>
      <c r="L127" s="11"/>
      <c r="N127" s="11"/>
      <c r="P127" s="11"/>
      <c r="Q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R127" s="11"/>
      <c r="AS127" s="11"/>
      <c r="AT127" s="11"/>
      <c r="AU127" s="11"/>
      <c r="AV127" s="11"/>
      <c r="AW127" s="11"/>
      <c r="AX127" s="11"/>
      <c r="AY127" s="11"/>
      <c r="BZ127" s="11"/>
      <c r="CA127" s="11"/>
      <c r="CB127" s="11"/>
      <c r="CC127" s="11"/>
      <c r="CD127" s="11"/>
      <c r="CE127" s="11"/>
      <c r="CF127" s="11"/>
      <c r="CG127" s="11"/>
    </row>
    <row r="128" customFormat="false" ht="13.8" hidden="false" customHeight="false" outlineLevel="0" collapsed="false">
      <c r="B128" s="2"/>
      <c r="D128" s="11"/>
      <c r="E128" s="11"/>
      <c r="F128" s="11"/>
      <c r="G128" s="11"/>
      <c r="H128" s="11"/>
      <c r="I128" s="11"/>
      <c r="J128" s="11"/>
      <c r="K128" s="11"/>
      <c r="L128" s="11"/>
      <c r="N128" s="11"/>
      <c r="P128" s="11"/>
      <c r="Q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R128" s="11"/>
      <c r="AS128" s="11"/>
      <c r="AT128" s="11"/>
      <c r="AU128" s="11"/>
      <c r="AV128" s="11"/>
      <c r="AW128" s="11"/>
      <c r="AX128" s="11"/>
      <c r="AY128" s="11"/>
      <c r="BZ128" s="11"/>
      <c r="CA128" s="11"/>
      <c r="CB128" s="11"/>
      <c r="CC128" s="11"/>
      <c r="CD128" s="11"/>
      <c r="CE128" s="11"/>
      <c r="CF128" s="11"/>
      <c r="CG128" s="11"/>
    </row>
    <row r="129" customFormat="false" ht="13.8" hidden="false" customHeight="false" outlineLevel="0" collapsed="false">
      <c r="B129" s="2"/>
      <c r="D129" s="11"/>
      <c r="E129" s="11"/>
      <c r="F129" s="11"/>
      <c r="G129" s="11"/>
      <c r="H129" s="11"/>
      <c r="I129" s="11"/>
      <c r="J129" s="11"/>
      <c r="K129" s="11"/>
      <c r="L129" s="11"/>
      <c r="N129" s="11"/>
      <c r="P129" s="11"/>
      <c r="Q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R129" s="11"/>
      <c r="AS129" s="11"/>
      <c r="AT129" s="11"/>
      <c r="AU129" s="11"/>
      <c r="AV129" s="11"/>
      <c r="AW129" s="11"/>
      <c r="AX129" s="11"/>
      <c r="AY129" s="11"/>
      <c r="BZ129" s="11"/>
      <c r="CA129" s="11"/>
      <c r="CB129" s="11"/>
      <c r="CC129" s="11"/>
      <c r="CD129" s="11"/>
      <c r="CE129" s="11"/>
      <c r="CF129" s="11"/>
      <c r="CG129" s="11"/>
    </row>
    <row r="130" customFormat="false" ht="13.8" hidden="false" customHeight="false" outlineLevel="0" collapsed="false">
      <c r="B130" s="2"/>
      <c r="K130" s="11"/>
    </row>
    <row r="131" customFormat="false" ht="13.8" hidden="false" customHeight="false" outlineLevel="0" collapsed="false">
      <c r="B131" s="2"/>
      <c r="K131" s="11"/>
    </row>
  </sheetData>
  <conditionalFormatting sqref="P1:P1048576 Q2:Q129 G1:I1 H130:I1048576 G29:G1048576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4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N129" type="list">
      <formula1>"-,yes,no"</formula1>
      <formula2>0</formula2>
    </dataValidation>
    <dataValidation allowBlank="true" errorStyle="stop" operator="equal" showDropDown="false" showErrorMessage="true" showInputMessage="false" sqref="P2: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S2:AP129 AR2:AY129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66:E129" type="list">
      <formula1>"Unassigned,MixRack,Surface,Surface DX 5/6,IO 4,IO 5,USB,MixRack DX 1/2,MixRack DX 3/4,IO 1,IO 2,IO 3,SigGen,SLink"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2,SigGen,"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3" t="s">
        <v>107</v>
      </c>
      <c r="B1" s="14" t="s">
        <v>108</v>
      </c>
      <c r="C1" s="15" t="s">
        <v>109</v>
      </c>
      <c r="D1" s="15" t="s">
        <v>110</v>
      </c>
      <c r="E1" s="15" t="s">
        <v>111</v>
      </c>
      <c r="F1" s="16"/>
      <c r="G1" s="17" t="s">
        <v>112</v>
      </c>
      <c r="H1" s="17" t="s">
        <v>113</v>
      </c>
      <c r="I1" s="17" t="s">
        <v>114</v>
      </c>
      <c r="J1" s="16"/>
      <c r="K1" s="18" t="s">
        <v>115</v>
      </c>
      <c r="L1" s="18" t="s">
        <v>116</v>
      </c>
      <c r="M1" s="18" t="s">
        <v>117</v>
      </c>
      <c r="N1" s="16"/>
      <c r="O1" s="19" t="s">
        <v>118</v>
      </c>
      <c r="P1" s="19" t="s">
        <v>119</v>
      </c>
      <c r="Q1" s="19" t="s">
        <v>120</v>
      </c>
    </row>
    <row r="2" customFormat="false" ht="13.8" hidden="false" customHeight="false" outlineLevel="0" collapsed="false">
      <c r="B2" s="2" t="n">
        <v>1</v>
      </c>
      <c r="C2" s="11" t="s">
        <v>53</v>
      </c>
      <c r="D2" s="11" t="s">
        <v>53</v>
      </c>
      <c r="E2" s="11" t="s">
        <v>53</v>
      </c>
      <c r="G2" s="11" t="s">
        <v>53</v>
      </c>
      <c r="H2" s="11" t="s">
        <v>53</v>
      </c>
      <c r="I2" s="11" t="s">
        <v>53</v>
      </c>
      <c r="K2" s="11" t="s">
        <v>53</v>
      </c>
      <c r="L2" s="11" t="s">
        <v>53</v>
      </c>
      <c r="M2" s="11" t="s">
        <v>53</v>
      </c>
      <c r="O2" s="11" t="s">
        <v>53</v>
      </c>
      <c r="P2" s="11" t="s">
        <v>53</v>
      </c>
      <c r="Q2" s="11" t="s">
        <v>53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53</v>
      </c>
      <c r="E3" s="11" t="s">
        <v>53</v>
      </c>
      <c r="G3" s="11" t="s">
        <v>53</v>
      </c>
      <c r="H3" s="11" t="s">
        <v>53</v>
      </c>
      <c r="I3" s="11" t="s">
        <v>53</v>
      </c>
      <c r="K3" s="11" t="s">
        <v>53</v>
      </c>
      <c r="L3" s="11" t="s">
        <v>53</v>
      </c>
      <c r="M3" s="11" t="s">
        <v>53</v>
      </c>
      <c r="O3" s="11" t="s">
        <v>53</v>
      </c>
      <c r="P3" s="11" t="s">
        <v>53</v>
      </c>
      <c r="Q3" s="11" t="s">
        <v>53</v>
      </c>
    </row>
    <row r="4" customFormat="false" ht="13.8" hidden="false" customHeight="false" outlineLevel="0" collapsed="false">
      <c r="B4" s="2" t="n">
        <v>3</v>
      </c>
      <c r="C4" s="11" t="s">
        <v>53</v>
      </c>
      <c r="D4" s="11" t="s">
        <v>53</v>
      </c>
      <c r="E4" s="11" t="s">
        <v>53</v>
      </c>
      <c r="G4" s="11" t="s">
        <v>53</v>
      </c>
      <c r="H4" s="11" t="s">
        <v>53</v>
      </c>
      <c r="I4" s="11" t="s">
        <v>53</v>
      </c>
      <c r="K4" s="11" t="s">
        <v>53</v>
      </c>
      <c r="L4" s="11" t="s">
        <v>53</v>
      </c>
      <c r="M4" s="11" t="s">
        <v>53</v>
      </c>
      <c r="O4" s="11" t="s">
        <v>53</v>
      </c>
      <c r="P4" s="11" t="s">
        <v>53</v>
      </c>
      <c r="Q4" s="11" t="s">
        <v>53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53</v>
      </c>
      <c r="E5" s="11" t="s">
        <v>53</v>
      </c>
      <c r="G5" s="11" t="s">
        <v>53</v>
      </c>
      <c r="H5" s="11" t="s">
        <v>53</v>
      </c>
      <c r="I5" s="11" t="s">
        <v>53</v>
      </c>
      <c r="K5" s="11" t="s">
        <v>53</v>
      </c>
      <c r="L5" s="11" t="s">
        <v>53</v>
      </c>
      <c r="M5" s="11" t="s">
        <v>53</v>
      </c>
      <c r="O5" s="11" t="s">
        <v>53</v>
      </c>
      <c r="P5" s="11" t="s">
        <v>53</v>
      </c>
      <c r="Q5" s="11" t="s">
        <v>53</v>
      </c>
    </row>
    <row r="6" customFormat="false" ht="13.8" hidden="false" customHeight="false" outlineLevel="0" collapsed="false">
      <c r="B6" s="2" t="n">
        <v>5</v>
      </c>
      <c r="C6" s="11" t="s">
        <v>53</v>
      </c>
      <c r="D6" s="11" t="s">
        <v>53</v>
      </c>
      <c r="E6" s="11" t="s">
        <v>53</v>
      </c>
      <c r="G6" s="11" t="s">
        <v>53</v>
      </c>
      <c r="H6" s="11" t="s">
        <v>53</v>
      </c>
      <c r="I6" s="11" t="s">
        <v>53</v>
      </c>
      <c r="K6" s="11" t="s">
        <v>53</v>
      </c>
      <c r="L6" s="11" t="s">
        <v>53</v>
      </c>
      <c r="M6" s="11" t="s">
        <v>53</v>
      </c>
      <c r="O6" s="11" t="s">
        <v>53</v>
      </c>
      <c r="P6" s="11" t="s">
        <v>53</v>
      </c>
      <c r="Q6" s="11" t="s">
        <v>53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53</v>
      </c>
      <c r="E7" s="11" t="s">
        <v>53</v>
      </c>
      <c r="G7" s="11" t="s">
        <v>53</v>
      </c>
      <c r="H7" s="11" t="s">
        <v>53</v>
      </c>
      <c r="I7" s="11" t="s">
        <v>53</v>
      </c>
      <c r="K7" s="11" t="s">
        <v>53</v>
      </c>
      <c r="L7" s="11" t="s">
        <v>53</v>
      </c>
      <c r="M7" s="11" t="s">
        <v>53</v>
      </c>
      <c r="O7" s="11" t="s">
        <v>53</v>
      </c>
      <c r="P7" s="11" t="s">
        <v>53</v>
      </c>
      <c r="Q7" s="11" t="s">
        <v>53</v>
      </c>
    </row>
    <row r="8" customFormat="false" ht="13.8" hidden="false" customHeight="false" outlineLevel="0" collapsed="false">
      <c r="B8" s="2" t="n">
        <v>7</v>
      </c>
      <c r="C8" s="11" t="s">
        <v>53</v>
      </c>
      <c r="D8" s="11" t="s">
        <v>53</v>
      </c>
      <c r="E8" s="11" t="s">
        <v>53</v>
      </c>
      <c r="G8" s="11" t="s">
        <v>53</v>
      </c>
      <c r="H8" s="11" t="s">
        <v>53</v>
      </c>
      <c r="I8" s="11" t="s">
        <v>53</v>
      </c>
      <c r="K8" s="11" t="s">
        <v>53</v>
      </c>
      <c r="L8" s="11" t="s">
        <v>53</v>
      </c>
      <c r="M8" s="11" t="s">
        <v>53</v>
      </c>
      <c r="O8" s="11" t="s">
        <v>53</v>
      </c>
      <c r="P8" s="11" t="s">
        <v>53</v>
      </c>
      <c r="Q8" s="11" t="s">
        <v>53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53</v>
      </c>
      <c r="E9" s="11" t="s">
        <v>53</v>
      </c>
      <c r="G9" s="11" t="s">
        <v>53</v>
      </c>
      <c r="H9" s="11" t="s">
        <v>53</v>
      </c>
      <c r="I9" s="11" t="s">
        <v>53</v>
      </c>
      <c r="K9" s="11" t="s">
        <v>53</v>
      </c>
      <c r="L9" s="11" t="s">
        <v>53</v>
      </c>
      <c r="M9" s="11" t="s">
        <v>53</v>
      </c>
      <c r="O9" s="11" t="s">
        <v>53</v>
      </c>
      <c r="P9" s="11" t="s">
        <v>53</v>
      </c>
      <c r="Q9" s="11" t="s">
        <v>53</v>
      </c>
    </row>
    <row r="10" customFormat="false" ht="13.8" hidden="false" customHeight="false" outlineLevel="0" collapsed="false">
      <c r="B10" s="2" t="n">
        <v>9</v>
      </c>
      <c r="C10" s="11" t="s">
        <v>53</v>
      </c>
      <c r="D10" s="11" t="s">
        <v>53</v>
      </c>
      <c r="E10" s="11" t="s">
        <v>53</v>
      </c>
      <c r="G10" s="11" t="s">
        <v>53</v>
      </c>
      <c r="H10" s="11" t="s">
        <v>53</v>
      </c>
      <c r="I10" s="11" t="s">
        <v>53</v>
      </c>
      <c r="K10" s="11" t="s">
        <v>53</v>
      </c>
      <c r="L10" s="11" t="s">
        <v>53</v>
      </c>
      <c r="M10" s="11" t="s">
        <v>53</v>
      </c>
      <c r="O10" s="11" t="s">
        <v>53</v>
      </c>
      <c r="P10" s="11" t="s">
        <v>53</v>
      </c>
      <c r="Q10" s="11" t="s">
        <v>53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53</v>
      </c>
      <c r="E11" s="11" t="s">
        <v>53</v>
      </c>
      <c r="G11" s="11" t="s">
        <v>53</v>
      </c>
      <c r="H11" s="11" t="s">
        <v>53</v>
      </c>
      <c r="I11" s="11" t="s">
        <v>53</v>
      </c>
      <c r="K11" s="11" t="s">
        <v>53</v>
      </c>
      <c r="L11" s="11" t="s">
        <v>53</v>
      </c>
      <c r="M11" s="11" t="s">
        <v>53</v>
      </c>
      <c r="O11" s="11" t="s">
        <v>53</v>
      </c>
      <c r="P11" s="11" t="s">
        <v>53</v>
      </c>
      <c r="Q11" s="11" t="s">
        <v>53</v>
      </c>
    </row>
    <row r="12" customFormat="false" ht="13.8" hidden="false" customHeight="false" outlineLevel="0" collapsed="false">
      <c r="B12" s="2" t="n">
        <v>11</v>
      </c>
      <c r="C12" s="11" t="s">
        <v>53</v>
      </c>
      <c r="D12" s="11" t="s">
        <v>53</v>
      </c>
      <c r="E12" s="11" t="s">
        <v>53</v>
      </c>
      <c r="G12" s="11" t="s">
        <v>53</v>
      </c>
      <c r="H12" s="11" t="s">
        <v>53</v>
      </c>
      <c r="I12" s="11" t="s">
        <v>53</v>
      </c>
      <c r="K12" s="11" t="s">
        <v>53</v>
      </c>
      <c r="L12" s="11" t="s">
        <v>53</v>
      </c>
      <c r="M12" s="11" t="s">
        <v>53</v>
      </c>
      <c r="O12" s="11" t="s">
        <v>53</v>
      </c>
      <c r="P12" s="11" t="s">
        <v>53</v>
      </c>
      <c r="Q12" s="11" t="s">
        <v>53</v>
      </c>
    </row>
    <row r="13" customFormat="false" ht="13.8" hidden="false" customHeight="false" outlineLevel="0" collapsed="false">
      <c r="A13" s="3" t="s">
        <v>121</v>
      </c>
      <c r="B13" s="2" t="n">
        <v>12</v>
      </c>
      <c r="C13" s="11" t="s">
        <v>53</v>
      </c>
      <c r="D13" s="11" t="s">
        <v>53</v>
      </c>
      <c r="E13" s="11" t="s">
        <v>53</v>
      </c>
      <c r="G13" s="11" t="s">
        <v>53</v>
      </c>
      <c r="H13" s="11" t="s">
        <v>53</v>
      </c>
      <c r="I13" s="11" t="s">
        <v>53</v>
      </c>
      <c r="K13" s="11" t="s">
        <v>53</v>
      </c>
      <c r="L13" s="11" t="s">
        <v>53</v>
      </c>
      <c r="M13" s="11" t="s">
        <v>53</v>
      </c>
      <c r="O13" s="11" t="s">
        <v>53</v>
      </c>
      <c r="P13" s="11" t="s">
        <v>53</v>
      </c>
      <c r="Q13" s="11" t="s">
        <v>53</v>
      </c>
    </row>
    <row r="14" customFormat="false" ht="13.8" hidden="false" customHeight="false" outlineLevel="0" collapsed="false">
      <c r="B14" s="2" t="n">
        <v>13</v>
      </c>
      <c r="C14" s="11" t="s">
        <v>53</v>
      </c>
      <c r="D14" s="11" t="s">
        <v>53</v>
      </c>
      <c r="E14" s="11" t="s">
        <v>53</v>
      </c>
      <c r="G14" s="11" t="s">
        <v>53</v>
      </c>
      <c r="H14" s="11" t="s">
        <v>53</v>
      </c>
      <c r="I14" s="11" t="s">
        <v>53</v>
      </c>
      <c r="K14" s="11" t="s">
        <v>53</v>
      </c>
      <c r="L14" s="11" t="s">
        <v>53</v>
      </c>
      <c r="M14" s="11" t="s">
        <v>53</v>
      </c>
      <c r="O14" s="11" t="s">
        <v>53</v>
      </c>
      <c r="P14" s="11" t="s">
        <v>53</v>
      </c>
      <c r="Q14" s="11" t="s">
        <v>53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53</v>
      </c>
      <c r="E15" s="11" t="s">
        <v>53</v>
      </c>
      <c r="G15" s="11" t="s">
        <v>53</v>
      </c>
      <c r="H15" s="11" t="s">
        <v>53</v>
      </c>
      <c r="I15" s="11" t="s">
        <v>53</v>
      </c>
      <c r="K15" s="11" t="s">
        <v>53</v>
      </c>
      <c r="L15" s="11" t="s">
        <v>53</v>
      </c>
      <c r="M15" s="11" t="s">
        <v>53</v>
      </c>
      <c r="O15" s="11" t="s">
        <v>53</v>
      </c>
      <c r="P15" s="11" t="s">
        <v>53</v>
      </c>
      <c r="Q15" s="11" t="s">
        <v>53</v>
      </c>
    </row>
    <row r="16" customFormat="false" ht="13.8" hidden="false" customHeight="false" outlineLevel="0" collapsed="false">
      <c r="B16" s="2" t="n">
        <v>15</v>
      </c>
      <c r="C16" s="11" t="s">
        <v>53</v>
      </c>
      <c r="D16" s="11" t="s">
        <v>53</v>
      </c>
      <c r="E16" s="11" t="s">
        <v>53</v>
      </c>
      <c r="G16" s="11" t="s">
        <v>53</v>
      </c>
      <c r="H16" s="11" t="s">
        <v>53</v>
      </c>
      <c r="I16" s="11" t="s">
        <v>53</v>
      </c>
      <c r="K16" s="11" t="s">
        <v>53</v>
      </c>
      <c r="L16" s="11" t="s">
        <v>53</v>
      </c>
      <c r="M16" s="11" t="s">
        <v>53</v>
      </c>
      <c r="O16" s="11" t="s">
        <v>53</v>
      </c>
      <c r="P16" s="11" t="s">
        <v>53</v>
      </c>
      <c r="Q16" s="11" t="s">
        <v>53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s">
        <v>53</v>
      </c>
      <c r="G17" s="11" t="s">
        <v>53</v>
      </c>
      <c r="H17" s="11" t="s">
        <v>53</v>
      </c>
      <c r="I17" s="11" t="s">
        <v>53</v>
      </c>
      <c r="K17" s="11" t="s">
        <v>53</v>
      </c>
      <c r="L17" s="11" t="s">
        <v>53</v>
      </c>
      <c r="M17" s="11" t="s">
        <v>53</v>
      </c>
      <c r="O17" s="11" t="s">
        <v>53</v>
      </c>
      <c r="P17" s="11" t="s">
        <v>53</v>
      </c>
      <c r="Q17" s="11" t="s">
        <v>53</v>
      </c>
    </row>
    <row r="18" customFormat="false" ht="13.8" hidden="false" customHeight="false" outlineLevel="0" collapsed="false">
      <c r="B18" s="2" t="n">
        <v>17</v>
      </c>
      <c r="C18" s="11" t="s">
        <v>53</v>
      </c>
      <c r="D18" s="11" t="s">
        <v>53</v>
      </c>
      <c r="E18" s="11" t="s">
        <v>53</v>
      </c>
      <c r="G18" s="11" t="s">
        <v>53</v>
      </c>
      <c r="H18" s="11" t="s">
        <v>53</v>
      </c>
      <c r="I18" s="11" t="s">
        <v>53</v>
      </c>
      <c r="K18" s="11" t="s">
        <v>53</v>
      </c>
      <c r="L18" s="11" t="s">
        <v>53</v>
      </c>
      <c r="M18" s="11" t="s">
        <v>53</v>
      </c>
      <c r="O18" s="11" t="s">
        <v>53</v>
      </c>
      <c r="P18" s="11" t="s">
        <v>53</v>
      </c>
      <c r="Q18" s="11" t="s">
        <v>53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s">
        <v>53</v>
      </c>
      <c r="G19" s="11" t="s">
        <v>53</v>
      </c>
      <c r="H19" s="11" t="s">
        <v>53</v>
      </c>
      <c r="I19" s="11" t="s">
        <v>53</v>
      </c>
      <c r="K19" s="11" t="s">
        <v>53</v>
      </c>
      <c r="L19" s="11" t="s">
        <v>53</v>
      </c>
      <c r="M19" s="11" t="s">
        <v>53</v>
      </c>
      <c r="O19" s="11" t="s">
        <v>53</v>
      </c>
      <c r="P19" s="11" t="s">
        <v>53</v>
      </c>
      <c r="Q19" s="11" t="s">
        <v>53</v>
      </c>
    </row>
    <row r="20" customFormat="false" ht="13.8" hidden="false" customHeight="false" outlineLevel="0" collapsed="false">
      <c r="B20" s="2" t="n">
        <v>19</v>
      </c>
      <c r="C20" s="11" t="s">
        <v>53</v>
      </c>
      <c r="D20" s="11" t="s">
        <v>53</v>
      </c>
      <c r="E20" s="11" t="s">
        <v>53</v>
      </c>
      <c r="G20" s="11" t="s">
        <v>53</v>
      </c>
      <c r="H20" s="11" t="s">
        <v>53</v>
      </c>
      <c r="I20" s="11" t="s">
        <v>53</v>
      </c>
      <c r="K20" s="11" t="s">
        <v>53</v>
      </c>
      <c r="L20" s="11" t="s">
        <v>53</v>
      </c>
      <c r="M20" s="11" t="s">
        <v>53</v>
      </c>
      <c r="O20" s="11" t="s">
        <v>53</v>
      </c>
      <c r="P20" s="11" t="s">
        <v>53</v>
      </c>
      <c r="Q20" s="11" t="s">
        <v>53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s">
        <v>53</v>
      </c>
      <c r="G21" s="11" t="s">
        <v>53</v>
      </c>
      <c r="H21" s="11" t="s">
        <v>53</v>
      </c>
      <c r="I21" s="11" t="s">
        <v>53</v>
      </c>
      <c r="K21" s="11" t="s">
        <v>53</v>
      </c>
      <c r="L21" s="11" t="s">
        <v>53</v>
      </c>
      <c r="M21" s="11" t="s">
        <v>53</v>
      </c>
      <c r="O21" s="11" t="s">
        <v>53</v>
      </c>
      <c r="P21" s="11" t="s">
        <v>53</v>
      </c>
      <c r="Q21" s="11" t="s">
        <v>53</v>
      </c>
    </row>
    <row r="22" customFormat="false" ht="13.8" hidden="false" customHeight="false" outlineLevel="0" collapsed="false">
      <c r="B22" s="2" t="n">
        <v>21</v>
      </c>
      <c r="C22" s="11" t="s">
        <v>53</v>
      </c>
      <c r="D22" s="11" t="s">
        <v>53</v>
      </c>
      <c r="E22" s="11" t="s">
        <v>53</v>
      </c>
      <c r="G22" s="11" t="s">
        <v>53</v>
      </c>
      <c r="H22" s="11" t="s">
        <v>53</v>
      </c>
      <c r="I22" s="11" t="s">
        <v>53</v>
      </c>
      <c r="K22" s="11" t="s">
        <v>53</v>
      </c>
      <c r="L22" s="11" t="s">
        <v>53</v>
      </c>
      <c r="M22" s="11" t="s">
        <v>53</v>
      </c>
      <c r="O22" s="11" t="s">
        <v>53</v>
      </c>
      <c r="P22" s="11" t="s">
        <v>53</v>
      </c>
      <c r="Q22" s="11" t="s">
        <v>53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s">
        <v>53</v>
      </c>
      <c r="G23" s="11" t="s">
        <v>53</v>
      </c>
      <c r="H23" s="11" t="s">
        <v>53</v>
      </c>
      <c r="I23" s="11" t="s">
        <v>53</v>
      </c>
      <c r="K23" s="11" t="s">
        <v>53</v>
      </c>
      <c r="L23" s="11" t="s">
        <v>53</v>
      </c>
      <c r="M23" s="11" t="s">
        <v>53</v>
      </c>
      <c r="O23" s="11" t="s">
        <v>53</v>
      </c>
      <c r="P23" s="11" t="s">
        <v>53</v>
      </c>
      <c r="Q23" s="11" t="s">
        <v>53</v>
      </c>
    </row>
    <row r="24" customFormat="false" ht="13.8" hidden="false" customHeight="false" outlineLevel="0" collapsed="false">
      <c r="B24" s="2" t="n">
        <v>23</v>
      </c>
      <c r="C24" s="11" t="s">
        <v>53</v>
      </c>
      <c r="D24" s="11" t="s">
        <v>53</v>
      </c>
      <c r="E24" s="11" t="s">
        <v>53</v>
      </c>
      <c r="G24" s="11" t="s">
        <v>53</v>
      </c>
      <c r="H24" s="11" t="s">
        <v>53</v>
      </c>
      <c r="I24" s="11" t="s">
        <v>53</v>
      </c>
      <c r="K24" s="11" t="s">
        <v>53</v>
      </c>
      <c r="L24" s="11" t="s">
        <v>53</v>
      </c>
      <c r="M24" s="11" t="s">
        <v>53</v>
      </c>
      <c r="O24" s="11" t="s">
        <v>53</v>
      </c>
      <c r="P24" s="11" t="s">
        <v>53</v>
      </c>
      <c r="Q24" s="11" t="s">
        <v>53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s">
        <v>53</v>
      </c>
      <c r="G25" s="11" t="s">
        <v>53</v>
      </c>
      <c r="H25" s="11" t="s">
        <v>53</v>
      </c>
      <c r="I25" s="11" t="s">
        <v>53</v>
      </c>
      <c r="K25" s="11" t="s">
        <v>53</v>
      </c>
      <c r="L25" s="11" t="s">
        <v>53</v>
      </c>
      <c r="M25" s="11" t="s">
        <v>53</v>
      </c>
      <c r="O25" s="11" t="s">
        <v>53</v>
      </c>
      <c r="P25" s="11" t="s">
        <v>53</v>
      </c>
      <c r="Q25" s="11" t="s">
        <v>53</v>
      </c>
    </row>
    <row r="26" customFormat="false" ht="13.8" hidden="false" customHeight="false" outlineLevel="0" collapsed="false">
      <c r="B26" s="2" t="n">
        <v>25</v>
      </c>
      <c r="C26" s="11" t="s">
        <v>53</v>
      </c>
      <c r="D26" s="11" t="s">
        <v>53</v>
      </c>
      <c r="E26" s="11" t="s">
        <v>53</v>
      </c>
      <c r="G26" s="11" t="s">
        <v>53</v>
      </c>
      <c r="H26" s="11" t="s">
        <v>53</v>
      </c>
      <c r="I26" s="11" t="s">
        <v>53</v>
      </c>
      <c r="K26" s="11" t="s">
        <v>53</v>
      </c>
      <c r="L26" s="11" t="s">
        <v>53</v>
      </c>
      <c r="M26" s="11" t="s">
        <v>53</v>
      </c>
      <c r="O26" s="11" t="s">
        <v>53</v>
      </c>
      <c r="P26" s="11" t="s">
        <v>53</v>
      </c>
      <c r="Q26" s="11" t="s">
        <v>53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s">
        <v>53</v>
      </c>
      <c r="G27" s="11" t="s">
        <v>53</v>
      </c>
      <c r="H27" s="11" t="s">
        <v>53</v>
      </c>
      <c r="I27" s="11" t="s">
        <v>53</v>
      </c>
      <c r="K27" s="11" t="s">
        <v>53</v>
      </c>
      <c r="L27" s="11" t="s">
        <v>53</v>
      </c>
      <c r="M27" s="11" t="s">
        <v>53</v>
      </c>
      <c r="O27" s="11" t="s">
        <v>53</v>
      </c>
      <c r="P27" s="11" t="s">
        <v>53</v>
      </c>
      <c r="Q27" s="11" t="s">
        <v>53</v>
      </c>
    </row>
    <row r="28" customFormat="false" ht="13.8" hidden="false" customHeight="false" outlineLevel="0" collapsed="false">
      <c r="B28" s="2" t="n">
        <v>27</v>
      </c>
      <c r="C28" s="11" t="s">
        <v>53</v>
      </c>
      <c r="D28" s="11" t="s">
        <v>53</v>
      </c>
      <c r="E28" s="11" t="s">
        <v>53</v>
      </c>
      <c r="G28" s="11" t="s">
        <v>53</v>
      </c>
      <c r="H28" s="11" t="s">
        <v>53</v>
      </c>
      <c r="I28" s="11" t="s">
        <v>53</v>
      </c>
      <c r="K28" s="11" t="s">
        <v>53</v>
      </c>
      <c r="L28" s="11" t="s">
        <v>53</v>
      </c>
      <c r="M28" s="11" t="s">
        <v>53</v>
      </c>
      <c r="O28" s="11" t="s">
        <v>53</v>
      </c>
      <c r="P28" s="11" t="s">
        <v>53</v>
      </c>
      <c r="Q28" s="11" t="s">
        <v>53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s">
        <v>53</v>
      </c>
      <c r="G29" s="11" t="s">
        <v>53</v>
      </c>
      <c r="H29" s="11" t="s">
        <v>53</v>
      </c>
      <c r="I29" s="11" t="s">
        <v>53</v>
      </c>
      <c r="K29" s="11" t="s">
        <v>53</v>
      </c>
      <c r="L29" s="11" t="s">
        <v>53</v>
      </c>
      <c r="M29" s="11" t="s">
        <v>53</v>
      </c>
      <c r="O29" s="11" t="s">
        <v>53</v>
      </c>
      <c r="P29" s="11" t="s">
        <v>53</v>
      </c>
      <c r="Q29" s="11" t="s">
        <v>53</v>
      </c>
    </row>
    <row r="30" customFormat="false" ht="13.8" hidden="false" customHeight="false" outlineLevel="0" collapsed="false">
      <c r="B30" s="2" t="n">
        <v>29</v>
      </c>
      <c r="C30" s="11" t="s">
        <v>53</v>
      </c>
      <c r="D30" s="11" t="s">
        <v>53</v>
      </c>
      <c r="E30" s="11" t="s">
        <v>53</v>
      </c>
      <c r="G30" s="11" t="s">
        <v>53</v>
      </c>
      <c r="H30" s="11" t="s">
        <v>53</v>
      </c>
      <c r="I30" s="11" t="s">
        <v>53</v>
      </c>
      <c r="K30" s="11" t="s">
        <v>53</v>
      </c>
      <c r="L30" s="11" t="s">
        <v>53</v>
      </c>
      <c r="M30" s="11" t="s">
        <v>53</v>
      </c>
      <c r="O30" s="11" t="s">
        <v>53</v>
      </c>
      <c r="P30" s="11" t="s">
        <v>53</v>
      </c>
      <c r="Q30" s="11" t="s">
        <v>53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s">
        <v>53</v>
      </c>
      <c r="G31" s="11" t="s">
        <v>53</v>
      </c>
      <c r="H31" s="11" t="s">
        <v>53</v>
      </c>
      <c r="I31" s="11" t="s">
        <v>53</v>
      </c>
      <c r="K31" s="11" t="s">
        <v>53</v>
      </c>
      <c r="L31" s="11" t="s">
        <v>53</v>
      </c>
      <c r="M31" s="11" t="s">
        <v>53</v>
      </c>
      <c r="O31" s="11" t="s">
        <v>53</v>
      </c>
      <c r="P31" s="11" t="s">
        <v>53</v>
      </c>
      <c r="Q31" s="11" t="s">
        <v>53</v>
      </c>
    </row>
    <row r="32" customFormat="false" ht="13.8" hidden="false" customHeight="false" outlineLevel="0" collapsed="false">
      <c r="B32" s="2" t="n">
        <v>31</v>
      </c>
      <c r="C32" s="11" t="s">
        <v>53</v>
      </c>
      <c r="D32" s="11" t="s">
        <v>53</v>
      </c>
      <c r="E32" s="11" t="s">
        <v>53</v>
      </c>
      <c r="G32" s="11" t="s">
        <v>53</v>
      </c>
      <c r="H32" s="11" t="s">
        <v>53</v>
      </c>
      <c r="I32" s="11" t="s">
        <v>53</v>
      </c>
      <c r="K32" s="11" t="s">
        <v>53</v>
      </c>
      <c r="L32" s="11" t="s">
        <v>53</v>
      </c>
      <c r="M32" s="11" t="s">
        <v>53</v>
      </c>
      <c r="O32" s="11" t="s">
        <v>53</v>
      </c>
      <c r="P32" s="11" t="s">
        <v>53</v>
      </c>
      <c r="Q32" s="11" t="s">
        <v>53</v>
      </c>
    </row>
    <row r="33" customFormat="false" ht="13.8" hidden="false" customHeight="false" outlineLevel="0" collapsed="false">
      <c r="A33" s="3" t="s">
        <v>122</v>
      </c>
      <c r="B33" s="2" t="n">
        <v>32</v>
      </c>
      <c r="C33" s="11" t="s">
        <v>53</v>
      </c>
      <c r="D33" s="11" t="s">
        <v>53</v>
      </c>
      <c r="E33" s="11" t="s">
        <v>53</v>
      </c>
      <c r="G33" s="11" t="s">
        <v>53</v>
      </c>
      <c r="H33" s="11" t="s">
        <v>53</v>
      </c>
      <c r="I33" s="11" t="s">
        <v>53</v>
      </c>
      <c r="K33" s="11" t="s">
        <v>53</v>
      </c>
      <c r="L33" s="11" t="s">
        <v>53</v>
      </c>
      <c r="M33" s="11" t="s">
        <v>53</v>
      </c>
      <c r="O33" s="11" t="s">
        <v>53</v>
      </c>
      <c r="P33" s="11" t="s">
        <v>53</v>
      </c>
      <c r="Q33" s="11" t="s">
        <v>53</v>
      </c>
    </row>
    <row r="34" customFormat="false" ht="13.8" hidden="false" customHeight="false" outlineLevel="0" collapsed="false">
      <c r="B34" s="2" t="n">
        <v>33</v>
      </c>
      <c r="C34" s="11" t="s">
        <v>53</v>
      </c>
      <c r="D34" s="11" t="s">
        <v>53</v>
      </c>
      <c r="E34" s="11" t="s">
        <v>53</v>
      </c>
      <c r="O34" s="11" t="s">
        <v>53</v>
      </c>
      <c r="P34" s="11" t="s">
        <v>53</v>
      </c>
      <c r="Q34" s="11" t="s">
        <v>53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s">
        <v>53</v>
      </c>
      <c r="O35" s="11" t="s">
        <v>53</v>
      </c>
      <c r="P35" s="11" t="s">
        <v>53</v>
      </c>
      <c r="Q35" s="11" t="s">
        <v>53</v>
      </c>
    </row>
    <row r="36" customFormat="false" ht="13.8" hidden="false" customHeight="false" outlineLevel="0" collapsed="false">
      <c r="B36" s="2" t="n">
        <v>35</v>
      </c>
      <c r="C36" s="11" t="s">
        <v>53</v>
      </c>
      <c r="D36" s="11" t="s">
        <v>53</v>
      </c>
      <c r="E36" s="11" t="s">
        <v>53</v>
      </c>
      <c r="O36" s="11" t="s">
        <v>53</v>
      </c>
      <c r="P36" s="11" t="s">
        <v>53</v>
      </c>
      <c r="Q36" s="11" t="s">
        <v>53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s">
        <v>53</v>
      </c>
      <c r="O37" s="11" t="s">
        <v>53</v>
      </c>
      <c r="P37" s="11" t="s">
        <v>53</v>
      </c>
      <c r="Q37" s="11" t="s">
        <v>53</v>
      </c>
    </row>
    <row r="38" customFormat="false" ht="13.8" hidden="false" customHeight="false" outlineLevel="0" collapsed="false">
      <c r="B38" s="2" t="n">
        <v>37</v>
      </c>
      <c r="C38" s="11" t="s">
        <v>53</v>
      </c>
      <c r="D38" s="11" t="s">
        <v>53</v>
      </c>
      <c r="E38" s="11" t="s">
        <v>53</v>
      </c>
      <c r="O38" s="11" t="s">
        <v>53</v>
      </c>
      <c r="P38" s="11" t="s">
        <v>53</v>
      </c>
      <c r="Q38" s="11" t="s">
        <v>53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s">
        <v>53</v>
      </c>
      <c r="O39" s="11" t="s">
        <v>53</v>
      </c>
      <c r="P39" s="11" t="s">
        <v>53</v>
      </c>
      <c r="Q39" s="11" t="s">
        <v>53</v>
      </c>
    </row>
    <row r="40" customFormat="false" ht="13.8" hidden="false" customHeight="false" outlineLevel="0" collapsed="false">
      <c r="B40" s="2" t="n">
        <v>39</v>
      </c>
      <c r="C40" s="11" t="s">
        <v>53</v>
      </c>
      <c r="D40" s="11" t="s">
        <v>53</v>
      </c>
      <c r="E40" s="11" t="s">
        <v>53</v>
      </c>
      <c r="O40" s="11" t="s">
        <v>53</v>
      </c>
      <c r="P40" s="11" t="s">
        <v>53</v>
      </c>
      <c r="Q40" s="11" t="s">
        <v>53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s">
        <v>53</v>
      </c>
      <c r="O41" s="11" t="s">
        <v>53</v>
      </c>
      <c r="P41" s="11" t="s">
        <v>53</v>
      </c>
      <c r="Q41" s="11" t="s">
        <v>53</v>
      </c>
    </row>
    <row r="42" customFormat="false" ht="13.8" hidden="false" customHeight="false" outlineLevel="0" collapsed="false">
      <c r="B42" s="2" t="n">
        <v>41</v>
      </c>
      <c r="C42" s="11" t="s">
        <v>53</v>
      </c>
      <c r="D42" s="11" t="s">
        <v>53</v>
      </c>
      <c r="E42" s="11" t="s">
        <v>53</v>
      </c>
      <c r="O42" s="11" t="s">
        <v>53</v>
      </c>
      <c r="P42" s="11" t="s">
        <v>53</v>
      </c>
      <c r="Q42" s="11" t="s">
        <v>53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s">
        <v>53</v>
      </c>
      <c r="O43" s="11" t="s">
        <v>53</v>
      </c>
      <c r="P43" s="11" t="s">
        <v>53</v>
      </c>
      <c r="Q43" s="11" t="s">
        <v>53</v>
      </c>
    </row>
    <row r="44" customFormat="false" ht="13.8" hidden="false" customHeight="false" outlineLevel="0" collapsed="false">
      <c r="B44" s="2" t="n">
        <v>43</v>
      </c>
      <c r="C44" s="11" t="s">
        <v>53</v>
      </c>
      <c r="D44" s="11" t="s">
        <v>53</v>
      </c>
      <c r="E44" s="11" t="s">
        <v>53</v>
      </c>
      <c r="O44" s="11" t="s">
        <v>53</v>
      </c>
      <c r="P44" s="11" t="s">
        <v>53</v>
      </c>
      <c r="Q44" s="11" t="s">
        <v>53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s">
        <v>53</v>
      </c>
      <c r="O45" s="11" t="s">
        <v>53</v>
      </c>
      <c r="P45" s="11" t="s">
        <v>53</v>
      </c>
      <c r="Q45" s="11" t="s">
        <v>53</v>
      </c>
    </row>
    <row r="46" customFormat="false" ht="13.8" hidden="false" customHeight="false" outlineLevel="0" collapsed="false">
      <c r="B46" s="2" t="n">
        <v>45</v>
      </c>
      <c r="C46" s="11" t="s">
        <v>53</v>
      </c>
      <c r="D46" s="11" t="s">
        <v>53</v>
      </c>
      <c r="E46" s="11" t="s">
        <v>53</v>
      </c>
      <c r="O46" s="11" t="s">
        <v>53</v>
      </c>
      <c r="P46" s="11" t="s">
        <v>53</v>
      </c>
      <c r="Q46" s="11" t="s">
        <v>53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s">
        <v>53</v>
      </c>
      <c r="O47" s="11" t="s">
        <v>53</v>
      </c>
      <c r="P47" s="11" t="s">
        <v>53</v>
      </c>
      <c r="Q47" s="11" t="s">
        <v>53</v>
      </c>
    </row>
    <row r="48" customFormat="false" ht="13.8" hidden="false" customHeight="false" outlineLevel="0" collapsed="false">
      <c r="B48" s="2" t="n">
        <v>47</v>
      </c>
      <c r="C48" s="11" t="s">
        <v>53</v>
      </c>
      <c r="D48" s="11" t="s">
        <v>53</v>
      </c>
      <c r="E48" s="11" t="s">
        <v>53</v>
      </c>
      <c r="O48" s="11" t="s">
        <v>53</v>
      </c>
      <c r="P48" s="11" t="s">
        <v>53</v>
      </c>
      <c r="Q48" s="11" t="s">
        <v>53</v>
      </c>
    </row>
    <row r="49" customFormat="false" ht="13.8" hidden="false" customHeight="false" outlineLevel="0" collapsed="false">
      <c r="A49" s="3" t="s">
        <v>123</v>
      </c>
      <c r="B49" s="2" t="n">
        <v>48</v>
      </c>
      <c r="C49" s="11" t="s">
        <v>53</v>
      </c>
      <c r="D49" s="11" t="s">
        <v>53</v>
      </c>
      <c r="E49" s="11" t="s">
        <v>53</v>
      </c>
      <c r="O49" s="11" t="s">
        <v>53</v>
      </c>
      <c r="P49" s="11" t="s">
        <v>53</v>
      </c>
      <c r="Q49" s="11" t="s">
        <v>53</v>
      </c>
    </row>
    <row r="50" customFormat="false" ht="13.8" hidden="false" customHeight="false" outlineLevel="0" collapsed="false">
      <c r="B50" s="2" t="n">
        <v>49</v>
      </c>
      <c r="C50" s="11" t="s">
        <v>53</v>
      </c>
      <c r="D50" s="11" t="s">
        <v>53</v>
      </c>
      <c r="E50" s="11" t="s">
        <v>53</v>
      </c>
      <c r="O50" s="11" t="s">
        <v>53</v>
      </c>
      <c r="P50" s="11" t="s">
        <v>53</v>
      </c>
      <c r="Q50" s="11" t="s">
        <v>53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s">
        <v>53</v>
      </c>
      <c r="O51" s="11" t="s">
        <v>53</v>
      </c>
      <c r="P51" s="11" t="s">
        <v>53</v>
      </c>
      <c r="Q51" s="11" t="s">
        <v>53</v>
      </c>
    </row>
    <row r="52" customFormat="false" ht="13.8" hidden="false" customHeight="false" outlineLevel="0" collapsed="false">
      <c r="B52" s="2" t="n">
        <v>51</v>
      </c>
      <c r="C52" s="11" t="s">
        <v>53</v>
      </c>
      <c r="D52" s="11" t="s">
        <v>53</v>
      </c>
      <c r="E52" s="11" t="s">
        <v>53</v>
      </c>
      <c r="O52" s="11" t="s">
        <v>53</v>
      </c>
      <c r="P52" s="11" t="s">
        <v>53</v>
      </c>
      <c r="Q52" s="11" t="s">
        <v>53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s">
        <v>53</v>
      </c>
      <c r="O53" s="11" t="s">
        <v>53</v>
      </c>
      <c r="P53" s="11" t="s">
        <v>53</v>
      </c>
      <c r="Q53" s="11" t="s">
        <v>53</v>
      </c>
    </row>
    <row r="54" customFormat="false" ht="13.8" hidden="false" customHeight="false" outlineLevel="0" collapsed="false">
      <c r="B54" s="2" t="n">
        <v>53</v>
      </c>
      <c r="C54" s="11" t="s">
        <v>53</v>
      </c>
      <c r="D54" s="11" t="s">
        <v>53</v>
      </c>
      <c r="E54" s="11" t="s">
        <v>53</v>
      </c>
      <c r="O54" s="11" t="s">
        <v>53</v>
      </c>
      <c r="P54" s="11" t="s">
        <v>53</v>
      </c>
      <c r="Q54" s="11" t="s">
        <v>53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s">
        <v>53</v>
      </c>
      <c r="O55" s="11" t="s">
        <v>53</v>
      </c>
      <c r="P55" s="11" t="s">
        <v>53</v>
      </c>
      <c r="Q55" s="11" t="s">
        <v>53</v>
      </c>
    </row>
    <row r="56" customFormat="false" ht="13.8" hidden="false" customHeight="false" outlineLevel="0" collapsed="false">
      <c r="B56" s="2" t="n">
        <v>55</v>
      </c>
      <c r="C56" s="11" t="s">
        <v>53</v>
      </c>
      <c r="D56" s="11" t="s">
        <v>53</v>
      </c>
      <c r="E56" s="11" t="s">
        <v>53</v>
      </c>
      <c r="O56" s="11" t="s">
        <v>53</v>
      </c>
      <c r="P56" s="11" t="s">
        <v>53</v>
      </c>
      <c r="Q56" s="11" t="s">
        <v>53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s">
        <v>53</v>
      </c>
      <c r="O57" s="11" t="s">
        <v>53</v>
      </c>
      <c r="P57" s="11" t="s">
        <v>53</v>
      </c>
      <c r="Q57" s="11" t="s">
        <v>53</v>
      </c>
    </row>
    <row r="58" customFormat="false" ht="13.8" hidden="false" customHeight="false" outlineLevel="0" collapsed="false">
      <c r="B58" s="2" t="n">
        <v>57</v>
      </c>
      <c r="C58" s="11" t="s">
        <v>53</v>
      </c>
      <c r="D58" s="11" t="s">
        <v>53</v>
      </c>
      <c r="E58" s="11" t="s">
        <v>53</v>
      </c>
      <c r="O58" s="11" t="s">
        <v>53</v>
      </c>
      <c r="P58" s="11" t="s">
        <v>53</v>
      </c>
      <c r="Q58" s="11" t="s">
        <v>53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s">
        <v>53</v>
      </c>
      <c r="O59" s="11" t="s">
        <v>53</v>
      </c>
      <c r="P59" s="11" t="s">
        <v>53</v>
      </c>
      <c r="Q59" s="11" t="s">
        <v>53</v>
      </c>
    </row>
    <row r="60" customFormat="false" ht="13.8" hidden="false" customHeight="false" outlineLevel="0" collapsed="false">
      <c r="B60" s="2" t="n">
        <v>59</v>
      </c>
      <c r="C60" s="11" t="s">
        <v>53</v>
      </c>
      <c r="D60" s="11" t="s">
        <v>53</v>
      </c>
      <c r="E60" s="11" t="s">
        <v>53</v>
      </c>
      <c r="O60" s="11" t="s">
        <v>53</v>
      </c>
      <c r="P60" s="11" t="s">
        <v>53</v>
      </c>
      <c r="Q60" s="11" t="s">
        <v>53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s">
        <v>53</v>
      </c>
      <c r="O61" s="11" t="s">
        <v>53</v>
      </c>
      <c r="P61" s="11" t="s">
        <v>53</v>
      </c>
      <c r="Q61" s="11" t="s">
        <v>53</v>
      </c>
    </row>
    <row r="62" customFormat="false" ht="13.8" hidden="false" customHeight="false" outlineLevel="0" collapsed="false">
      <c r="B62" s="2" t="n">
        <v>61</v>
      </c>
      <c r="C62" s="11" t="s">
        <v>53</v>
      </c>
      <c r="D62" s="11" t="s">
        <v>53</v>
      </c>
      <c r="E62" s="11" t="s">
        <v>53</v>
      </c>
      <c r="O62" s="11" t="s">
        <v>53</v>
      </c>
      <c r="P62" s="11" t="s">
        <v>53</v>
      </c>
      <c r="Q62" s="11" t="s">
        <v>53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s">
        <v>53</v>
      </c>
      <c r="O63" s="11" t="s">
        <v>53</v>
      </c>
      <c r="P63" s="11" t="s">
        <v>53</v>
      </c>
      <c r="Q63" s="11" t="s">
        <v>53</v>
      </c>
    </row>
    <row r="64" customFormat="false" ht="13.8" hidden="false" customHeight="false" outlineLevel="0" collapsed="false">
      <c r="B64" s="2" t="n">
        <v>63</v>
      </c>
      <c r="C64" s="11" t="s">
        <v>53</v>
      </c>
      <c r="D64" s="11" t="s">
        <v>53</v>
      </c>
      <c r="E64" s="11" t="s">
        <v>53</v>
      </c>
      <c r="O64" s="11" t="s">
        <v>53</v>
      </c>
      <c r="P64" s="11" t="s">
        <v>53</v>
      </c>
      <c r="Q64" s="11" t="s">
        <v>53</v>
      </c>
    </row>
    <row r="65" customFormat="false" ht="13.8" hidden="false" customHeight="false" outlineLevel="0" collapsed="false">
      <c r="A65" s="3" t="s">
        <v>124</v>
      </c>
      <c r="B65" s="2" t="n">
        <v>64</v>
      </c>
      <c r="C65" s="11" t="s">
        <v>53</v>
      </c>
      <c r="D65" s="11" t="s">
        <v>53</v>
      </c>
      <c r="E65" s="11" t="s">
        <v>53</v>
      </c>
      <c r="O65" s="11" t="s">
        <v>53</v>
      </c>
      <c r="P65" s="11" t="s">
        <v>53</v>
      </c>
      <c r="Q65" s="11" t="s">
        <v>53</v>
      </c>
    </row>
    <row r="66" customFormat="false" ht="13.8" hidden="false" customHeight="false" outlineLevel="0" collapsed="false">
      <c r="A66" s="3" t="s">
        <v>125</v>
      </c>
      <c r="B66" s="2" t="n">
        <v>65</v>
      </c>
      <c r="O66" s="11" t="s">
        <v>53</v>
      </c>
      <c r="P66" s="11" t="s">
        <v>53</v>
      </c>
      <c r="Q66" s="11" t="s">
        <v>53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s">
        <v>53</v>
      </c>
    </row>
    <row r="68" customFormat="false" ht="13.8" hidden="false" customHeight="false" outlineLevel="0" collapsed="false">
      <c r="B68" s="2" t="n">
        <v>67</v>
      </c>
      <c r="O68" s="11" t="s">
        <v>53</v>
      </c>
      <c r="P68" s="11" t="s">
        <v>53</v>
      </c>
      <c r="Q68" s="11" t="s">
        <v>53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s">
        <v>53</v>
      </c>
    </row>
    <row r="70" customFormat="false" ht="13.8" hidden="false" customHeight="false" outlineLevel="0" collapsed="false">
      <c r="B70" s="2" t="n">
        <v>69</v>
      </c>
      <c r="O70" s="11" t="s">
        <v>53</v>
      </c>
      <c r="P70" s="11" t="s">
        <v>53</v>
      </c>
      <c r="Q70" s="11" t="s">
        <v>53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s">
        <v>53</v>
      </c>
    </row>
    <row r="72" customFormat="false" ht="13.8" hidden="false" customHeight="false" outlineLevel="0" collapsed="false">
      <c r="B72" s="2" t="n">
        <v>71</v>
      </c>
      <c r="O72" s="11" t="s">
        <v>53</v>
      </c>
      <c r="P72" s="11" t="s">
        <v>53</v>
      </c>
      <c r="Q72" s="11" t="s">
        <v>53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s">
        <v>53</v>
      </c>
    </row>
    <row r="74" customFormat="false" ht="13.8" hidden="false" customHeight="false" outlineLevel="0" collapsed="false">
      <c r="B74" s="2" t="n">
        <v>73</v>
      </c>
      <c r="O74" s="11" t="s">
        <v>53</v>
      </c>
      <c r="P74" s="11" t="s">
        <v>53</v>
      </c>
      <c r="Q74" s="11" t="s">
        <v>53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s">
        <v>53</v>
      </c>
    </row>
    <row r="76" customFormat="false" ht="13.8" hidden="false" customHeight="false" outlineLevel="0" collapsed="false">
      <c r="B76" s="2" t="n">
        <v>75</v>
      </c>
      <c r="O76" s="11" t="s">
        <v>53</v>
      </c>
      <c r="P76" s="11" t="s">
        <v>53</v>
      </c>
      <c r="Q76" s="11" t="s">
        <v>53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s">
        <v>53</v>
      </c>
    </row>
    <row r="78" customFormat="false" ht="13.8" hidden="false" customHeight="false" outlineLevel="0" collapsed="false">
      <c r="B78" s="2" t="n">
        <v>77</v>
      </c>
      <c r="O78" s="11" t="s">
        <v>53</v>
      </c>
      <c r="P78" s="11" t="s">
        <v>53</v>
      </c>
      <c r="Q78" s="11" t="s">
        <v>53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s">
        <v>53</v>
      </c>
    </row>
    <row r="80" customFormat="false" ht="13.8" hidden="false" customHeight="false" outlineLevel="0" collapsed="false">
      <c r="B80" s="2" t="n">
        <v>79</v>
      </c>
      <c r="O80" s="11" t="s">
        <v>53</v>
      </c>
      <c r="P80" s="11" t="s">
        <v>53</v>
      </c>
      <c r="Q80" s="11" t="s">
        <v>53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s">
        <v>53</v>
      </c>
    </row>
    <row r="82" customFormat="false" ht="13.8" hidden="false" customHeight="false" outlineLevel="0" collapsed="false">
      <c r="B82" s="2" t="n">
        <v>81</v>
      </c>
      <c r="O82" s="11" t="s">
        <v>53</v>
      </c>
      <c r="P82" s="11" t="s">
        <v>53</v>
      </c>
      <c r="Q82" s="11" t="s">
        <v>53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s">
        <v>53</v>
      </c>
    </row>
    <row r="84" customFormat="false" ht="13.8" hidden="false" customHeight="false" outlineLevel="0" collapsed="false">
      <c r="B84" s="2" t="n">
        <v>83</v>
      </c>
      <c r="O84" s="11" t="s">
        <v>53</v>
      </c>
      <c r="P84" s="11" t="s">
        <v>53</v>
      </c>
      <c r="Q84" s="11" t="s">
        <v>53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s">
        <v>53</v>
      </c>
    </row>
    <row r="86" customFormat="false" ht="13.8" hidden="false" customHeight="false" outlineLevel="0" collapsed="false">
      <c r="B86" s="2" t="n">
        <v>85</v>
      </c>
      <c r="O86" s="11" t="s">
        <v>53</v>
      </c>
      <c r="P86" s="11" t="s">
        <v>53</v>
      </c>
      <c r="Q86" s="11" t="s">
        <v>53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s">
        <v>53</v>
      </c>
    </row>
    <row r="88" customFormat="false" ht="13.8" hidden="false" customHeight="false" outlineLevel="0" collapsed="false">
      <c r="B88" s="2" t="n">
        <v>87</v>
      </c>
      <c r="O88" s="11" t="s">
        <v>53</v>
      </c>
      <c r="P88" s="11" t="s">
        <v>53</v>
      </c>
      <c r="Q88" s="11" t="s">
        <v>53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s">
        <v>53</v>
      </c>
    </row>
    <row r="90" customFormat="false" ht="13.8" hidden="false" customHeight="false" outlineLevel="0" collapsed="false">
      <c r="B90" s="2" t="n">
        <v>89</v>
      </c>
      <c r="O90" s="11" t="s">
        <v>53</v>
      </c>
      <c r="P90" s="11" t="s">
        <v>53</v>
      </c>
      <c r="Q90" s="11" t="s">
        <v>53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s">
        <v>53</v>
      </c>
    </row>
    <row r="92" customFormat="false" ht="13.8" hidden="false" customHeight="false" outlineLevel="0" collapsed="false">
      <c r="B92" s="2" t="n">
        <v>91</v>
      </c>
      <c r="O92" s="11" t="s">
        <v>53</v>
      </c>
      <c r="P92" s="11" t="s">
        <v>53</v>
      </c>
      <c r="Q92" s="11" t="s">
        <v>53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s">
        <v>53</v>
      </c>
    </row>
    <row r="94" customFormat="false" ht="13.8" hidden="false" customHeight="false" outlineLevel="0" collapsed="false">
      <c r="B94" s="2" t="n">
        <v>93</v>
      </c>
      <c r="O94" s="11" t="s">
        <v>53</v>
      </c>
      <c r="P94" s="11" t="s">
        <v>53</v>
      </c>
      <c r="Q94" s="11" t="s">
        <v>53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s">
        <v>53</v>
      </c>
    </row>
    <row r="96" customFormat="false" ht="13.8" hidden="false" customHeight="false" outlineLevel="0" collapsed="false">
      <c r="A96" s="20" t="s">
        <v>126</v>
      </c>
      <c r="B96" s="2" t="n">
        <v>95</v>
      </c>
      <c r="O96" s="11" t="s">
        <v>53</v>
      </c>
      <c r="P96" s="11" t="s">
        <v>53</v>
      </c>
      <c r="Q96" s="11" t="s">
        <v>53</v>
      </c>
    </row>
    <row r="97" customFormat="false" ht="13.8" hidden="false" customHeight="false" outlineLevel="0" collapsed="false">
      <c r="A97" s="20" t="s">
        <v>127</v>
      </c>
      <c r="B97" s="2" t="n">
        <v>96</v>
      </c>
      <c r="O97" s="11" t="s">
        <v>53</v>
      </c>
      <c r="P97" s="11" t="s">
        <v>53</v>
      </c>
      <c r="Q97" s="11" t="s">
        <v>53</v>
      </c>
    </row>
    <row r="98" customFormat="false" ht="13.8" hidden="false" customHeight="false" outlineLevel="0" collapsed="false">
      <c r="B98" s="2" t="n">
        <v>97</v>
      </c>
      <c r="O98" s="11" t="s">
        <v>53</v>
      </c>
      <c r="P98" s="11" t="s">
        <v>53</v>
      </c>
      <c r="Q98" s="11" t="s">
        <v>53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s">
        <v>53</v>
      </c>
    </row>
    <row r="100" customFormat="false" ht="13.8" hidden="false" customHeight="false" outlineLevel="0" collapsed="false">
      <c r="B100" s="2" t="n">
        <v>99</v>
      </c>
      <c r="O100" s="11" t="s">
        <v>53</v>
      </c>
      <c r="P100" s="11" t="s">
        <v>53</v>
      </c>
      <c r="Q100" s="11" t="s">
        <v>53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s">
        <v>53</v>
      </c>
    </row>
    <row r="102" customFormat="false" ht="13.8" hidden="false" customHeight="false" outlineLevel="0" collapsed="false">
      <c r="B102" s="2" t="n">
        <v>101</v>
      </c>
      <c r="O102" s="11" t="s">
        <v>53</v>
      </c>
      <c r="P102" s="11" t="s">
        <v>53</v>
      </c>
      <c r="Q102" s="11" t="s">
        <v>53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s">
        <v>53</v>
      </c>
    </row>
    <row r="104" customFormat="false" ht="13.8" hidden="false" customHeight="false" outlineLevel="0" collapsed="false">
      <c r="B104" s="2" t="n">
        <v>103</v>
      </c>
      <c r="O104" s="11" t="s">
        <v>53</v>
      </c>
      <c r="P104" s="11" t="s">
        <v>53</v>
      </c>
      <c r="Q104" s="11" t="s">
        <v>53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s">
        <v>53</v>
      </c>
    </row>
    <row r="106" customFormat="false" ht="13.8" hidden="false" customHeight="false" outlineLevel="0" collapsed="false">
      <c r="B106" s="2" t="n">
        <v>105</v>
      </c>
      <c r="O106" s="11" t="s">
        <v>53</v>
      </c>
      <c r="P106" s="11" t="s">
        <v>53</v>
      </c>
      <c r="Q106" s="11" t="s">
        <v>53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s">
        <v>53</v>
      </c>
    </row>
    <row r="108" customFormat="false" ht="13.8" hidden="false" customHeight="false" outlineLevel="0" collapsed="false">
      <c r="B108" s="2" t="n">
        <v>107</v>
      </c>
      <c r="O108" s="11" t="s">
        <v>53</v>
      </c>
      <c r="P108" s="11" t="s">
        <v>53</v>
      </c>
      <c r="Q108" s="11" t="s">
        <v>53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s">
        <v>53</v>
      </c>
    </row>
    <row r="110" customFormat="false" ht="13.8" hidden="false" customHeight="false" outlineLevel="0" collapsed="false">
      <c r="B110" s="2" t="n">
        <v>109</v>
      </c>
      <c r="O110" s="11" t="s">
        <v>53</v>
      </c>
      <c r="P110" s="11" t="s">
        <v>53</v>
      </c>
      <c r="Q110" s="11" t="s">
        <v>53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s">
        <v>53</v>
      </c>
    </row>
    <row r="112" customFormat="false" ht="13.8" hidden="false" customHeight="false" outlineLevel="0" collapsed="false">
      <c r="B112" s="2" t="n">
        <v>111</v>
      </c>
      <c r="O112" s="11" t="s">
        <v>53</v>
      </c>
      <c r="P112" s="11" t="s">
        <v>53</v>
      </c>
      <c r="Q112" s="11" t="s">
        <v>53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s">
        <v>53</v>
      </c>
    </row>
    <row r="114" customFormat="false" ht="13.8" hidden="false" customHeight="false" outlineLevel="0" collapsed="false">
      <c r="B114" s="2" t="n">
        <v>113</v>
      </c>
      <c r="O114" s="11" t="s">
        <v>53</v>
      </c>
      <c r="P114" s="11" t="s">
        <v>53</v>
      </c>
      <c r="Q114" s="11" t="s">
        <v>53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s">
        <v>53</v>
      </c>
    </row>
    <row r="116" customFormat="false" ht="13.8" hidden="false" customHeight="false" outlineLevel="0" collapsed="false">
      <c r="B116" s="2" t="n">
        <v>115</v>
      </c>
      <c r="O116" s="11" t="s">
        <v>53</v>
      </c>
      <c r="P116" s="11" t="s">
        <v>53</v>
      </c>
      <c r="Q116" s="11" t="s">
        <v>53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s">
        <v>53</v>
      </c>
    </row>
    <row r="118" customFormat="false" ht="13.8" hidden="false" customHeight="false" outlineLevel="0" collapsed="false">
      <c r="B118" s="2" t="n">
        <v>117</v>
      </c>
      <c r="O118" s="11" t="s">
        <v>53</v>
      </c>
      <c r="P118" s="11" t="s">
        <v>53</v>
      </c>
      <c r="Q118" s="11" t="s">
        <v>53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s">
        <v>53</v>
      </c>
    </row>
    <row r="120" customFormat="false" ht="13.8" hidden="false" customHeight="false" outlineLevel="0" collapsed="false">
      <c r="B120" s="2" t="n">
        <v>119</v>
      </c>
      <c r="O120" s="11" t="s">
        <v>53</v>
      </c>
      <c r="P120" s="11" t="s">
        <v>53</v>
      </c>
      <c r="Q120" s="11" t="s">
        <v>53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s">
        <v>53</v>
      </c>
    </row>
    <row r="122" customFormat="false" ht="13.8" hidden="false" customHeight="false" outlineLevel="0" collapsed="false">
      <c r="B122" s="2" t="n">
        <v>121</v>
      </c>
      <c r="O122" s="11" t="s">
        <v>53</v>
      </c>
      <c r="P122" s="11" t="s">
        <v>53</v>
      </c>
      <c r="Q122" s="11" t="s">
        <v>53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s">
        <v>53</v>
      </c>
    </row>
    <row r="124" customFormat="false" ht="13.8" hidden="false" customHeight="false" outlineLevel="0" collapsed="false">
      <c r="B124" s="2" t="n">
        <v>123</v>
      </c>
      <c r="O124" s="11" t="s">
        <v>53</v>
      </c>
      <c r="P124" s="11" t="s">
        <v>53</v>
      </c>
      <c r="Q124" s="11" t="s">
        <v>53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s">
        <v>53</v>
      </c>
    </row>
    <row r="126" customFormat="false" ht="13.8" hidden="false" customHeight="false" outlineLevel="0" collapsed="false">
      <c r="B126" s="2" t="n">
        <v>125</v>
      </c>
      <c r="O126" s="11" t="s">
        <v>53</v>
      </c>
      <c r="P126" s="11" t="s">
        <v>53</v>
      </c>
      <c r="Q126" s="11" t="s">
        <v>53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s">
        <v>53</v>
      </c>
    </row>
    <row r="128" customFormat="false" ht="13.8" hidden="false" customHeight="false" outlineLevel="0" collapsed="false">
      <c r="B128" s="2" t="n">
        <v>127</v>
      </c>
      <c r="O128" s="11" t="s">
        <v>53</v>
      </c>
      <c r="P128" s="11" t="s">
        <v>53</v>
      </c>
      <c r="Q128" s="11" t="s">
        <v>53</v>
      </c>
    </row>
    <row r="129" customFormat="false" ht="13.8" hidden="false" customHeight="false" outlineLevel="0" collapsed="false">
      <c r="A129" s="20" t="s">
        <v>128</v>
      </c>
      <c r="B129" s="2" t="n">
        <v>128</v>
      </c>
      <c r="O129" s="11" t="s">
        <v>53</v>
      </c>
      <c r="P129" s="11" t="s">
        <v>53</v>
      </c>
      <c r="Q129" s="11" t="s">
        <v>53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0" min="49" style="3" width="11.57"/>
    <col collapsed="false" customWidth="false" hidden="true" outlineLevel="0" max="51" min="51" style="3" width="11.53"/>
    <col collapsed="false" customWidth="false" hidden="true" outlineLevel="0" max="53" min="52" style="3" width="11.57"/>
    <col collapsed="false" customWidth="true" hidden="true" outlineLevel="0" max="54" min="54" style="3" width="17.1"/>
    <col collapsed="false" customWidth="true" hidden="true" outlineLevel="0" max="55" min="55" style="3" width="17.7"/>
  </cols>
  <sheetData>
    <row r="1" s="3" customFormat="true" ht="13.8" hidden="false" customHeight="false" outlineLevel="0" collapsed="false">
      <c r="A1" s="21" t="s">
        <v>129</v>
      </c>
      <c r="B1" s="21" t="s">
        <v>130</v>
      </c>
      <c r="C1" s="21" t="s">
        <v>131</v>
      </c>
      <c r="D1" s="22"/>
      <c r="E1" s="23" t="s">
        <v>132</v>
      </c>
      <c r="F1" s="23" t="s">
        <v>133</v>
      </c>
      <c r="G1" s="23" t="s">
        <v>134</v>
      </c>
      <c r="H1" s="22"/>
      <c r="I1" s="22"/>
      <c r="J1" s="23" t="s">
        <v>135</v>
      </c>
      <c r="K1" s="23" t="s">
        <v>136</v>
      </c>
      <c r="L1" s="23" t="s">
        <v>137</v>
      </c>
      <c r="M1" s="22"/>
      <c r="N1" s="22"/>
      <c r="O1" s="24" t="s">
        <v>138</v>
      </c>
      <c r="P1" s="24" t="s">
        <v>139</v>
      </c>
      <c r="Q1" s="24" t="s">
        <v>140</v>
      </c>
      <c r="R1" s="22"/>
      <c r="S1" s="22"/>
      <c r="T1" s="24" t="s">
        <v>141</v>
      </c>
      <c r="U1" s="24" t="s">
        <v>142</v>
      </c>
      <c r="V1" s="24" t="s">
        <v>143</v>
      </c>
      <c r="W1" s="22"/>
      <c r="X1" s="22"/>
      <c r="Y1" s="25" t="s">
        <v>144</v>
      </c>
      <c r="Z1" s="25" t="s">
        <v>145</v>
      </c>
      <c r="AA1" s="25" t="s">
        <v>146</v>
      </c>
      <c r="AB1" s="22"/>
      <c r="AC1" s="22"/>
      <c r="AD1" s="25" t="s">
        <v>147</v>
      </c>
      <c r="AE1" s="25" t="s">
        <v>148</v>
      </c>
      <c r="AF1" s="25" t="s">
        <v>149</v>
      </c>
      <c r="AG1" s="2"/>
      <c r="AH1" s="2"/>
      <c r="AI1" s="23" t="s">
        <v>150</v>
      </c>
      <c r="AJ1" s="23" t="s">
        <v>151</v>
      </c>
      <c r="AK1" s="23" t="s">
        <v>152</v>
      </c>
      <c r="AN1" s="23" t="s">
        <v>153</v>
      </c>
      <c r="AO1" s="23" t="s">
        <v>154</v>
      </c>
      <c r="AP1" s="23" t="s">
        <v>155</v>
      </c>
      <c r="AS1" s="26" t="s">
        <v>156</v>
      </c>
      <c r="AT1" s="26" t="s">
        <v>157</v>
      </c>
      <c r="AU1" s="26" t="s">
        <v>158</v>
      </c>
      <c r="AW1" s="23" t="s">
        <v>159</v>
      </c>
      <c r="AX1" s="23" t="s">
        <v>160</v>
      </c>
      <c r="AY1" s="23" t="s">
        <v>161</v>
      </c>
      <c r="BA1" s="26" t="s">
        <v>162</v>
      </c>
      <c r="BB1" s="26" t="s">
        <v>163</v>
      </c>
      <c r="BC1" s="26" t="s">
        <v>164</v>
      </c>
    </row>
    <row r="2" customFormat="false" ht="13.8" hidden="false" customHeight="false" outlineLevel="0" collapsed="false">
      <c r="A2" s="27" t="n">
        <v>1</v>
      </c>
      <c r="B2" s="28" t="s">
        <v>165</v>
      </c>
      <c r="C2" s="29" t="s">
        <v>51</v>
      </c>
      <c r="E2" s="27" t="n">
        <v>1</v>
      </c>
      <c r="F2" s="30" t="s">
        <v>166</v>
      </c>
      <c r="G2" s="29" t="s">
        <v>85</v>
      </c>
      <c r="H2" s="2" t="n">
        <f aca="false">IF(F2&lt;&gt;CONCATENATE("Aux",E2),1,0)</f>
        <v>0</v>
      </c>
      <c r="J2" s="27" t="n">
        <v>1</v>
      </c>
      <c r="K2" s="30" t="s">
        <v>167</v>
      </c>
      <c r="L2" s="29" t="s">
        <v>85</v>
      </c>
      <c r="M2" s="2" t="n">
        <f aca="false">IF(K2&lt;&gt;CONCATENATE("STAux",J2),1,0)</f>
        <v>0</v>
      </c>
      <c r="N2" s="2"/>
      <c r="O2" s="27" t="n">
        <v>1</v>
      </c>
      <c r="P2" s="30" t="s">
        <v>168</v>
      </c>
      <c r="Q2" s="29" t="s">
        <v>51</v>
      </c>
      <c r="R2" s="31" t="n">
        <f aca="false">IF(P2&lt;&gt;CONCATENATE("Grp",O2),1,0)</f>
        <v>0</v>
      </c>
      <c r="S2" s="31"/>
      <c r="T2" s="27" t="n">
        <v>1</v>
      </c>
      <c r="U2" s="30" t="s">
        <v>169</v>
      </c>
      <c r="V2" s="29" t="s">
        <v>51</v>
      </c>
      <c r="W2" s="2" t="n">
        <f aca="false">IF(U2&lt;&gt;CONCATENATE("StGrp",T2),1,0)</f>
        <v>0</v>
      </c>
      <c r="Y2" s="27" t="n">
        <v>1</v>
      </c>
      <c r="Z2" s="30" t="s">
        <v>170</v>
      </c>
      <c r="AA2" s="29" t="s">
        <v>103</v>
      </c>
      <c r="AB2" s="2" t="n">
        <f aca="false">IF(Z2&lt;&gt;CONCATENATE("Mtx",Y2),1,0)</f>
        <v>0</v>
      </c>
      <c r="AC2" s="2"/>
      <c r="AD2" s="27" t="n">
        <v>1</v>
      </c>
      <c r="AE2" s="30" t="s">
        <v>171</v>
      </c>
      <c r="AF2" s="29" t="s">
        <v>103</v>
      </c>
      <c r="AG2" s="2" t="n">
        <f aca="false">IF(AE2&lt;&gt;CONCATENATE("StMtx",AD2),1,0)</f>
        <v>0</v>
      </c>
      <c r="AI2" s="27" t="n">
        <v>1</v>
      </c>
      <c r="AJ2" s="30" t="s">
        <v>172</v>
      </c>
      <c r="AK2" s="29" t="s">
        <v>85</v>
      </c>
      <c r="AL2" s="2" t="n">
        <f aca="false">IF(AJ2&lt;&gt;CONCATENATE("Fx",AI2),1,0)</f>
        <v>0</v>
      </c>
      <c r="AM2" s="2"/>
      <c r="AN2" s="27" t="n">
        <v>1</v>
      </c>
      <c r="AO2" s="30" t="s">
        <v>173</v>
      </c>
      <c r="AP2" s="29" t="s">
        <v>85</v>
      </c>
      <c r="AQ2" s="2" t="n">
        <f aca="false">IF(AO2&lt;&gt;CONCATENATE("StFx",AN2),1,0)</f>
        <v>0</v>
      </c>
      <c r="AR2" s="2"/>
      <c r="AS2" s="27" t="n">
        <v>1</v>
      </c>
      <c r="AT2" s="30" t="s">
        <v>174</v>
      </c>
      <c r="AU2" s="29" t="s">
        <v>80</v>
      </c>
      <c r="AW2" s="27" t="n">
        <v>1</v>
      </c>
      <c r="AX2" s="30" t="s">
        <v>175</v>
      </c>
      <c r="AY2" s="11" t="s">
        <v>51</v>
      </c>
      <c r="AZ2" s="2"/>
      <c r="BA2" s="27" t="n">
        <v>1</v>
      </c>
      <c r="BB2" s="30" t="s">
        <v>176</v>
      </c>
      <c r="BC2" s="11" t="s">
        <v>51</v>
      </c>
    </row>
    <row r="3" customFormat="false" ht="13.8" hidden="false" customHeight="false" outlineLevel="0" collapsed="false">
      <c r="A3" s="27" t="n">
        <v>2</v>
      </c>
      <c r="B3" s="28" t="s">
        <v>177</v>
      </c>
      <c r="C3" s="29" t="s">
        <v>51</v>
      </c>
      <c r="E3" s="27" t="n">
        <v>2</v>
      </c>
      <c r="F3" s="30" t="s">
        <v>178</v>
      </c>
      <c r="G3" s="29" t="s">
        <v>85</v>
      </c>
      <c r="H3" s="2" t="n">
        <f aca="false">IF(F3&lt;&gt;CONCATENATE("Aux",E3),1,0)</f>
        <v>0</v>
      </c>
      <c r="J3" s="27" t="n">
        <v>2</v>
      </c>
      <c r="K3" s="30" t="s">
        <v>179</v>
      </c>
      <c r="L3" s="29" t="s">
        <v>85</v>
      </c>
      <c r="M3" s="2" t="n">
        <f aca="false">IF(K3&lt;&gt;CONCATENATE("STAux",J3),1,0)</f>
        <v>0</v>
      </c>
      <c r="N3" s="2"/>
      <c r="O3" s="27" t="n">
        <v>2</v>
      </c>
      <c r="P3" s="30" t="s">
        <v>180</v>
      </c>
      <c r="Q3" s="29" t="s">
        <v>51</v>
      </c>
      <c r="R3" s="31" t="n">
        <f aca="false">IF(P3&lt;&gt;CONCATENATE("Grp",O3),1,0)</f>
        <v>0</v>
      </c>
      <c r="S3" s="31"/>
      <c r="T3" s="27" t="n">
        <v>2</v>
      </c>
      <c r="U3" s="30" t="s">
        <v>181</v>
      </c>
      <c r="V3" s="29" t="s">
        <v>51</v>
      </c>
      <c r="W3" s="2" t="n">
        <f aca="false">IF(U3&lt;&gt;CONCATENATE("StGrp",T3),1,0)</f>
        <v>0</v>
      </c>
      <c r="Y3" s="27" t="n">
        <v>2</v>
      </c>
      <c r="Z3" s="30" t="s">
        <v>182</v>
      </c>
      <c r="AA3" s="29" t="s">
        <v>103</v>
      </c>
      <c r="AB3" s="2" t="n">
        <f aca="false">IF(Z3&lt;&gt;CONCATENATE("Mtx",Y3),1,0)</f>
        <v>0</v>
      </c>
      <c r="AC3" s="2"/>
      <c r="AD3" s="27" t="n">
        <v>2</v>
      </c>
      <c r="AE3" s="30" t="s">
        <v>183</v>
      </c>
      <c r="AF3" s="29" t="s">
        <v>103</v>
      </c>
      <c r="AG3" s="2" t="n">
        <f aca="false">IF(AE3&lt;&gt;CONCATENATE("StMtx",AD3),1,0)</f>
        <v>0</v>
      </c>
      <c r="AI3" s="27" t="n">
        <v>2</v>
      </c>
      <c r="AJ3" s="30" t="s">
        <v>184</v>
      </c>
      <c r="AK3" s="29" t="s">
        <v>85</v>
      </c>
      <c r="AL3" s="2" t="n">
        <f aca="false">IF(AJ3&lt;&gt;CONCATENATE("Fx",AI3),1,0)</f>
        <v>0</v>
      </c>
      <c r="AM3" s="2"/>
      <c r="AN3" s="27" t="n">
        <v>2</v>
      </c>
      <c r="AO3" s="30" t="s">
        <v>185</v>
      </c>
      <c r="AP3" s="29" t="s">
        <v>85</v>
      </c>
      <c r="AQ3" s="2" t="n">
        <f aca="false">IF(AO3&lt;&gt;CONCATENATE("StFx",AN3),1,0)</f>
        <v>0</v>
      </c>
      <c r="AR3" s="2"/>
      <c r="AS3" s="27" t="n">
        <v>2</v>
      </c>
      <c r="AT3" s="30" t="s">
        <v>186</v>
      </c>
      <c r="AU3" s="29" t="s">
        <v>80</v>
      </c>
      <c r="AW3" s="27" t="n">
        <v>2</v>
      </c>
      <c r="AX3" s="30" t="s">
        <v>187</v>
      </c>
      <c r="AY3" s="11" t="s">
        <v>70</v>
      </c>
      <c r="AZ3" s="2"/>
      <c r="BA3" s="27" t="n">
        <v>2</v>
      </c>
      <c r="BB3" s="30" t="s">
        <v>188</v>
      </c>
      <c r="BC3" s="11" t="s">
        <v>70</v>
      </c>
    </row>
    <row r="4" customFormat="false" ht="13.8" hidden="false" customHeight="false" outlineLevel="0" collapsed="false">
      <c r="A4" s="27" t="n">
        <v>3</v>
      </c>
      <c r="B4" s="28" t="s">
        <v>189</v>
      </c>
      <c r="C4" s="29" t="s">
        <v>70</v>
      </c>
      <c r="E4" s="27" t="n">
        <v>3</v>
      </c>
      <c r="F4" s="30" t="s">
        <v>190</v>
      </c>
      <c r="G4" s="29" t="s">
        <v>85</v>
      </c>
      <c r="H4" s="2" t="n">
        <f aca="false">IF(F4&lt;&gt;CONCATENATE("Aux",E4),1,0)</f>
        <v>0</v>
      </c>
      <c r="J4" s="27" t="n">
        <v>3</v>
      </c>
      <c r="K4" s="30" t="s">
        <v>191</v>
      </c>
      <c r="L4" s="29" t="s">
        <v>85</v>
      </c>
      <c r="M4" s="2" t="n">
        <f aca="false">IF(K4&lt;&gt;CONCATENATE("STAux",J4),1,0)</f>
        <v>0</v>
      </c>
      <c r="N4" s="2"/>
      <c r="O4" s="27" t="n">
        <v>3</v>
      </c>
      <c r="P4" s="30" t="s">
        <v>192</v>
      </c>
      <c r="Q4" s="29" t="s">
        <v>51</v>
      </c>
      <c r="R4" s="31" t="n">
        <f aca="false">IF(P4&lt;&gt;CONCATENATE("Grp",O4),1,0)</f>
        <v>0</v>
      </c>
      <c r="S4" s="31"/>
      <c r="T4" s="27" t="n">
        <v>3</v>
      </c>
      <c r="U4" s="30" t="s">
        <v>193</v>
      </c>
      <c r="V4" s="29" t="s">
        <v>51</v>
      </c>
      <c r="W4" s="2" t="n">
        <f aca="false">IF(U4&lt;&gt;CONCATENATE("StGrp",T4),1,0)</f>
        <v>0</v>
      </c>
      <c r="Y4" s="27" t="n">
        <v>3</v>
      </c>
      <c r="Z4" s="30" t="s">
        <v>194</v>
      </c>
      <c r="AA4" s="29" t="s">
        <v>103</v>
      </c>
      <c r="AB4" s="2" t="n">
        <f aca="false">IF(Z4&lt;&gt;CONCATENATE("Mtx",Y4),1,0)</f>
        <v>0</v>
      </c>
      <c r="AC4" s="2"/>
      <c r="AD4" s="27" t="n">
        <v>3</v>
      </c>
      <c r="AE4" s="30" t="s">
        <v>195</v>
      </c>
      <c r="AF4" s="29" t="s">
        <v>103</v>
      </c>
      <c r="AG4" s="2" t="n">
        <f aca="false">IF(AE4&lt;&gt;CONCATENATE("StMtx",AD4),1,0)</f>
        <v>0</v>
      </c>
      <c r="AI4" s="27" t="n">
        <v>3</v>
      </c>
      <c r="AJ4" s="30" t="s">
        <v>196</v>
      </c>
      <c r="AK4" s="29" t="s">
        <v>85</v>
      </c>
      <c r="AL4" s="2" t="n">
        <f aca="false">IF(AJ4&lt;&gt;CONCATENATE("Fx",AI4),1,0)</f>
        <v>0</v>
      </c>
      <c r="AM4" s="2"/>
      <c r="AN4" s="27" t="n">
        <v>3</v>
      </c>
      <c r="AO4" s="30" t="s">
        <v>197</v>
      </c>
      <c r="AP4" s="29" t="s">
        <v>85</v>
      </c>
      <c r="AQ4" s="2" t="n">
        <f aca="false">IF(AO4&lt;&gt;CONCATENATE("StFx",AN4),1,0)</f>
        <v>0</v>
      </c>
      <c r="AR4" s="2"/>
      <c r="AS4" s="27" t="n">
        <v>3</v>
      </c>
      <c r="AT4" s="30" t="s">
        <v>198</v>
      </c>
      <c r="AU4" s="29" t="s">
        <v>80</v>
      </c>
      <c r="AW4" s="27" t="n">
        <v>3</v>
      </c>
      <c r="AX4" s="30" t="s">
        <v>199</v>
      </c>
      <c r="AY4" s="11" t="s">
        <v>73</v>
      </c>
      <c r="AZ4" s="2"/>
      <c r="BA4" s="27" t="n">
        <v>3</v>
      </c>
      <c r="BB4" s="30" t="s">
        <v>200</v>
      </c>
      <c r="BC4" s="11" t="s">
        <v>73</v>
      </c>
    </row>
    <row r="5" customFormat="false" ht="13.8" hidden="false" customHeight="false" outlineLevel="0" collapsed="false">
      <c r="A5" s="27" t="n">
        <v>4</v>
      </c>
      <c r="B5" s="28" t="s">
        <v>201</v>
      </c>
      <c r="C5" s="29" t="s">
        <v>73</v>
      </c>
      <c r="E5" s="27" t="n">
        <v>4</v>
      </c>
      <c r="F5" s="30" t="s">
        <v>202</v>
      </c>
      <c r="G5" s="29" t="s">
        <v>85</v>
      </c>
      <c r="H5" s="2" t="n">
        <f aca="false">IF(F5&lt;&gt;CONCATENATE("Aux",E5),1,0)</f>
        <v>0</v>
      </c>
      <c r="J5" s="27" t="n">
        <v>4</v>
      </c>
      <c r="K5" s="30" t="s">
        <v>203</v>
      </c>
      <c r="L5" s="29" t="s">
        <v>85</v>
      </c>
      <c r="M5" s="2" t="n">
        <f aca="false">IF(K5&lt;&gt;CONCATENATE("STAux",J5),1,0)</f>
        <v>0</v>
      </c>
      <c r="N5" s="2"/>
      <c r="O5" s="27" t="n">
        <v>4</v>
      </c>
      <c r="P5" s="30" t="s">
        <v>204</v>
      </c>
      <c r="Q5" s="29" t="s">
        <v>51</v>
      </c>
      <c r="R5" s="31" t="n">
        <f aca="false">IF(P5&lt;&gt;CONCATENATE("Grp",O5),1,0)</f>
        <v>0</v>
      </c>
      <c r="S5" s="31"/>
      <c r="T5" s="27" t="n">
        <v>4</v>
      </c>
      <c r="U5" s="30" t="s">
        <v>205</v>
      </c>
      <c r="V5" s="29" t="s">
        <v>51</v>
      </c>
      <c r="W5" s="2" t="n">
        <f aca="false">IF(U5&lt;&gt;CONCATENATE("StGrp",T5),1,0)</f>
        <v>0</v>
      </c>
      <c r="Y5" s="27" t="n">
        <v>4</v>
      </c>
      <c r="Z5" s="30" t="s">
        <v>206</v>
      </c>
      <c r="AA5" s="29" t="s">
        <v>103</v>
      </c>
      <c r="AB5" s="2" t="n">
        <f aca="false">IF(Z5&lt;&gt;CONCATENATE("Mtx",Y5),1,0)</f>
        <v>0</v>
      </c>
      <c r="AC5" s="2"/>
      <c r="AD5" s="27" t="n">
        <v>4</v>
      </c>
      <c r="AE5" s="30" t="s">
        <v>207</v>
      </c>
      <c r="AF5" s="29" t="s">
        <v>103</v>
      </c>
      <c r="AG5" s="2" t="n">
        <f aca="false">IF(AE5&lt;&gt;CONCATENATE("StMtx",AD5),1,0)</f>
        <v>0</v>
      </c>
      <c r="AI5" s="27" t="n">
        <v>4</v>
      </c>
      <c r="AJ5" s="30" t="s">
        <v>208</v>
      </c>
      <c r="AK5" s="29" t="s">
        <v>85</v>
      </c>
      <c r="AL5" s="2" t="n">
        <f aca="false">IF(AJ5&lt;&gt;CONCATENATE("Fx",AI5),1,0)</f>
        <v>0</v>
      </c>
      <c r="AM5" s="2"/>
      <c r="AN5" s="27" t="n">
        <v>4</v>
      </c>
      <c r="AO5" s="30" t="s">
        <v>209</v>
      </c>
      <c r="AP5" s="29" t="s">
        <v>85</v>
      </c>
      <c r="AQ5" s="2" t="n">
        <f aca="false">IF(AO5&lt;&gt;CONCATENATE("StFx",AN5),1,0)</f>
        <v>0</v>
      </c>
      <c r="AR5" s="2"/>
      <c r="AS5" s="27" t="n">
        <v>4</v>
      </c>
      <c r="AT5" s="30" t="s">
        <v>210</v>
      </c>
      <c r="AU5" s="29" t="s">
        <v>80</v>
      </c>
      <c r="AW5" s="27" t="n">
        <v>4</v>
      </c>
      <c r="AX5" s="30" t="s">
        <v>211</v>
      </c>
      <c r="AY5" s="11" t="s">
        <v>80</v>
      </c>
      <c r="AZ5" s="2"/>
      <c r="BA5" s="27" t="n">
        <v>4</v>
      </c>
      <c r="BB5" s="30" t="s">
        <v>212</v>
      </c>
      <c r="BC5" s="11" t="s">
        <v>80</v>
      </c>
    </row>
    <row r="6" customFormat="false" ht="13.8" hidden="false" customHeight="false" outlineLevel="0" collapsed="false">
      <c r="A6" s="27" t="n">
        <v>5</v>
      </c>
      <c r="B6" s="28" t="s">
        <v>213</v>
      </c>
      <c r="C6" s="29" t="s">
        <v>80</v>
      </c>
      <c r="E6" s="27" t="n">
        <v>5</v>
      </c>
      <c r="F6" s="30" t="s">
        <v>214</v>
      </c>
      <c r="G6" s="29" t="s">
        <v>85</v>
      </c>
      <c r="H6" s="2" t="n">
        <f aca="false">IF(F6&lt;&gt;CONCATENATE("Aux",E6),1,0)</f>
        <v>0</v>
      </c>
      <c r="J6" s="27" t="n">
        <v>5</v>
      </c>
      <c r="K6" s="30" t="s">
        <v>215</v>
      </c>
      <c r="L6" s="29" t="s">
        <v>85</v>
      </c>
      <c r="M6" s="2" t="n">
        <f aca="false">IF(K6&lt;&gt;CONCATENATE("STAux",J6),1,0)</f>
        <v>0</v>
      </c>
      <c r="N6" s="2"/>
      <c r="O6" s="27" t="n">
        <v>5</v>
      </c>
      <c r="P6" s="30" t="s">
        <v>216</v>
      </c>
      <c r="Q6" s="29" t="s">
        <v>51</v>
      </c>
      <c r="R6" s="31" t="n">
        <f aca="false">IF(P6&lt;&gt;CONCATENATE("Grp",O6),1,0)</f>
        <v>0</v>
      </c>
      <c r="S6" s="31"/>
      <c r="T6" s="27" t="n">
        <v>5</v>
      </c>
      <c r="U6" s="30" t="s">
        <v>217</v>
      </c>
      <c r="V6" s="29" t="s">
        <v>51</v>
      </c>
      <c r="W6" s="2" t="n">
        <f aca="false">IF(U6&lt;&gt;CONCATENATE("StGrp",T6),1,0)</f>
        <v>0</v>
      </c>
      <c r="Y6" s="27" t="n">
        <v>5</v>
      </c>
      <c r="Z6" s="30" t="s">
        <v>218</v>
      </c>
      <c r="AA6" s="29" t="s">
        <v>103</v>
      </c>
      <c r="AB6" s="2" t="n">
        <f aca="false">IF(Z6&lt;&gt;CONCATENATE("Mtx",Y6),1,0)</f>
        <v>0</v>
      </c>
      <c r="AC6" s="2"/>
      <c r="AD6" s="27" t="n">
        <v>5</v>
      </c>
      <c r="AE6" s="30" t="s">
        <v>219</v>
      </c>
      <c r="AF6" s="29" t="s">
        <v>103</v>
      </c>
      <c r="AG6" s="2" t="n">
        <f aca="false">IF(AE6&lt;&gt;CONCATENATE("StMtx",AD6),1,0)</f>
        <v>0</v>
      </c>
      <c r="AI6" s="27" t="n">
        <v>5</v>
      </c>
      <c r="AJ6" s="30" t="s">
        <v>220</v>
      </c>
      <c r="AK6" s="29" t="s">
        <v>85</v>
      </c>
      <c r="AL6" s="2" t="n">
        <f aca="false">IF(AJ6&lt;&gt;CONCATENATE("Fx",AI6),1,0)</f>
        <v>0</v>
      </c>
      <c r="AM6" s="2"/>
      <c r="AN6" s="27" t="n">
        <v>5</v>
      </c>
      <c r="AO6" s="30" t="s">
        <v>221</v>
      </c>
      <c r="AP6" s="29" t="s">
        <v>85</v>
      </c>
      <c r="AQ6" s="2" t="n">
        <f aca="false">IF(AO6&lt;&gt;CONCATENATE("StFx",AN6),1,0)</f>
        <v>0</v>
      </c>
      <c r="AR6" s="2"/>
      <c r="AS6" s="27" t="n">
        <v>5</v>
      </c>
      <c r="AT6" s="30" t="s">
        <v>222</v>
      </c>
      <c r="AU6" s="29" t="s">
        <v>80</v>
      </c>
      <c r="AW6" s="27" t="n">
        <v>5</v>
      </c>
      <c r="AX6" s="30" t="s">
        <v>223</v>
      </c>
      <c r="AY6" s="11" t="s">
        <v>85</v>
      </c>
      <c r="AZ6" s="2"/>
      <c r="BA6" s="27" t="n">
        <v>5</v>
      </c>
      <c r="BB6" s="30" t="s">
        <v>224</v>
      </c>
      <c r="BC6" s="11" t="s">
        <v>85</v>
      </c>
    </row>
    <row r="7" customFormat="false" ht="13.8" hidden="false" customHeight="false" outlineLevel="0" collapsed="false">
      <c r="A7" s="27" t="n">
        <v>6</v>
      </c>
      <c r="B7" s="28" t="s">
        <v>225</v>
      </c>
      <c r="C7" s="29" t="s">
        <v>85</v>
      </c>
      <c r="D7" s="2"/>
      <c r="E7" s="27" t="n">
        <v>6</v>
      </c>
      <c r="F7" s="30" t="s">
        <v>226</v>
      </c>
      <c r="G7" s="29" t="s">
        <v>85</v>
      </c>
      <c r="H7" s="2" t="n">
        <f aca="false">IF(F7&lt;&gt;CONCATENATE("Aux",E7),1,0)</f>
        <v>0</v>
      </c>
      <c r="J7" s="27" t="n">
        <v>6</v>
      </c>
      <c r="K7" s="30" t="s">
        <v>227</v>
      </c>
      <c r="L7" s="29" t="s">
        <v>85</v>
      </c>
      <c r="M7" s="2" t="n">
        <f aca="false">IF(K7&lt;&gt;CONCATENATE("STAux",J7),1,0)</f>
        <v>0</v>
      </c>
      <c r="N7" s="2"/>
      <c r="O7" s="27" t="n">
        <v>6</v>
      </c>
      <c r="P7" s="30" t="s">
        <v>228</v>
      </c>
      <c r="Q7" s="29" t="s">
        <v>51</v>
      </c>
      <c r="R7" s="31" t="n">
        <f aca="false">IF(P7&lt;&gt;CONCATENATE("Grp",O7),1,0)</f>
        <v>0</v>
      </c>
      <c r="S7" s="31"/>
      <c r="T7" s="27" t="n">
        <v>6</v>
      </c>
      <c r="U7" s="30" t="s">
        <v>229</v>
      </c>
      <c r="V7" s="29" t="s">
        <v>51</v>
      </c>
      <c r="W7" s="2" t="n">
        <f aca="false">IF(U7&lt;&gt;CONCATENATE("StGrp",T7),1,0)</f>
        <v>0</v>
      </c>
      <c r="Y7" s="27" t="n">
        <v>6</v>
      </c>
      <c r="Z7" s="30" t="s">
        <v>230</v>
      </c>
      <c r="AA7" s="29" t="s">
        <v>103</v>
      </c>
      <c r="AB7" s="2" t="n">
        <f aca="false">IF(Z7&lt;&gt;CONCATENATE("Mtx",Y7),1,0)</f>
        <v>0</v>
      </c>
      <c r="AC7" s="2"/>
      <c r="AD7" s="27" t="n">
        <v>6</v>
      </c>
      <c r="AE7" s="30" t="s">
        <v>231</v>
      </c>
      <c r="AF7" s="29" t="s">
        <v>103</v>
      </c>
      <c r="AG7" s="2" t="n">
        <f aca="false">IF(AE7&lt;&gt;CONCATENATE("StMtx",AD7),1,0)</f>
        <v>0</v>
      </c>
      <c r="AI7" s="27" t="n">
        <v>6</v>
      </c>
      <c r="AJ7" s="30" t="s">
        <v>232</v>
      </c>
      <c r="AK7" s="29" t="s">
        <v>85</v>
      </c>
      <c r="AL7" s="2" t="n">
        <f aca="false">IF(AJ7&lt;&gt;CONCATENATE("Fx",AI7),1,0)</f>
        <v>0</v>
      </c>
      <c r="AM7" s="2"/>
      <c r="AN7" s="27" t="n">
        <v>6</v>
      </c>
      <c r="AO7" s="30" t="s">
        <v>233</v>
      </c>
      <c r="AP7" s="29" t="s">
        <v>85</v>
      </c>
      <c r="AQ7" s="2" t="n">
        <f aca="false">IF(AO7&lt;&gt;CONCATENATE("StFx",AN7),1,0)</f>
        <v>0</v>
      </c>
      <c r="AR7" s="2"/>
      <c r="AS7" s="27" t="n">
        <v>6</v>
      </c>
      <c r="AT7" s="30" t="s">
        <v>234</v>
      </c>
      <c r="AU7" s="29" t="s">
        <v>80</v>
      </c>
      <c r="AW7" s="27" t="n">
        <v>6</v>
      </c>
      <c r="AX7" s="30" t="s">
        <v>235</v>
      </c>
      <c r="AY7" s="29" t="s">
        <v>98</v>
      </c>
      <c r="AZ7" s="2"/>
      <c r="BA7" s="27" t="n">
        <v>6</v>
      </c>
      <c r="BB7" s="30" t="s">
        <v>236</v>
      </c>
      <c r="BC7" s="29" t="s">
        <v>98</v>
      </c>
    </row>
    <row r="8" customFormat="false" ht="13.8" hidden="false" customHeight="false" outlineLevel="0" collapsed="false">
      <c r="A8" s="27" t="n">
        <v>7</v>
      </c>
      <c r="B8" s="28" t="s">
        <v>237</v>
      </c>
      <c r="C8" s="29" t="s">
        <v>98</v>
      </c>
      <c r="E8" s="27" t="n">
        <v>7</v>
      </c>
      <c r="F8" s="30" t="s">
        <v>238</v>
      </c>
      <c r="G8" s="29" t="s">
        <v>85</v>
      </c>
      <c r="H8" s="2" t="n">
        <f aca="false">IF(F8&lt;&gt;CONCATENATE("Aux",E8),1,0)</f>
        <v>0</v>
      </c>
      <c r="J8" s="27" t="n">
        <v>7</v>
      </c>
      <c r="K8" s="30" t="s">
        <v>239</v>
      </c>
      <c r="L8" s="29" t="s">
        <v>85</v>
      </c>
      <c r="M8" s="2" t="n">
        <f aca="false">IF(K8&lt;&gt;CONCATENATE("STAux",J8),1,0)</f>
        <v>0</v>
      </c>
      <c r="N8" s="2"/>
      <c r="O8" s="27" t="n">
        <v>7</v>
      </c>
      <c r="P8" s="30" t="s">
        <v>240</v>
      </c>
      <c r="Q8" s="29" t="s">
        <v>51</v>
      </c>
      <c r="R8" s="31" t="n">
        <f aca="false">IF(P8&lt;&gt;CONCATENATE("Grp",O8),1,0)</f>
        <v>0</v>
      </c>
      <c r="S8" s="31"/>
      <c r="T8" s="27" t="n">
        <v>7</v>
      </c>
      <c r="U8" s="30" t="s">
        <v>241</v>
      </c>
      <c r="V8" s="29" t="s">
        <v>51</v>
      </c>
      <c r="W8" s="2" t="n">
        <f aca="false">IF(U8&lt;&gt;CONCATENATE("StGrp",T8),1,0)</f>
        <v>0</v>
      </c>
      <c r="Y8" s="27" t="n">
        <v>7</v>
      </c>
      <c r="Z8" s="30" t="s">
        <v>242</v>
      </c>
      <c r="AA8" s="29" t="s">
        <v>103</v>
      </c>
      <c r="AB8" s="2" t="n">
        <f aca="false">IF(Z8&lt;&gt;CONCATENATE("Mtx",Y8),1,0)</f>
        <v>0</v>
      </c>
      <c r="AC8" s="2"/>
      <c r="AD8" s="27" t="n">
        <v>7</v>
      </c>
      <c r="AE8" s="30" t="s">
        <v>243</v>
      </c>
      <c r="AF8" s="29" t="s">
        <v>103</v>
      </c>
      <c r="AG8" s="2" t="n">
        <f aca="false">IF(AE8&lt;&gt;CONCATENATE("StMtx",AD8),1,0)</f>
        <v>0</v>
      </c>
      <c r="AI8" s="27" t="n">
        <v>7</v>
      </c>
      <c r="AJ8" s="30" t="s">
        <v>244</v>
      </c>
      <c r="AK8" s="29" t="s">
        <v>85</v>
      </c>
      <c r="AL8" s="2" t="n">
        <f aca="false">IF(AJ8&lt;&gt;CONCATENATE("Fx",AI8),1,0)</f>
        <v>0</v>
      </c>
      <c r="AM8" s="2"/>
      <c r="AN8" s="27" t="n">
        <v>7</v>
      </c>
      <c r="AO8" s="30" t="s">
        <v>245</v>
      </c>
      <c r="AP8" s="29" t="s">
        <v>85</v>
      </c>
      <c r="AQ8" s="2" t="n">
        <f aca="false">IF(AO8&lt;&gt;CONCATENATE("StFx",AN8),1,0)</f>
        <v>0</v>
      </c>
      <c r="AR8" s="2"/>
      <c r="AS8" s="27" t="n">
        <v>7</v>
      </c>
      <c r="AT8" s="30" t="s">
        <v>246</v>
      </c>
      <c r="AU8" s="29" t="s">
        <v>80</v>
      </c>
      <c r="AW8" s="27" t="n">
        <v>7</v>
      </c>
      <c r="AX8" s="30" t="s">
        <v>247</v>
      </c>
      <c r="AY8" s="29" t="s">
        <v>103</v>
      </c>
      <c r="AZ8" s="2"/>
      <c r="BA8" s="27" t="n">
        <v>7</v>
      </c>
      <c r="BB8" s="30" t="s">
        <v>248</v>
      </c>
      <c r="BC8" s="29" t="s">
        <v>103</v>
      </c>
    </row>
    <row r="9" customFormat="false" ht="13.8" hidden="false" customHeight="false" outlineLevel="0" collapsed="false">
      <c r="A9" s="27" t="n">
        <v>8</v>
      </c>
      <c r="B9" s="28" t="s">
        <v>249</v>
      </c>
      <c r="C9" s="29" t="s">
        <v>103</v>
      </c>
      <c r="E9" s="27" t="n">
        <v>8</v>
      </c>
      <c r="F9" s="30" t="s">
        <v>250</v>
      </c>
      <c r="G9" s="29" t="s">
        <v>85</v>
      </c>
      <c r="H9" s="2" t="n">
        <f aca="false">IF(F9&lt;&gt;CONCATENATE("Aux",E9),1,0)</f>
        <v>0</v>
      </c>
      <c r="J9" s="27" t="n">
        <v>8</v>
      </c>
      <c r="K9" s="30" t="s">
        <v>251</v>
      </c>
      <c r="L9" s="29" t="s">
        <v>85</v>
      </c>
      <c r="M9" s="2" t="n">
        <f aca="false">IF(K9&lt;&gt;CONCATENATE("STAux",J9),1,0)</f>
        <v>0</v>
      </c>
      <c r="N9" s="2"/>
      <c r="O9" s="27" t="n">
        <v>8</v>
      </c>
      <c r="P9" s="30" t="s">
        <v>252</v>
      </c>
      <c r="Q9" s="29" t="s">
        <v>51</v>
      </c>
      <c r="R9" s="31" t="n">
        <f aca="false">IF(P9&lt;&gt;CONCATENATE("Grp",O9),1,0)</f>
        <v>0</v>
      </c>
      <c r="S9" s="31"/>
      <c r="T9" s="27" t="n">
        <v>8</v>
      </c>
      <c r="U9" s="30" t="s">
        <v>253</v>
      </c>
      <c r="V9" s="29" t="s">
        <v>51</v>
      </c>
      <c r="W9" s="2" t="n">
        <f aca="false">IF(U9&lt;&gt;CONCATENATE("StGrp",T9),1,0)</f>
        <v>0</v>
      </c>
      <c r="Y9" s="27" t="n">
        <v>8</v>
      </c>
      <c r="Z9" s="30" t="s">
        <v>254</v>
      </c>
      <c r="AA9" s="29" t="s">
        <v>103</v>
      </c>
      <c r="AB9" s="2" t="n">
        <f aca="false">IF(Z9&lt;&gt;CONCATENATE("Mtx",Y9),1,0)</f>
        <v>0</v>
      </c>
      <c r="AC9" s="2"/>
      <c r="AD9" s="27" t="n">
        <v>8</v>
      </c>
      <c r="AE9" s="30" t="s">
        <v>255</v>
      </c>
      <c r="AF9" s="29" t="s">
        <v>103</v>
      </c>
      <c r="AG9" s="2" t="n">
        <f aca="false">IF(AE9&lt;&gt;CONCATENATE("StMtx",AD9),1,0)</f>
        <v>0</v>
      </c>
      <c r="AI9" s="27" t="n">
        <v>8</v>
      </c>
      <c r="AJ9" s="30" t="s">
        <v>256</v>
      </c>
      <c r="AK9" s="29" t="s">
        <v>85</v>
      </c>
      <c r="AL9" s="2" t="n">
        <f aca="false">IF(AJ9&lt;&gt;CONCATENATE("Fx",AI9),1,0)</f>
        <v>0</v>
      </c>
      <c r="AM9" s="2"/>
      <c r="AN9" s="27" t="n">
        <v>8</v>
      </c>
      <c r="AO9" s="30" t="s">
        <v>257</v>
      </c>
      <c r="AP9" s="29" t="s">
        <v>85</v>
      </c>
      <c r="AQ9" s="2" t="n">
        <f aca="false">IF(AO9&lt;&gt;CONCATENATE("StFx",AN9),1,0)</f>
        <v>0</v>
      </c>
      <c r="AR9" s="2"/>
      <c r="AS9" s="27" t="n">
        <v>8</v>
      </c>
      <c r="AT9" s="30" t="s">
        <v>258</v>
      </c>
      <c r="AU9" s="29" t="s">
        <v>80</v>
      </c>
      <c r="AW9" s="27" t="n">
        <v>8</v>
      </c>
      <c r="AX9" s="30" t="s">
        <v>259</v>
      </c>
      <c r="AY9" s="29" t="s">
        <v>68</v>
      </c>
      <c r="AZ9" s="2"/>
      <c r="BA9" s="27" t="n">
        <v>8</v>
      </c>
      <c r="BB9" s="30" t="s">
        <v>260</v>
      </c>
      <c r="BC9" s="29" t="s">
        <v>68</v>
      </c>
    </row>
    <row r="10" customFormat="false" ht="13.8" hidden="false" customHeight="false" outlineLevel="0" collapsed="false">
      <c r="A10" s="27" t="n">
        <v>9</v>
      </c>
      <c r="B10" s="28" t="s">
        <v>261</v>
      </c>
      <c r="C10" s="29" t="s">
        <v>70</v>
      </c>
      <c r="E10" s="27" t="n">
        <v>9</v>
      </c>
      <c r="F10" s="30" t="s">
        <v>262</v>
      </c>
      <c r="G10" s="29" t="s">
        <v>85</v>
      </c>
      <c r="H10" s="2" t="n">
        <f aca="false">IF(F10&lt;&gt;CONCATENATE("Aux",E10),1,0)</f>
        <v>0</v>
      </c>
      <c r="J10" s="27" t="n">
        <v>9</v>
      </c>
      <c r="K10" s="30" t="s">
        <v>263</v>
      </c>
      <c r="L10" s="29" t="s">
        <v>85</v>
      </c>
      <c r="M10" s="2" t="n">
        <f aca="false">IF(K10&lt;&gt;CONCATENATE("STAux",J10),1,0)</f>
        <v>0</v>
      </c>
      <c r="N10" s="2"/>
      <c r="O10" s="27" t="n">
        <v>9</v>
      </c>
      <c r="P10" s="30" t="s">
        <v>264</v>
      </c>
      <c r="Q10" s="29" t="s">
        <v>51</v>
      </c>
      <c r="R10" s="31" t="n">
        <f aca="false">IF(P10&lt;&gt;CONCATENATE("Grp",O10),1,0)</f>
        <v>0</v>
      </c>
      <c r="S10" s="31"/>
      <c r="T10" s="27" t="n">
        <v>9</v>
      </c>
      <c r="U10" s="30" t="s">
        <v>265</v>
      </c>
      <c r="V10" s="29" t="s">
        <v>51</v>
      </c>
      <c r="W10" s="2" t="n">
        <f aca="false">IF(U10&lt;&gt;CONCATENATE("StGrp",T10),1,0)</f>
        <v>0</v>
      </c>
      <c r="Y10" s="27" t="n">
        <v>9</v>
      </c>
      <c r="Z10" s="30" t="s">
        <v>266</v>
      </c>
      <c r="AA10" s="29" t="s">
        <v>103</v>
      </c>
      <c r="AB10" s="2" t="n">
        <f aca="false">IF(Z10&lt;&gt;CONCATENATE("Mtx",Y10),1,0)</f>
        <v>0</v>
      </c>
      <c r="AC10" s="2"/>
      <c r="AD10" s="27" t="n">
        <v>9</v>
      </c>
      <c r="AE10" s="30" t="s">
        <v>267</v>
      </c>
      <c r="AF10" s="29" t="s">
        <v>103</v>
      </c>
      <c r="AG10" s="2" t="n">
        <f aca="false">IF(AE10&lt;&gt;CONCATENATE("StMtx",AD10),1,0)</f>
        <v>0</v>
      </c>
      <c r="AI10" s="27" t="n">
        <v>9</v>
      </c>
      <c r="AJ10" s="30" t="s">
        <v>268</v>
      </c>
      <c r="AK10" s="29" t="s">
        <v>85</v>
      </c>
      <c r="AL10" s="2" t="n">
        <f aca="false">IF(AJ10&lt;&gt;CONCATENATE("Fx",AI10),1,0)</f>
        <v>0</v>
      </c>
      <c r="AM10" s="2"/>
      <c r="AN10" s="27" t="n">
        <v>9</v>
      </c>
      <c r="AO10" s="30" t="s">
        <v>269</v>
      </c>
      <c r="AP10" s="29" t="s">
        <v>85</v>
      </c>
      <c r="AQ10" s="2" t="n">
        <f aca="false">IF(AO10&lt;&gt;CONCATENATE("StFx",AN10),1,0)</f>
        <v>0</v>
      </c>
      <c r="AR10" s="2"/>
      <c r="AS10" s="27" t="n">
        <v>9</v>
      </c>
      <c r="AT10" s="30" t="s">
        <v>270</v>
      </c>
      <c r="AU10" s="29" t="s">
        <v>80</v>
      </c>
    </row>
    <row r="11" customFormat="false" ht="13.8" hidden="false" customHeight="false" outlineLevel="0" collapsed="false">
      <c r="A11" s="27" t="n">
        <v>10</v>
      </c>
      <c r="B11" s="28" t="s">
        <v>271</v>
      </c>
      <c r="C11" s="29" t="s">
        <v>70</v>
      </c>
      <c r="E11" s="27" t="n">
        <v>10</v>
      </c>
      <c r="F11" s="30" t="s">
        <v>272</v>
      </c>
      <c r="G11" s="29" t="s">
        <v>85</v>
      </c>
      <c r="H11" s="2" t="n">
        <f aca="false">IF(F11&lt;&gt;CONCATENATE("Aux",E11),1,0)</f>
        <v>0</v>
      </c>
      <c r="J11" s="27" t="n">
        <v>10</v>
      </c>
      <c r="K11" s="30" t="s">
        <v>273</v>
      </c>
      <c r="L11" s="29" t="s">
        <v>85</v>
      </c>
      <c r="M11" s="2" t="n">
        <f aca="false">IF(K11&lt;&gt;CONCATENATE("STAux",J11),1,0)</f>
        <v>0</v>
      </c>
      <c r="N11" s="2"/>
      <c r="O11" s="27" t="n">
        <v>10</v>
      </c>
      <c r="P11" s="30" t="s">
        <v>274</v>
      </c>
      <c r="Q11" s="29" t="s">
        <v>51</v>
      </c>
      <c r="R11" s="31" t="n">
        <f aca="false">IF(P11&lt;&gt;CONCATENATE("Grp",O11),1,0)</f>
        <v>0</v>
      </c>
      <c r="S11" s="31"/>
      <c r="T11" s="27" t="n">
        <v>10</v>
      </c>
      <c r="U11" s="30" t="s">
        <v>275</v>
      </c>
      <c r="V11" s="29" t="s">
        <v>51</v>
      </c>
      <c r="W11" s="2" t="n">
        <f aca="false">IF(U11&lt;&gt;CONCATENATE("StGrp",T11),1,0)</f>
        <v>0</v>
      </c>
      <c r="Y11" s="27" t="n">
        <v>10</v>
      </c>
      <c r="Z11" s="30" t="s">
        <v>276</v>
      </c>
      <c r="AA11" s="29" t="s">
        <v>103</v>
      </c>
      <c r="AB11" s="2" t="n">
        <f aca="false">IF(Z11&lt;&gt;CONCATENATE("Mtx",Y11),1,0)</f>
        <v>0</v>
      </c>
      <c r="AC11" s="2"/>
      <c r="AD11" s="27" t="n">
        <v>10</v>
      </c>
      <c r="AE11" s="30" t="s">
        <v>277</v>
      </c>
      <c r="AF11" s="29" t="s">
        <v>103</v>
      </c>
      <c r="AG11" s="2" t="n">
        <f aca="false">IF(AE11&lt;&gt;CONCATENATE("StMtx",AD11),1,0)</f>
        <v>0</v>
      </c>
      <c r="AI11" s="27" t="n">
        <v>10</v>
      </c>
      <c r="AJ11" s="30" t="s">
        <v>278</v>
      </c>
      <c r="AK11" s="29" t="s">
        <v>85</v>
      </c>
      <c r="AL11" s="2" t="n">
        <f aca="false">IF(AJ11&lt;&gt;CONCATENATE("Fx",AI11),1,0)</f>
        <v>0</v>
      </c>
      <c r="AM11" s="2"/>
      <c r="AN11" s="27" t="n">
        <v>10</v>
      </c>
      <c r="AO11" s="30" t="s">
        <v>279</v>
      </c>
      <c r="AP11" s="29" t="s">
        <v>85</v>
      </c>
      <c r="AQ11" s="2" t="n">
        <f aca="false">IF(AO11&lt;&gt;CONCATENATE("StFx",AN11),1,0)</f>
        <v>0</v>
      </c>
      <c r="AR11" s="2"/>
      <c r="AS11" s="27" t="n">
        <v>10</v>
      </c>
      <c r="AT11" s="30" t="s">
        <v>280</v>
      </c>
      <c r="AU11" s="29" t="s">
        <v>80</v>
      </c>
    </row>
    <row r="12" customFormat="false" ht="13.8" hidden="false" customHeight="false" outlineLevel="0" collapsed="false">
      <c r="A12" s="27" t="n">
        <v>11</v>
      </c>
      <c r="B12" s="28" t="s">
        <v>281</v>
      </c>
      <c r="C12" s="29" t="s">
        <v>70</v>
      </c>
      <c r="E12" s="27" t="n">
        <v>11</v>
      </c>
      <c r="F12" s="30" t="s">
        <v>282</v>
      </c>
      <c r="G12" s="29" t="s">
        <v>85</v>
      </c>
      <c r="H12" s="2" t="n">
        <f aca="false">IF(F12&lt;&gt;CONCATENATE("Aux",E12),1,0)</f>
        <v>0</v>
      </c>
      <c r="J12" s="27" t="n">
        <v>11</v>
      </c>
      <c r="K12" s="30" t="s">
        <v>283</v>
      </c>
      <c r="L12" s="29" t="s">
        <v>85</v>
      </c>
      <c r="M12" s="2" t="n">
        <f aca="false">IF(K12&lt;&gt;CONCATENATE("STAux",J12),1,0)</f>
        <v>0</v>
      </c>
      <c r="N12" s="2"/>
      <c r="O12" s="27" t="n">
        <v>11</v>
      </c>
      <c r="P12" s="30" t="s">
        <v>284</v>
      </c>
      <c r="Q12" s="29" t="s">
        <v>51</v>
      </c>
      <c r="R12" s="31" t="n">
        <f aca="false">IF(P12&lt;&gt;CONCATENATE("Grp",O12),1,0)</f>
        <v>0</v>
      </c>
      <c r="S12" s="31"/>
      <c r="T12" s="27" t="n">
        <v>11</v>
      </c>
      <c r="U12" s="30" t="s">
        <v>285</v>
      </c>
      <c r="V12" s="29" t="s">
        <v>51</v>
      </c>
      <c r="W12" s="2" t="n">
        <f aca="false">IF(U12&lt;&gt;CONCATENATE("StGrp",T12),1,0)</f>
        <v>0</v>
      </c>
      <c r="Y12" s="27" t="n">
        <v>11</v>
      </c>
      <c r="Z12" s="30" t="s">
        <v>286</v>
      </c>
      <c r="AA12" s="29" t="s">
        <v>103</v>
      </c>
      <c r="AB12" s="2" t="n">
        <f aca="false">IF(Z12&lt;&gt;CONCATENATE("Mtx",Y12),1,0)</f>
        <v>0</v>
      </c>
      <c r="AC12" s="2"/>
      <c r="AD12" s="27" t="n">
        <v>11</v>
      </c>
      <c r="AE12" s="30" t="s">
        <v>287</v>
      </c>
      <c r="AF12" s="29" t="s">
        <v>103</v>
      </c>
      <c r="AG12" s="2" t="n">
        <f aca="false">IF(AE12&lt;&gt;CONCATENATE("StMtx",AD12),1,0)</f>
        <v>0</v>
      </c>
      <c r="AI12" s="27" t="n">
        <v>11</v>
      </c>
      <c r="AJ12" s="30" t="s">
        <v>288</v>
      </c>
      <c r="AK12" s="29" t="s">
        <v>85</v>
      </c>
      <c r="AL12" s="2" t="n">
        <f aca="false">IF(AJ12&lt;&gt;CONCATENATE("Fx",AI12),1,0)</f>
        <v>0</v>
      </c>
      <c r="AM12" s="2"/>
      <c r="AN12" s="27" t="n">
        <v>11</v>
      </c>
      <c r="AO12" s="30" t="s">
        <v>289</v>
      </c>
      <c r="AP12" s="29" t="s">
        <v>85</v>
      </c>
      <c r="AQ12" s="2" t="n">
        <f aca="false">IF(AO12&lt;&gt;CONCATENATE("StFx",AN12),1,0)</f>
        <v>0</v>
      </c>
      <c r="AR12" s="2"/>
      <c r="AS12" s="27" t="n">
        <v>11</v>
      </c>
      <c r="AT12" s="30" t="s">
        <v>290</v>
      </c>
      <c r="AU12" s="29" t="s">
        <v>80</v>
      </c>
    </row>
    <row r="13" customFormat="false" ht="13.8" hidden="false" customHeight="false" outlineLevel="0" collapsed="false">
      <c r="A13" s="27" t="n">
        <v>12</v>
      </c>
      <c r="B13" s="28" t="s">
        <v>291</v>
      </c>
      <c r="C13" s="29" t="s">
        <v>70</v>
      </c>
      <c r="E13" s="27" t="n">
        <v>12</v>
      </c>
      <c r="F13" s="30" t="s">
        <v>292</v>
      </c>
      <c r="G13" s="29" t="s">
        <v>85</v>
      </c>
      <c r="H13" s="2" t="n">
        <f aca="false">IF(F13&lt;&gt;CONCATENATE("Aux",E13),1,0)</f>
        <v>0</v>
      </c>
      <c r="J13" s="27" t="n">
        <v>12</v>
      </c>
      <c r="K13" s="30" t="s">
        <v>293</v>
      </c>
      <c r="L13" s="29" t="s">
        <v>85</v>
      </c>
      <c r="M13" s="2" t="n">
        <f aca="false">IF(K13&lt;&gt;CONCATENATE("STAux",J13),1,0)</f>
        <v>0</v>
      </c>
      <c r="N13" s="2"/>
      <c r="O13" s="27" t="n">
        <v>12</v>
      </c>
      <c r="P13" s="30" t="s">
        <v>294</v>
      </c>
      <c r="Q13" s="29" t="s">
        <v>51</v>
      </c>
      <c r="R13" s="31" t="n">
        <f aca="false">IF(P13&lt;&gt;CONCATENATE("Grp",O13),1,0)</f>
        <v>0</v>
      </c>
      <c r="S13" s="31"/>
      <c r="T13" s="27" t="n">
        <v>12</v>
      </c>
      <c r="U13" s="30" t="s">
        <v>295</v>
      </c>
      <c r="V13" s="29" t="s">
        <v>51</v>
      </c>
      <c r="W13" s="2" t="n">
        <f aca="false">IF(U13&lt;&gt;CONCATENATE("StGrp",T13),1,0)</f>
        <v>0</v>
      </c>
      <c r="Y13" s="27" t="n">
        <v>12</v>
      </c>
      <c r="Z13" s="30" t="s">
        <v>296</v>
      </c>
      <c r="AA13" s="29" t="s">
        <v>103</v>
      </c>
      <c r="AB13" s="2" t="n">
        <f aca="false">IF(Z13&lt;&gt;CONCATENATE("Mtx",Y13),1,0)</f>
        <v>0</v>
      </c>
      <c r="AC13" s="2"/>
      <c r="AD13" s="27" t="n">
        <v>12</v>
      </c>
      <c r="AE13" s="30" t="s">
        <v>297</v>
      </c>
      <c r="AF13" s="29" t="s">
        <v>103</v>
      </c>
      <c r="AG13" s="2" t="n">
        <f aca="false">IF(AE13&lt;&gt;CONCATENATE("StMtx",AD13),1,0)</f>
        <v>0</v>
      </c>
      <c r="AI13" s="27" t="n">
        <v>12</v>
      </c>
      <c r="AJ13" s="30" t="s">
        <v>298</v>
      </c>
      <c r="AK13" s="29" t="s">
        <v>85</v>
      </c>
      <c r="AL13" s="2" t="n">
        <f aca="false">IF(AJ13&lt;&gt;CONCATENATE("Fx",AI13),1,0)</f>
        <v>0</v>
      </c>
      <c r="AM13" s="2"/>
      <c r="AN13" s="27" t="n">
        <v>12</v>
      </c>
      <c r="AO13" s="30" t="s">
        <v>299</v>
      </c>
      <c r="AP13" s="29" t="s">
        <v>85</v>
      </c>
      <c r="AQ13" s="2" t="n">
        <f aca="false">IF(AO13&lt;&gt;CONCATENATE("StFx",AN13),1,0)</f>
        <v>0</v>
      </c>
      <c r="AR13" s="2"/>
      <c r="AS13" s="27" t="n">
        <v>12</v>
      </c>
      <c r="AT13" s="30" t="s">
        <v>300</v>
      </c>
      <c r="AU13" s="29" t="s">
        <v>80</v>
      </c>
    </row>
    <row r="14" customFormat="false" ht="13.8" hidden="false" customHeight="false" outlineLevel="0" collapsed="false">
      <c r="A14" s="27" t="n">
        <v>13</v>
      </c>
      <c r="B14" s="28" t="s">
        <v>301</v>
      </c>
      <c r="C14" s="29" t="s">
        <v>70</v>
      </c>
      <c r="E14" s="27" t="n">
        <v>13</v>
      </c>
      <c r="F14" s="30" t="s">
        <v>302</v>
      </c>
      <c r="G14" s="29" t="s">
        <v>85</v>
      </c>
      <c r="H14" s="2" t="n">
        <f aca="false">IF(F14&lt;&gt;CONCATENATE("Aux",E14),1,0)</f>
        <v>0</v>
      </c>
      <c r="J14" s="27" t="n">
        <v>13</v>
      </c>
      <c r="K14" s="30" t="s">
        <v>303</v>
      </c>
      <c r="L14" s="29" t="s">
        <v>85</v>
      </c>
      <c r="M14" s="2" t="n">
        <f aca="false">IF(K14&lt;&gt;CONCATENATE("STAux",J14),1,0)</f>
        <v>0</v>
      </c>
      <c r="N14" s="2"/>
      <c r="O14" s="27" t="n">
        <v>13</v>
      </c>
      <c r="P14" s="30" t="s">
        <v>304</v>
      </c>
      <c r="Q14" s="29" t="s">
        <v>51</v>
      </c>
      <c r="R14" s="31" t="n">
        <f aca="false">IF(P14&lt;&gt;CONCATENATE("Grp",O14),1,0)</f>
        <v>0</v>
      </c>
      <c r="S14" s="31"/>
      <c r="T14" s="27" t="n">
        <v>13</v>
      </c>
      <c r="U14" s="30" t="s">
        <v>305</v>
      </c>
      <c r="V14" s="29" t="s">
        <v>51</v>
      </c>
      <c r="W14" s="2" t="n">
        <f aca="false">IF(U14&lt;&gt;CONCATENATE("StGrp",T14),1,0)</f>
        <v>0</v>
      </c>
      <c r="Y14" s="27" t="n">
        <v>13</v>
      </c>
      <c r="Z14" s="30" t="s">
        <v>306</v>
      </c>
      <c r="AA14" s="29" t="s">
        <v>103</v>
      </c>
      <c r="AB14" s="2" t="n">
        <f aca="false">IF(Z14&lt;&gt;CONCATENATE("Mtx",Y14),1,0)</f>
        <v>0</v>
      </c>
      <c r="AC14" s="2"/>
      <c r="AD14" s="27" t="n">
        <v>13</v>
      </c>
      <c r="AE14" s="30" t="s">
        <v>307</v>
      </c>
      <c r="AF14" s="29" t="s">
        <v>103</v>
      </c>
      <c r="AG14" s="2" t="n">
        <f aca="false">IF(AE14&lt;&gt;CONCATENATE("StMtx",AD14),1,0)</f>
        <v>0</v>
      </c>
      <c r="AL14" s="2" t="n">
        <f aca="false">IF(AJ14&lt;&gt;CONCATENATE("Fx",AI14),1,0)</f>
        <v>1</v>
      </c>
      <c r="AM14" s="2"/>
      <c r="AQ14" s="2" t="n">
        <f aca="false">IF(AO14&lt;&gt;CONCATENATE("StFx",AN14),1,0)</f>
        <v>1</v>
      </c>
      <c r="AR14" s="2"/>
      <c r="AS14" s="3"/>
    </row>
    <row r="15" customFormat="false" ht="13.8" hidden="false" customHeight="false" outlineLevel="0" collapsed="false">
      <c r="A15" s="27" t="n">
        <v>14</v>
      </c>
      <c r="B15" s="28" t="s">
        <v>308</v>
      </c>
      <c r="C15" s="29" t="s">
        <v>70</v>
      </c>
      <c r="E15" s="27" t="n">
        <v>14</v>
      </c>
      <c r="F15" s="30" t="s">
        <v>309</v>
      </c>
      <c r="G15" s="29" t="s">
        <v>85</v>
      </c>
      <c r="H15" s="2" t="n">
        <f aca="false">IF(F15&lt;&gt;CONCATENATE("Aux",E15),1,0)</f>
        <v>0</v>
      </c>
      <c r="J15" s="27" t="n">
        <v>14</v>
      </c>
      <c r="K15" s="30" t="s">
        <v>310</v>
      </c>
      <c r="L15" s="29" t="s">
        <v>85</v>
      </c>
      <c r="M15" s="2" t="n">
        <f aca="false">IF(K15&lt;&gt;CONCATENATE("STAux",J15),1,0)</f>
        <v>0</v>
      </c>
      <c r="N15" s="2"/>
      <c r="O15" s="27" t="n">
        <v>14</v>
      </c>
      <c r="P15" s="30" t="s">
        <v>311</v>
      </c>
      <c r="Q15" s="29" t="s">
        <v>51</v>
      </c>
      <c r="R15" s="31" t="n">
        <f aca="false">IF(P15&lt;&gt;CONCATENATE("Grp",O15),1,0)</f>
        <v>0</v>
      </c>
      <c r="S15" s="31"/>
      <c r="T15" s="27" t="n">
        <v>14</v>
      </c>
      <c r="U15" s="30" t="s">
        <v>312</v>
      </c>
      <c r="V15" s="29" t="s">
        <v>51</v>
      </c>
      <c r="W15" s="2" t="n">
        <f aca="false">IF(U15&lt;&gt;CONCATENATE("StGrp",T15),1,0)</f>
        <v>0</v>
      </c>
      <c r="Y15" s="27" t="n">
        <v>14</v>
      </c>
      <c r="Z15" s="30" t="s">
        <v>313</v>
      </c>
      <c r="AA15" s="29" t="s">
        <v>103</v>
      </c>
      <c r="AB15" s="2" t="n">
        <f aca="false">IF(Z15&lt;&gt;CONCATENATE("Mtx",Y15),1,0)</f>
        <v>0</v>
      </c>
      <c r="AC15" s="2"/>
      <c r="AD15" s="27" t="n">
        <v>14</v>
      </c>
      <c r="AE15" s="30" t="s">
        <v>314</v>
      </c>
      <c r="AF15" s="29" t="s">
        <v>103</v>
      </c>
      <c r="AG15" s="2" t="n">
        <f aca="false">IF(AE15&lt;&gt;CONCATENATE("StMtx",AD15),1,0)</f>
        <v>0</v>
      </c>
      <c r="AL15" s="2" t="n">
        <f aca="false">IF(AJ15&lt;&gt;CONCATENATE("Fx",AI15),1,0)</f>
        <v>1</v>
      </c>
      <c r="AM15" s="2"/>
      <c r="AQ15" s="2" t="n">
        <f aca="false">IF(AO15&lt;&gt;CONCATENATE("StFx",AN15),1,0)</f>
        <v>1</v>
      </c>
      <c r="AR15" s="2"/>
      <c r="AS15" s="3"/>
    </row>
    <row r="16" customFormat="false" ht="13.8" hidden="false" customHeight="false" outlineLevel="0" collapsed="false">
      <c r="A16" s="27" t="n">
        <v>15</v>
      </c>
      <c r="B16" s="28" t="s">
        <v>315</v>
      </c>
      <c r="C16" s="29" t="s">
        <v>70</v>
      </c>
      <c r="E16" s="27" t="n">
        <v>15</v>
      </c>
      <c r="F16" s="30" t="s">
        <v>316</v>
      </c>
      <c r="G16" s="29" t="s">
        <v>85</v>
      </c>
      <c r="H16" s="2" t="n">
        <f aca="false">IF(F16&lt;&gt;CONCATENATE("Aux",E16),1,0)</f>
        <v>0</v>
      </c>
      <c r="J16" s="27" t="n">
        <v>15</v>
      </c>
      <c r="K16" s="30" t="s">
        <v>317</v>
      </c>
      <c r="L16" s="29" t="s">
        <v>85</v>
      </c>
      <c r="M16" s="2" t="n">
        <f aca="false">IF(K16&lt;&gt;CONCATENATE("STAux",J16),1,0)</f>
        <v>0</v>
      </c>
      <c r="N16" s="2"/>
      <c r="O16" s="27" t="n">
        <v>15</v>
      </c>
      <c r="P16" s="30" t="s">
        <v>318</v>
      </c>
      <c r="Q16" s="29" t="s">
        <v>51</v>
      </c>
      <c r="R16" s="31" t="n">
        <f aca="false">IF(P16&lt;&gt;CONCATENATE("Grp",O16),1,0)</f>
        <v>0</v>
      </c>
      <c r="S16" s="31"/>
      <c r="T16" s="27" t="n">
        <v>15</v>
      </c>
      <c r="U16" s="30" t="s">
        <v>319</v>
      </c>
      <c r="V16" s="29" t="s">
        <v>51</v>
      </c>
      <c r="W16" s="2" t="n">
        <f aca="false">IF(U16&lt;&gt;CONCATENATE("StGrp",T16),1,0)</f>
        <v>0</v>
      </c>
      <c r="Y16" s="27" t="n">
        <v>15</v>
      </c>
      <c r="Z16" s="30" t="s">
        <v>320</v>
      </c>
      <c r="AA16" s="29" t="s">
        <v>103</v>
      </c>
      <c r="AB16" s="2" t="n">
        <f aca="false">IF(Z16&lt;&gt;CONCATENATE("Mtx",Y16),1,0)</f>
        <v>0</v>
      </c>
      <c r="AC16" s="2"/>
      <c r="AD16" s="27" t="n">
        <v>15</v>
      </c>
      <c r="AE16" s="30" t="s">
        <v>321</v>
      </c>
      <c r="AF16" s="29" t="s">
        <v>103</v>
      </c>
      <c r="AG16" s="2" t="n">
        <f aca="false">IF(AE16&lt;&gt;CONCATENATE("StMtx",AD16),1,0)</f>
        <v>0</v>
      </c>
      <c r="AL16" s="2" t="n">
        <f aca="false">IF(AJ16&lt;&gt;CONCATENATE("Fx",AI16),1,0)</f>
        <v>1</v>
      </c>
      <c r="AM16" s="2"/>
      <c r="AQ16" s="2" t="n">
        <f aca="false">IF(AO16&lt;&gt;CONCATENATE("StFx",AN16),1,0)</f>
        <v>1</v>
      </c>
      <c r="AR16" s="2"/>
      <c r="AS16" s="3"/>
    </row>
    <row r="17" customFormat="false" ht="13.8" hidden="false" customHeight="false" outlineLevel="0" collapsed="false">
      <c r="A17" s="27" t="n">
        <v>16</v>
      </c>
      <c r="B17" s="28" t="s">
        <v>322</v>
      </c>
      <c r="C17" s="29" t="s">
        <v>70</v>
      </c>
      <c r="E17" s="27" t="n">
        <v>16</v>
      </c>
      <c r="F17" s="30" t="s">
        <v>323</v>
      </c>
      <c r="G17" s="29" t="s">
        <v>85</v>
      </c>
      <c r="H17" s="2" t="n">
        <f aca="false">IF(F17&lt;&gt;CONCATENATE("Aux",E17),1,0)</f>
        <v>0</v>
      </c>
      <c r="J17" s="27" t="n">
        <v>16</v>
      </c>
      <c r="K17" s="30" t="s">
        <v>324</v>
      </c>
      <c r="L17" s="29" t="s">
        <v>85</v>
      </c>
      <c r="M17" s="2" t="n">
        <f aca="false">IF(K17&lt;&gt;CONCATENATE("STAux",J17),1,0)</f>
        <v>0</v>
      </c>
      <c r="N17" s="2"/>
      <c r="O17" s="27" t="n">
        <v>16</v>
      </c>
      <c r="P17" s="30" t="s">
        <v>325</v>
      </c>
      <c r="Q17" s="29" t="s">
        <v>51</v>
      </c>
      <c r="R17" s="31" t="n">
        <f aca="false">IF(P17&lt;&gt;CONCATENATE("Grp",O17),1,0)</f>
        <v>0</v>
      </c>
      <c r="S17" s="31"/>
      <c r="T17" s="27" t="n">
        <v>16</v>
      </c>
      <c r="U17" s="30" t="s">
        <v>326</v>
      </c>
      <c r="V17" s="29" t="s">
        <v>51</v>
      </c>
      <c r="W17" s="2" t="n">
        <f aca="false">IF(U17&lt;&gt;CONCATENATE("StGrp",T17),1,0)</f>
        <v>0</v>
      </c>
      <c r="Y17" s="27" t="n">
        <v>16</v>
      </c>
      <c r="Z17" s="30" t="s">
        <v>327</v>
      </c>
      <c r="AA17" s="29" t="s">
        <v>103</v>
      </c>
      <c r="AB17" s="2" t="n">
        <f aca="false">IF(Z17&lt;&gt;CONCATENATE("Mtx",Y17),1,0)</f>
        <v>0</v>
      </c>
      <c r="AC17" s="2"/>
      <c r="AD17" s="27" t="n">
        <v>16</v>
      </c>
      <c r="AE17" s="30" t="s">
        <v>328</v>
      </c>
      <c r="AF17" s="29" t="s">
        <v>103</v>
      </c>
      <c r="AG17" s="2" t="n">
        <f aca="false">IF(AE17&lt;&gt;CONCATENATE("StMtx",AD17),1,0)</f>
        <v>0</v>
      </c>
      <c r="AL17" s="2" t="n">
        <f aca="false">IF(AJ17&lt;&gt;CONCATENATE("Fx",AI17),1,0)</f>
        <v>1</v>
      </c>
      <c r="AM17" s="2"/>
      <c r="AQ17" s="2" t="n">
        <f aca="false">IF(AO17&lt;&gt;CONCATENATE("StFx",AN17),1,0)</f>
        <v>1</v>
      </c>
      <c r="AR17" s="2"/>
      <c r="AS17" s="3"/>
    </row>
    <row r="18" customFormat="false" ht="13.8" hidden="false" customHeight="false" outlineLevel="0" collapsed="false">
      <c r="E18" s="27" t="n">
        <v>17</v>
      </c>
      <c r="F18" s="30" t="s">
        <v>329</v>
      </c>
      <c r="G18" s="29" t="s">
        <v>85</v>
      </c>
      <c r="H18" s="2" t="n">
        <f aca="false">IF(F18&lt;&gt;CONCATENATE("Aux",E18),1,0)</f>
        <v>0</v>
      </c>
      <c r="J18" s="27" t="n">
        <v>17</v>
      </c>
      <c r="K18" s="30" t="s">
        <v>330</v>
      </c>
      <c r="L18" s="29" t="s">
        <v>85</v>
      </c>
      <c r="M18" s="2" t="n">
        <f aca="false">IF(K18&lt;&gt;CONCATENATE("STAux",J18),1,0)</f>
        <v>0</v>
      </c>
      <c r="N18" s="2"/>
      <c r="O18" s="27" t="n">
        <v>17</v>
      </c>
      <c r="P18" s="30" t="s">
        <v>331</v>
      </c>
      <c r="Q18" s="29" t="s">
        <v>51</v>
      </c>
      <c r="R18" s="31" t="n">
        <f aca="false">IF(P18&lt;&gt;CONCATENATE("Grp",O18),1,0)</f>
        <v>0</v>
      </c>
      <c r="S18" s="31"/>
      <c r="T18" s="27" t="n">
        <v>17</v>
      </c>
      <c r="U18" s="30" t="s">
        <v>332</v>
      </c>
      <c r="V18" s="29" t="s">
        <v>51</v>
      </c>
      <c r="W18" s="2" t="n">
        <f aca="false">IF(U18&lt;&gt;CONCATENATE("StGrp",T18),1,0)</f>
        <v>0</v>
      </c>
      <c r="Y18" s="27" t="n">
        <v>17</v>
      </c>
      <c r="Z18" s="30" t="s">
        <v>333</v>
      </c>
      <c r="AA18" s="29" t="s">
        <v>103</v>
      </c>
      <c r="AB18" s="2" t="n">
        <f aca="false">IF(Z18&lt;&gt;CONCATENATE("Mtx",Y18),1,0)</f>
        <v>0</v>
      </c>
      <c r="AC18" s="2"/>
      <c r="AD18" s="27" t="n">
        <v>17</v>
      </c>
      <c r="AE18" s="30" t="s">
        <v>334</v>
      </c>
      <c r="AF18" s="29" t="s">
        <v>103</v>
      </c>
      <c r="AG18" s="2" t="n">
        <f aca="false">IF(AE18&lt;&gt;CONCATENATE("StMtx",AD18),1,0)</f>
        <v>0</v>
      </c>
      <c r="AS18" s="3"/>
    </row>
    <row r="19" customFormat="false" ht="13.8" hidden="false" customHeight="false" outlineLevel="0" collapsed="false">
      <c r="E19" s="27" t="n">
        <v>18</v>
      </c>
      <c r="F19" s="30" t="s">
        <v>335</v>
      </c>
      <c r="G19" s="29" t="s">
        <v>85</v>
      </c>
      <c r="H19" s="2" t="n">
        <f aca="false">IF(F19&lt;&gt;CONCATENATE("Aux",E19),1,0)</f>
        <v>0</v>
      </c>
      <c r="J19" s="27" t="n">
        <v>18</v>
      </c>
      <c r="K19" s="30" t="s">
        <v>336</v>
      </c>
      <c r="L19" s="29" t="s">
        <v>85</v>
      </c>
      <c r="M19" s="2" t="n">
        <f aca="false">IF(K19&lt;&gt;CONCATENATE("STAux",J19),1,0)</f>
        <v>0</v>
      </c>
      <c r="N19" s="2"/>
      <c r="O19" s="27" t="n">
        <v>18</v>
      </c>
      <c r="P19" s="30" t="s">
        <v>337</v>
      </c>
      <c r="Q19" s="29" t="s">
        <v>51</v>
      </c>
      <c r="R19" s="31" t="n">
        <f aca="false">IF(P19&lt;&gt;CONCATENATE("Grp",O19),1,0)</f>
        <v>0</v>
      </c>
      <c r="S19" s="31"/>
      <c r="T19" s="27" t="n">
        <v>18</v>
      </c>
      <c r="U19" s="30" t="s">
        <v>338</v>
      </c>
      <c r="V19" s="29" t="s">
        <v>51</v>
      </c>
      <c r="W19" s="2" t="n">
        <f aca="false">IF(U19&lt;&gt;CONCATENATE("StGrp",T19),1,0)</f>
        <v>0</v>
      </c>
      <c r="Y19" s="27" t="n">
        <v>18</v>
      </c>
      <c r="Z19" s="30" t="s">
        <v>339</v>
      </c>
      <c r="AA19" s="29" t="s">
        <v>103</v>
      </c>
      <c r="AB19" s="2" t="n">
        <f aca="false">IF(Z19&lt;&gt;CONCATENATE("Mtx",Y19),1,0)</f>
        <v>0</v>
      </c>
      <c r="AC19" s="2"/>
      <c r="AD19" s="27" t="n">
        <v>18</v>
      </c>
      <c r="AE19" s="30" t="s">
        <v>340</v>
      </c>
      <c r="AF19" s="29" t="s">
        <v>103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E20" s="27" t="n">
        <v>19</v>
      </c>
      <c r="F20" s="30" t="s">
        <v>341</v>
      </c>
      <c r="G20" s="29" t="s">
        <v>85</v>
      </c>
      <c r="H20" s="2" t="n">
        <f aca="false">IF(F20&lt;&gt;CONCATENATE("Aux",E20),1,0)</f>
        <v>0</v>
      </c>
      <c r="J20" s="27" t="n">
        <v>19</v>
      </c>
      <c r="K20" s="30" t="s">
        <v>342</v>
      </c>
      <c r="L20" s="29" t="s">
        <v>85</v>
      </c>
      <c r="M20" s="2" t="n">
        <f aca="false">IF(K20&lt;&gt;CONCATENATE("STAux",J20),1,0)</f>
        <v>0</v>
      </c>
      <c r="N20" s="2"/>
      <c r="O20" s="27" t="n">
        <v>19</v>
      </c>
      <c r="P20" s="30" t="s">
        <v>343</v>
      </c>
      <c r="Q20" s="29" t="s">
        <v>51</v>
      </c>
      <c r="R20" s="31" t="n">
        <f aca="false">IF(P20&lt;&gt;CONCATENATE("Grp",O20),1,0)</f>
        <v>0</v>
      </c>
      <c r="S20" s="31"/>
      <c r="T20" s="27" t="n">
        <v>19</v>
      </c>
      <c r="U20" s="30" t="s">
        <v>344</v>
      </c>
      <c r="V20" s="29" t="s">
        <v>51</v>
      </c>
      <c r="W20" s="2" t="n">
        <f aca="false">IF(U20&lt;&gt;CONCATENATE("StGrp",T20),1,0)</f>
        <v>0</v>
      </c>
      <c r="Y20" s="27" t="n">
        <v>19</v>
      </c>
      <c r="Z20" s="30" t="s">
        <v>345</v>
      </c>
      <c r="AA20" s="29" t="s">
        <v>103</v>
      </c>
      <c r="AB20" s="2" t="n">
        <f aca="false">IF(Z20&lt;&gt;CONCATENATE("Mtx",Y20),1,0)</f>
        <v>0</v>
      </c>
      <c r="AC20" s="2"/>
      <c r="AD20" s="27" t="n">
        <v>19</v>
      </c>
      <c r="AE20" s="30" t="s">
        <v>346</v>
      </c>
      <c r="AF20" s="29" t="s">
        <v>103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E21" s="27" t="n">
        <v>20</v>
      </c>
      <c r="F21" s="30" t="s">
        <v>347</v>
      </c>
      <c r="G21" s="29" t="s">
        <v>85</v>
      </c>
      <c r="H21" s="2" t="n">
        <f aca="false">IF(F21&lt;&gt;CONCATENATE("Aux",E21),1,0)</f>
        <v>0</v>
      </c>
      <c r="J21" s="27" t="n">
        <v>20</v>
      </c>
      <c r="K21" s="30" t="s">
        <v>348</v>
      </c>
      <c r="L21" s="29" t="s">
        <v>85</v>
      </c>
      <c r="M21" s="2" t="n">
        <f aca="false">IF(K21&lt;&gt;CONCATENATE("STAux",J21),1,0)</f>
        <v>0</v>
      </c>
      <c r="N21" s="2"/>
      <c r="O21" s="27" t="n">
        <v>20</v>
      </c>
      <c r="P21" s="30" t="s">
        <v>349</v>
      </c>
      <c r="Q21" s="29" t="s">
        <v>51</v>
      </c>
      <c r="R21" s="31" t="n">
        <f aca="false">IF(P21&lt;&gt;CONCATENATE("Grp",O21),1,0)</f>
        <v>0</v>
      </c>
      <c r="S21" s="31"/>
      <c r="T21" s="27" t="n">
        <v>20</v>
      </c>
      <c r="U21" s="30" t="s">
        <v>350</v>
      </c>
      <c r="V21" s="29" t="s">
        <v>51</v>
      </c>
      <c r="W21" s="2" t="n">
        <f aca="false">IF(U21&lt;&gt;CONCATENATE("StGrp",T21),1,0)</f>
        <v>0</v>
      </c>
      <c r="Y21" s="27" t="n">
        <v>20</v>
      </c>
      <c r="Z21" s="30" t="s">
        <v>351</v>
      </c>
      <c r="AA21" s="29" t="s">
        <v>103</v>
      </c>
      <c r="AB21" s="2" t="n">
        <f aca="false">IF(Z21&lt;&gt;CONCATENATE("Mtx",Y21),1,0)</f>
        <v>0</v>
      </c>
      <c r="AC21" s="2"/>
      <c r="AD21" s="27" t="n">
        <v>20</v>
      </c>
      <c r="AE21" s="30" t="s">
        <v>352</v>
      </c>
      <c r="AF21" s="29" t="s">
        <v>103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E22" s="27" t="n">
        <v>21</v>
      </c>
      <c r="F22" s="30" t="s">
        <v>353</v>
      </c>
      <c r="G22" s="29" t="s">
        <v>85</v>
      </c>
      <c r="H22" s="2" t="n">
        <f aca="false">IF(F22&lt;&gt;CONCATENATE("Aux",E22),1,0)</f>
        <v>0</v>
      </c>
      <c r="L22" s="32"/>
      <c r="M22" s="2" t="n">
        <f aca="false">IF(K22&lt;&gt;CONCATENATE("STAux",J22),1,0)</f>
        <v>1</v>
      </c>
      <c r="N22" s="2"/>
      <c r="O22" s="27" t="n">
        <v>21</v>
      </c>
      <c r="P22" s="30" t="s">
        <v>354</v>
      </c>
      <c r="Q22" s="29" t="s">
        <v>51</v>
      </c>
      <c r="R22" s="31" t="n">
        <f aca="false">IF(P22&lt;&gt;CONCATENATE("Grp",O22),1,0)</f>
        <v>0</v>
      </c>
      <c r="S22" s="31"/>
      <c r="V22" s="32"/>
      <c r="W22" s="2" t="n">
        <f aca="false">IF(U22&lt;&gt;CONCATENATE("StGrp",T22),1,0)</f>
        <v>1</v>
      </c>
      <c r="Y22" s="27" t="n">
        <v>21</v>
      </c>
      <c r="Z22" s="30" t="s">
        <v>355</v>
      </c>
      <c r="AA22" s="29" t="s">
        <v>103</v>
      </c>
      <c r="AB22" s="2" t="n">
        <f aca="false">IF(Z22&lt;&gt;CONCATENATE("Mtx",Y22),1,0)</f>
        <v>0</v>
      </c>
      <c r="AC22" s="2"/>
      <c r="AG22" s="2" t="n">
        <f aca="false">IF(AE22&lt;&gt;CONCATENATE("StMtx",AD22),1,0)</f>
        <v>1</v>
      </c>
    </row>
    <row r="23" customFormat="false" ht="13.8" hidden="false" customHeight="false" outlineLevel="0" collapsed="false">
      <c r="E23" s="27" t="n">
        <v>22</v>
      </c>
      <c r="F23" s="30" t="s">
        <v>356</v>
      </c>
      <c r="G23" s="29" t="s">
        <v>85</v>
      </c>
      <c r="H23" s="2" t="n">
        <f aca="false">IF(F23&lt;&gt;CONCATENATE("Aux",E23),1,0)</f>
        <v>0</v>
      </c>
      <c r="M23" s="2" t="n">
        <f aca="false">IF(K23&lt;&gt;CONCATENATE("STAux",J23),1,0)</f>
        <v>1</v>
      </c>
      <c r="N23" s="2"/>
      <c r="O23" s="27" t="n">
        <v>22</v>
      </c>
      <c r="P23" s="30" t="s">
        <v>357</v>
      </c>
      <c r="Q23" s="29" t="s">
        <v>51</v>
      </c>
      <c r="R23" s="31" t="n">
        <f aca="false">IF(P23&lt;&gt;CONCATENATE("Grp",O23),1,0)</f>
        <v>0</v>
      </c>
      <c r="S23" s="31"/>
      <c r="W23" s="2" t="n">
        <f aca="false">IF(U23&lt;&gt;CONCATENATE("StGrp",T23),1,0)</f>
        <v>1</v>
      </c>
      <c r="Y23" s="27" t="n">
        <v>22</v>
      </c>
      <c r="Z23" s="30" t="s">
        <v>358</v>
      </c>
      <c r="AA23" s="29" t="s">
        <v>103</v>
      </c>
      <c r="AB23" s="2" t="n">
        <f aca="false">IF(Z23&lt;&gt;CONCATENATE("Mtx",Y23),1,0)</f>
        <v>0</v>
      </c>
      <c r="AC23" s="2"/>
      <c r="AG23" s="2" t="n">
        <f aca="false">IF(AE23&lt;&gt;CONCATENATE("StMtx",AD23),1,0)</f>
        <v>1</v>
      </c>
    </row>
    <row r="24" customFormat="false" ht="13.8" hidden="false" customHeight="false" outlineLevel="0" collapsed="false">
      <c r="E24" s="27" t="n">
        <v>23</v>
      </c>
      <c r="F24" s="30" t="s">
        <v>359</v>
      </c>
      <c r="G24" s="29" t="s">
        <v>85</v>
      </c>
      <c r="H24" s="2" t="n">
        <f aca="false">IF(F24&lt;&gt;CONCATENATE("Aux",E24),1,0)</f>
        <v>0</v>
      </c>
      <c r="M24" s="2" t="n">
        <f aca="false">IF(K24&lt;&gt;CONCATENATE("STAux",J24),1,0)</f>
        <v>1</v>
      </c>
      <c r="N24" s="2"/>
      <c r="O24" s="27" t="n">
        <v>23</v>
      </c>
      <c r="P24" s="30" t="s">
        <v>360</v>
      </c>
      <c r="Q24" s="29" t="s">
        <v>51</v>
      </c>
      <c r="R24" s="31" t="n">
        <f aca="false">IF(P24&lt;&gt;CONCATENATE("Grp",O24),1,0)</f>
        <v>0</v>
      </c>
      <c r="S24" s="31"/>
      <c r="W24" s="2" t="n">
        <f aca="false">IF(U24&lt;&gt;CONCATENATE("StGrp",T24),1,0)</f>
        <v>1</v>
      </c>
      <c r="Y24" s="27" t="n">
        <v>23</v>
      </c>
      <c r="Z24" s="30" t="s">
        <v>361</v>
      </c>
      <c r="AA24" s="29" t="s">
        <v>103</v>
      </c>
      <c r="AB24" s="2" t="n">
        <f aca="false">IF(Z24&lt;&gt;CONCATENATE("Mtx",Y24),1,0)</f>
        <v>0</v>
      </c>
      <c r="AC24" s="2"/>
      <c r="AG24" s="2" t="n">
        <f aca="false">IF(AE24&lt;&gt;CONCATENATE("StMtx",AD24),1,0)</f>
        <v>1</v>
      </c>
    </row>
    <row r="25" customFormat="false" ht="13.8" hidden="false" customHeight="false" outlineLevel="0" collapsed="false">
      <c r="E25" s="27" t="n">
        <v>24</v>
      </c>
      <c r="F25" s="30" t="s">
        <v>362</v>
      </c>
      <c r="G25" s="29" t="s">
        <v>85</v>
      </c>
      <c r="H25" s="2" t="n">
        <f aca="false">IF(F25&lt;&gt;CONCATENATE("Aux",E25),1,0)</f>
        <v>0</v>
      </c>
      <c r="M25" s="2" t="n">
        <f aca="false">IF(K25&lt;&gt;CONCATENATE("STAux",J25),1,0)</f>
        <v>1</v>
      </c>
      <c r="N25" s="2"/>
      <c r="O25" s="27" t="n">
        <v>24</v>
      </c>
      <c r="P25" s="30" t="s">
        <v>363</v>
      </c>
      <c r="Q25" s="29" t="s">
        <v>51</v>
      </c>
      <c r="R25" s="31" t="n">
        <f aca="false">IF(P25&lt;&gt;CONCATENATE("Grp",O25),1,0)</f>
        <v>0</v>
      </c>
      <c r="S25" s="31"/>
      <c r="W25" s="2" t="n">
        <f aca="false">IF(U25&lt;&gt;CONCATENATE("StGrp",T25),1,0)</f>
        <v>1</v>
      </c>
      <c r="Y25" s="27" t="n">
        <v>24</v>
      </c>
      <c r="Z25" s="30" t="s">
        <v>364</v>
      </c>
      <c r="AA25" s="29" t="s">
        <v>103</v>
      </c>
      <c r="AB25" s="2" t="n">
        <f aca="false">IF(Z25&lt;&gt;CONCATENATE("Mtx",Y25),1,0)</f>
        <v>0</v>
      </c>
      <c r="AC25" s="2"/>
      <c r="AG25" s="2" t="n">
        <f aca="false">IF(AE25&lt;&gt;CONCATENATE("StMtx",AD25),1,0)</f>
        <v>1</v>
      </c>
    </row>
    <row r="26" customFormat="false" ht="13.8" hidden="false" customHeight="false" outlineLevel="0" collapsed="false">
      <c r="E26" s="27" t="n">
        <v>25</v>
      </c>
      <c r="F26" s="30" t="s">
        <v>365</v>
      </c>
      <c r="G26" s="29" t="s">
        <v>85</v>
      </c>
      <c r="H26" s="2" t="n">
        <f aca="false">IF(F26&lt;&gt;CONCATENATE("Aux",E26),1,0)</f>
        <v>0</v>
      </c>
      <c r="M26" s="2" t="n">
        <f aca="false">IF(K26&lt;&gt;CONCATENATE("STAux",J26),1,0)</f>
        <v>1</v>
      </c>
      <c r="N26" s="2"/>
      <c r="O26" s="27" t="n">
        <v>25</v>
      </c>
      <c r="P26" s="30" t="s">
        <v>366</v>
      </c>
      <c r="Q26" s="29" t="s">
        <v>51</v>
      </c>
      <c r="R26" s="31" t="n">
        <f aca="false">IF(P26&lt;&gt;CONCATENATE("Grp",O26),1,0)</f>
        <v>0</v>
      </c>
      <c r="S26" s="31"/>
      <c r="W26" s="2" t="n">
        <f aca="false">IF(U26&lt;&gt;CONCATENATE("StGrp",T26),1,0)</f>
        <v>1</v>
      </c>
      <c r="Y26" s="27" t="n">
        <v>25</v>
      </c>
      <c r="Z26" s="30" t="s">
        <v>367</v>
      </c>
      <c r="AA26" s="29" t="s">
        <v>103</v>
      </c>
      <c r="AB26" s="2" t="n">
        <f aca="false">IF(Z26&lt;&gt;CONCATENATE("Mtx",Y26),1,0)</f>
        <v>0</v>
      </c>
      <c r="AC26" s="2"/>
      <c r="AG26" s="2" t="n">
        <f aca="false">IF(AE26&lt;&gt;CONCATENATE("StMtx",AD26),1,0)</f>
        <v>1</v>
      </c>
    </row>
    <row r="27" customFormat="false" ht="13.8" hidden="false" customHeight="false" outlineLevel="0" collapsed="false">
      <c r="E27" s="27" t="n">
        <v>26</v>
      </c>
      <c r="F27" s="30" t="s">
        <v>368</v>
      </c>
      <c r="G27" s="29" t="s">
        <v>85</v>
      </c>
      <c r="H27" s="2" t="n">
        <f aca="false">IF(F27&lt;&gt;CONCATENATE("Aux",E27),1,0)</f>
        <v>0</v>
      </c>
      <c r="M27" s="2" t="n">
        <f aca="false">IF(K27&lt;&gt;CONCATENATE("STAux",J27),1,0)</f>
        <v>1</v>
      </c>
      <c r="N27" s="2"/>
      <c r="O27" s="27" t="n">
        <v>26</v>
      </c>
      <c r="P27" s="30" t="s">
        <v>369</v>
      </c>
      <c r="Q27" s="29" t="s">
        <v>51</v>
      </c>
      <c r="R27" s="31" t="n">
        <f aca="false">IF(P27&lt;&gt;CONCATENATE("Grp",O27),1,0)</f>
        <v>0</v>
      </c>
      <c r="S27" s="31"/>
      <c r="W27" s="2" t="n">
        <f aca="false">IF(U27&lt;&gt;CONCATENATE("StGrp",T27),1,0)</f>
        <v>1</v>
      </c>
      <c r="Y27" s="27" t="n">
        <v>26</v>
      </c>
      <c r="Z27" s="30" t="s">
        <v>370</v>
      </c>
      <c r="AA27" s="29" t="s">
        <v>103</v>
      </c>
      <c r="AB27" s="2" t="n">
        <f aca="false">IF(Z27&lt;&gt;CONCATENATE("Mtx",Y27),1,0)</f>
        <v>0</v>
      </c>
      <c r="AC27" s="2"/>
      <c r="AG27" s="2" t="n">
        <f aca="false">IF(AE27&lt;&gt;CONCATENATE("StMtx",AD27),1,0)</f>
        <v>1</v>
      </c>
    </row>
    <row r="28" customFormat="false" ht="13.8" hidden="false" customHeight="false" outlineLevel="0" collapsed="false">
      <c r="E28" s="27" t="n">
        <v>27</v>
      </c>
      <c r="F28" s="30" t="s">
        <v>371</v>
      </c>
      <c r="G28" s="29" t="s">
        <v>85</v>
      </c>
      <c r="H28" s="2" t="n">
        <f aca="false">IF(F28&lt;&gt;CONCATENATE("Aux",E28),1,0)</f>
        <v>0</v>
      </c>
      <c r="M28" s="2" t="n">
        <f aca="false">IF(K28&lt;&gt;CONCATENATE("STAux",J28),1,0)</f>
        <v>1</v>
      </c>
      <c r="N28" s="2"/>
      <c r="O28" s="27" t="n">
        <v>27</v>
      </c>
      <c r="P28" s="30" t="s">
        <v>372</v>
      </c>
      <c r="Q28" s="29" t="s">
        <v>51</v>
      </c>
      <c r="R28" s="31" t="n">
        <f aca="false">IF(P28&lt;&gt;CONCATENATE("Grp",O28),1,0)</f>
        <v>0</v>
      </c>
      <c r="S28" s="31"/>
      <c r="W28" s="2" t="n">
        <f aca="false">IF(U28&lt;&gt;CONCATENATE("StGrp",T28),1,0)</f>
        <v>1</v>
      </c>
      <c r="Y28" s="27" t="n">
        <v>27</v>
      </c>
      <c r="Z28" s="30" t="s">
        <v>373</v>
      </c>
      <c r="AA28" s="29" t="s">
        <v>103</v>
      </c>
      <c r="AB28" s="2" t="n">
        <f aca="false">IF(Z28&lt;&gt;CONCATENATE("Mtx",Y28),1,0)</f>
        <v>0</v>
      </c>
      <c r="AC28" s="2"/>
      <c r="AG28" s="2" t="n">
        <f aca="false">IF(AE28&lt;&gt;CONCATENATE("StMtx",AD28),1,0)</f>
        <v>1</v>
      </c>
    </row>
    <row r="29" customFormat="false" ht="13.8" hidden="false" customHeight="false" outlineLevel="0" collapsed="false">
      <c r="E29" s="27" t="n">
        <v>28</v>
      </c>
      <c r="F29" s="30" t="s">
        <v>374</v>
      </c>
      <c r="G29" s="29" t="s">
        <v>85</v>
      </c>
      <c r="H29" s="2" t="n">
        <f aca="false">IF(F29&lt;&gt;CONCATENATE("Aux",E29),1,0)</f>
        <v>0</v>
      </c>
      <c r="M29" s="2" t="n">
        <f aca="false">IF(K29&lt;&gt;CONCATENATE("STAux",J29),1,0)</f>
        <v>1</v>
      </c>
      <c r="N29" s="2"/>
      <c r="O29" s="27" t="n">
        <v>28</v>
      </c>
      <c r="P29" s="30" t="s">
        <v>375</v>
      </c>
      <c r="Q29" s="29" t="s">
        <v>51</v>
      </c>
      <c r="R29" s="31" t="n">
        <f aca="false">IF(P29&lt;&gt;CONCATENATE("Grp",O29),1,0)</f>
        <v>0</v>
      </c>
      <c r="S29" s="31"/>
      <c r="W29" s="2" t="n">
        <f aca="false">IF(U29&lt;&gt;CONCATENATE("StGrp",T29),1,0)</f>
        <v>1</v>
      </c>
      <c r="Y29" s="27" t="n">
        <v>28</v>
      </c>
      <c r="Z29" s="30" t="s">
        <v>376</v>
      </c>
      <c r="AA29" s="29" t="s">
        <v>103</v>
      </c>
      <c r="AB29" s="2" t="n">
        <f aca="false">IF(Z29&lt;&gt;CONCATENATE("Mtx",Y29),1,0)</f>
        <v>0</v>
      </c>
      <c r="AC29" s="2"/>
      <c r="AG29" s="2" t="n">
        <f aca="false">IF(AE29&lt;&gt;CONCATENATE("StMtx",AD29),1,0)</f>
        <v>1</v>
      </c>
    </row>
    <row r="30" customFormat="false" ht="13.8" hidden="false" customHeight="false" outlineLevel="0" collapsed="false">
      <c r="E30" s="27" t="n">
        <v>29</v>
      </c>
      <c r="F30" s="30" t="s">
        <v>377</v>
      </c>
      <c r="G30" s="29" t="s">
        <v>85</v>
      </c>
      <c r="H30" s="2" t="n">
        <f aca="false">IF(F30&lt;&gt;CONCATENATE("Aux",E30),1,0)</f>
        <v>0</v>
      </c>
      <c r="M30" s="2" t="n">
        <f aca="false">IF(K30&lt;&gt;CONCATENATE("STAux",J30),1,0)</f>
        <v>1</v>
      </c>
      <c r="N30" s="2"/>
      <c r="O30" s="27" t="n">
        <v>29</v>
      </c>
      <c r="P30" s="30" t="s">
        <v>378</v>
      </c>
      <c r="Q30" s="29" t="s">
        <v>51</v>
      </c>
      <c r="R30" s="31" t="n">
        <f aca="false">IF(P30&lt;&gt;CONCATENATE("Grp",O30),1,0)</f>
        <v>0</v>
      </c>
      <c r="S30" s="31"/>
      <c r="W30" s="2" t="n">
        <f aca="false">IF(U30&lt;&gt;CONCATENATE("StGrp",T30),1,0)</f>
        <v>1</v>
      </c>
      <c r="Y30" s="27" t="n">
        <v>29</v>
      </c>
      <c r="Z30" s="30" t="s">
        <v>379</v>
      </c>
      <c r="AA30" s="29" t="s">
        <v>103</v>
      </c>
      <c r="AB30" s="2" t="n">
        <f aca="false">IF(Z30&lt;&gt;CONCATENATE("Mtx",Y30),1,0)</f>
        <v>0</v>
      </c>
      <c r="AC30" s="2"/>
      <c r="AG30" s="2" t="n">
        <f aca="false">IF(AE30&lt;&gt;CONCATENATE("StMtx",AD30),1,0)</f>
        <v>1</v>
      </c>
    </row>
    <row r="31" customFormat="false" ht="13.8" hidden="false" customHeight="false" outlineLevel="0" collapsed="false">
      <c r="E31" s="27" t="n">
        <v>30</v>
      </c>
      <c r="F31" s="30" t="s">
        <v>380</v>
      </c>
      <c r="G31" s="29" t="s">
        <v>85</v>
      </c>
      <c r="H31" s="2" t="n">
        <f aca="false">IF(F31&lt;&gt;CONCATENATE("Aux",E31),1,0)</f>
        <v>0</v>
      </c>
      <c r="L31" s="32"/>
      <c r="M31" s="2" t="n">
        <f aca="false">IF(K31&lt;&gt;CONCATENATE("STAux",J31),1,0)</f>
        <v>1</v>
      </c>
      <c r="N31" s="2"/>
      <c r="O31" s="27" t="n">
        <v>30</v>
      </c>
      <c r="P31" s="30" t="s">
        <v>381</v>
      </c>
      <c r="Q31" s="29" t="s">
        <v>51</v>
      </c>
      <c r="R31" s="31" t="n">
        <f aca="false">IF(P31&lt;&gt;CONCATENATE("Grp",O31),1,0)</f>
        <v>0</v>
      </c>
      <c r="S31" s="31"/>
      <c r="W31" s="2" t="n">
        <f aca="false">IF(U31&lt;&gt;CONCATENATE("StGrp",T31),1,0)</f>
        <v>1</v>
      </c>
      <c r="Y31" s="27" t="n">
        <v>30</v>
      </c>
      <c r="Z31" s="30" t="s">
        <v>382</v>
      </c>
      <c r="AA31" s="29" t="s">
        <v>103</v>
      </c>
      <c r="AB31" s="2" t="n">
        <f aca="false">IF(Z31&lt;&gt;CONCATENATE("Mtx",Y31),1,0)</f>
        <v>0</v>
      </c>
      <c r="AC31" s="2"/>
      <c r="AG31" s="2" t="n">
        <f aca="false">IF(AE31&lt;&gt;CONCATENATE("StMtx",AD31),1,0)</f>
        <v>1</v>
      </c>
    </row>
    <row r="32" customFormat="false" ht="13.8" hidden="false" customHeight="false" outlineLevel="0" collapsed="false">
      <c r="E32" s="27" t="n">
        <v>31</v>
      </c>
      <c r="F32" s="30" t="s">
        <v>383</v>
      </c>
      <c r="G32" s="29" t="s">
        <v>85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30" t="s">
        <v>384</v>
      </c>
      <c r="Q32" s="29" t="s">
        <v>51</v>
      </c>
      <c r="R32" s="31" t="n">
        <f aca="false">IF(P32&lt;&gt;CONCATENATE("Grp",O32),1,0)</f>
        <v>0</v>
      </c>
      <c r="S32" s="31"/>
      <c r="W32" s="2" t="n">
        <f aca="false">IF(U32&lt;&gt;CONCATENATE("StGrp",T32),1,0)</f>
        <v>1</v>
      </c>
      <c r="Y32" s="27" t="n">
        <v>31</v>
      </c>
      <c r="Z32" s="30" t="s">
        <v>385</v>
      </c>
      <c r="AA32" s="29" t="s">
        <v>103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</row>
    <row r="33" customFormat="false" ht="13.8" hidden="false" customHeight="false" outlineLevel="0" collapsed="false">
      <c r="E33" s="27" t="n">
        <v>32</v>
      </c>
      <c r="F33" s="30" t="s">
        <v>386</v>
      </c>
      <c r="G33" s="29" t="s">
        <v>85</v>
      </c>
      <c r="H33" s="2" t="n">
        <f aca="false">IF(F33&lt;&gt;CONCATENATE("Aux",E33),1,0)</f>
        <v>0</v>
      </c>
      <c r="O33" s="27" t="n">
        <v>32</v>
      </c>
      <c r="P33" s="30" t="s">
        <v>387</v>
      </c>
      <c r="Q33" s="29" t="s">
        <v>51</v>
      </c>
      <c r="R33" s="31" t="n">
        <f aca="false">IF(P33&lt;&gt;CONCATENATE("Grp",O33),1,0)</f>
        <v>0</v>
      </c>
      <c r="S33" s="31"/>
      <c r="Y33" s="27" t="n">
        <v>32</v>
      </c>
      <c r="Z33" s="30" t="s">
        <v>388</v>
      </c>
      <c r="AA33" s="29" t="s">
        <v>103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7" t="n">
        <v>33</v>
      </c>
      <c r="F34" s="30" t="s">
        <v>389</v>
      </c>
      <c r="G34" s="29" t="s">
        <v>85</v>
      </c>
      <c r="H34" s="2" t="n">
        <f aca="false">IF(F34&lt;&gt;CONCATENATE("Aux",E34),1,0)</f>
        <v>0</v>
      </c>
      <c r="O34" s="27" t="n">
        <v>33</v>
      </c>
      <c r="P34" s="30" t="s">
        <v>390</v>
      </c>
      <c r="Q34" s="29" t="s">
        <v>51</v>
      </c>
      <c r="R34" s="31" t="n">
        <f aca="false">IF(P34&lt;&gt;CONCATENATE("Grp",O34),1,0)</f>
        <v>0</v>
      </c>
      <c r="S34" s="31"/>
      <c r="Y34" s="27" t="n">
        <v>33</v>
      </c>
      <c r="Z34" s="30" t="s">
        <v>391</v>
      </c>
      <c r="AA34" s="29" t="s">
        <v>103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7" t="n">
        <v>34</v>
      </c>
      <c r="F35" s="30" t="s">
        <v>392</v>
      </c>
      <c r="G35" s="29" t="s">
        <v>85</v>
      </c>
      <c r="H35" s="2" t="n">
        <f aca="false">IF(F35&lt;&gt;CONCATENATE("Aux",E35),1,0)</f>
        <v>0</v>
      </c>
      <c r="O35" s="27" t="n">
        <v>34</v>
      </c>
      <c r="P35" s="30" t="s">
        <v>393</v>
      </c>
      <c r="Q35" s="29" t="s">
        <v>51</v>
      </c>
      <c r="R35" s="31" t="n">
        <f aca="false">IF(P35&lt;&gt;CONCATENATE("Grp",O35),1,0)</f>
        <v>0</v>
      </c>
      <c r="S35" s="31"/>
      <c r="Y35" s="27" t="n">
        <v>34</v>
      </c>
      <c r="Z35" s="30" t="s">
        <v>394</v>
      </c>
      <c r="AA35" s="29" t="s">
        <v>103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7" t="n">
        <v>35</v>
      </c>
      <c r="F36" s="30" t="s">
        <v>395</v>
      </c>
      <c r="G36" s="29" t="s">
        <v>85</v>
      </c>
      <c r="H36" s="2" t="n">
        <f aca="false">IF(F36&lt;&gt;CONCATENATE("Aux",E36),1,0)</f>
        <v>0</v>
      </c>
      <c r="O36" s="27" t="n">
        <v>35</v>
      </c>
      <c r="P36" s="30" t="s">
        <v>396</v>
      </c>
      <c r="Q36" s="29" t="s">
        <v>51</v>
      </c>
      <c r="R36" s="31" t="n">
        <f aca="false">IF(P36&lt;&gt;CONCATENATE("Grp",O36),1,0)</f>
        <v>0</v>
      </c>
      <c r="S36" s="31"/>
      <c r="Y36" s="27" t="n">
        <v>35</v>
      </c>
      <c r="Z36" s="30" t="s">
        <v>397</v>
      </c>
      <c r="AA36" s="29" t="s">
        <v>103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7" t="n">
        <v>36</v>
      </c>
      <c r="F37" s="30" t="s">
        <v>398</v>
      </c>
      <c r="G37" s="29" t="s">
        <v>85</v>
      </c>
      <c r="H37" s="2" t="n">
        <f aca="false">IF(F37&lt;&gt;CONCATENATE("Aux",E37),1,0)</f>
        <v>0</v>
      </c>
      <c r="O37" s="27" t="n">
        <v>36</v>
      </c>
      <c r="P37" s="30" t="s">
        <v>399</v>
      </c>
      <c r="Q37" s="29" t="s">
        <v>51</v>
      </c>
      <c r="R37" s="31" t="n">
        <f aca="false">IF(P37&lt;&gt;CONCATENATE("Grp",O37),1,0)</f>
        <v>0</v>
      </c>
      <c r="S37" s="31"/>
      <c r="Y37" s="27" t="n">
        <v>36</v>
      </c>
      <c r="Z37" s="30" t="s">
        <v>400</v>
      </c>
      <c r="AA37" s="29" t="s">
        <v>103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7" t="n">
        <v>37</v>
      </c>
      <c r="F38" s="30" t="s">
        <v>401</v>
      </c>
      <c r="G38" s="29" t="s">
        <v>85</v>
      </c>
      <c r="H38" s="2" t="n">
        <f aca="false">IF(F38&lt;&gt;CONCATENATE("Aux",E38),1,0)</f>
        <v>0</v>
      </c>
      <c r="O38" s="27" t="n">
        <v>37</v>
      </c>
      <c r="P38" s="30" t="s">
        <v>402</v>
      </c>
      <c r="Q38" s="29" t="s">
        <v>51</v>
      </c>
      <c r="R38" s="31" t="n">
        <f aca="false">IF(P38&lt;&gt;CONCATENATE("Grp",O38),1,0)</f>
        <v>0</v>
      </c>
      <c r="S38" s="31"/>
      <c r="Y38" s="27" t="n">
        <v>37</v>
      </c>
      <c r="Z38" s="30" t="s">
        <v>403</v>
      </c>
      <c r="AA38" s="29" t="s">
        <v>103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7" t="n">
        <v>38</v>
      </c>
      <c r="F39" s="30" t="s">
        <v>404</v>
      </c>
      <c r="G39" s="29" t="s">
        <v>85</v>
      </c>
      <c r="H39" s="2" t="n">
        <f aca="false">IF(F39&lt;&gt;CONCATENATE("Aux",E39),1,0)</f>
        <v>0</v>
      </c>
      <c r="O39" s="27" t="n">
        <v>38</v>
      </c>
      <c r="P39" s="30" t="s">
        <v>405</v>
      </c>
      <c r="Q39" s="29" t="s">
        <v>51</v>
      </c>
      <c r="R39" s="31" t="n">
        <f aca="false">IF(P39&lt;&gt;CONCATENATE("Grp",O39),1,0)</f>
        <v>0</v>
      </c>
      <c r="S39" s="31"/>
      <c r="Y39" s="27" t="n">
        <v>38</v>
      </c>
      <c r="Z39" s="30" t="s">
        <v>406</v>
      </c>
      <c r="AA39" s="29" t="s">
        <v>103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7" t="n">
        <v>39</v>
      </c>
      <c r="F40" s="30" t="s">
        <v>407</v>
      </c>
      <c r="G40" s="29" t="s">
        <v>85</v>
      </c>
      <c r="H40" s="2" t="n">
        <f aca="false">IF(F40&lt;&gt;CONCATENATE("Aux",E40),1,0)</f>
        <v>0</v>
      </c>
      <c r="O40" s="27" t="n">
        <v>39</v>
      </c>
      <c r="P40" s="30" t="s">
        <v>408</v>
      </c>
      <c r="Q40" s="29" t="s">
        <v>51</v>
      </c>
      <c r="R40" s="31" t="n">
        <f aca="false">IF(P40&lt;&gt;CONCATENATE("Grp",O40),1,0)</f>
        <v>0</v>
      </c>
      <c r="S40" s="31"/>
      <c r="Y40" s="27" t="n">
        <v>39</v>
      </c>
      <c r="Z40" s="30" t="s">
        <v>409</v>
      </c>
      <c r="AA40" s="29" t="s">
        <v>103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7" t="n">
        <v>40</v>
      </c>
      <c r="F41" s="30" t="s">
        <v>410</v>
      </c>
      <c r="G41" s="29" t="s">
        <v>85</v>
      </c>
      <c r="H41" s="2" t="n">
        <f aca="false">IF(F41&lt;&gt;CONCATENATE("Aux",E41),1,0)</f>
        <v>0</v>
      </c>
      <c r="O41" s="27" t="n">
        <v>40</v>
      </c>
      <c r="P41" s="30" t="s">
        <v>411</v>
      </c>
      <c r="Q41" s="29" t="s">
        <v>51</v>
      </c>
      <c r="R41" s="31" t="n">
        <f aca="false">IF(P41&lt;&gt;CONCATENATE("Grp",O41),1,0)</f>
        <v>0</v>
      </c>
      <c r="S41" s="31"/>
      <c r="Y41" s="27" t="n">
        <v>40</v>
      </c>
      <c r="Z41" s="30" t="s">
        <v>412</v>
      </c>
      <c r="AA41" s="29" t="s">
        <v>103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G42" s="3"/>
      <c r="H42" s="2" t="n">
        <f aca="false">IF(F42&lt;&gt;CONCATENATE("Aux",E42),1,0)</f>
        <v>1</v>
      </c>
      <c r="R42" s="31" t="n">
        <f aca="false">IF(P42&lt;&gt;CONCATENATE("Grp",O42),1,0)</f>
        <v>1</v>
      </c>
      <c r="S42" s="31"/>
      <c r="AA42" s="32"/>
      <c r="AB42" s="2" t="n">
        <f aca="false">IF(Z42&lt;&gt;CONCATENATE("Mtx",Y42),1,0)</f>
        <v>1</v>
      </c>
      <c r="AC42" s="2"/>
    </row>
    <row r="43" customFormat="false" ht="13.8" hidden="false" customHeight="false" outlineLevel="0" collapsed="false">
      <c r="G43" s="3"/>
      <c r="H43" s="2" t="n">
        <f aca="false">IF(F43&lt;&gt;CONCATENATE("Aux",E43),1,0)</f>
        <v>1</v>
      </c>
      <c r="R43" s="31" t="n">
        <f aca="false">IF(P43&lt;&gt;CONCATENATE("Grp",O43),1,0)</f>
        <v>1</v>
      </c>
      <c r="S43" s="31"/>
      <c r="AB43" s="2" t="n">
        <f aca="false">IF(Z43&lt;&gt;CONCATENATE("Mtx",Y43),1,0)</f>
        <v>1</v>
      </c>
      <c r="AC43" s="2"/>
    </row>
    <row r="44" customFormat="false" ht="13.8" hidden="false" customHeight="false" outlineLevel="0" collapsed="false">
      <c r="G44" s="3"/>
      <c r="H44" s="2" t="n">
        <f aca="false">IF(F44&lt;&gt;CONCATENATE("Aux",E44),1,0)</f>
        <v>1</v>
      </c>
      <c r="R44" s="31" t="n">
        <f aca="false">IF(P44&lt;&gt;CONCATENATE("Grp",O44),1,0)</f>
        <v>1</v>
      </c>
      <c r="S44" s="31"/>
      <c r="AB44" s="2" t="n">
        <f aca="false">IF(Z44&lt;&gt;CONCATENATE("Mtx",Y44),1,0)</f>
        <v>1</v>
      </c>
      <c r="AC44" s="2"/>
    </row>
    <row r="45" customFormat="false" ht="13.8" hidden="false" customHeight="false" outlineLevel="0" collapsed="false">
      <c r="G45" s="3"/>
      <c r="H45" s="2" t="n">
        <f aca="false">IF(F45&lt;&gt;CONCATENATE("Aux",E45),1,0)</f>
        <v>1</v>
      </c>
      <c r="R45" s="31" t="n">
        <f aca="false">IF(P45&lt;&gt;CONCATENATE("Grp",O45),1,0)</f>
        <v>1</v>
      </c>
      <c r="S45" s="31"/>
      <c r="AB45" s="2" t="n">
        <f aca="false">IF(Z45&lt;&gt;CONCATENATE("Mtx",Y45),1,0)</f>
        <v>1</v>
      </c>
      <c r="AC45" s="2"/>
    </row>
    <row r="46" customFormat="false" ht="13.8" hidden="false" customHeight="false" outlineLevel="0" collapsed="false">
      <c r="G46" s="3"/>
      <c r="H46" s="2" t="n">
        <f aca="false">IF(F46&lt;&gt;CONCATENATE("Aux",E46),1,0)</f>
        <v>1</v>
      </c>
      <c r="R46" s="31" t="n">
        <f aca="false">IF(P46&lt;&gt;CONCATENATE("Grp",O46),1,0)</f>
        <v>1</v>
      </c>
      <c r="S46" s="31"/>
      <c r="AB46" s="2" t="n">
        <f aca="false">IF(Z46&lt;&gt;CONCATENATE("Mtx",Y46),1,0)</f>
        <v>1</v>
      </c>
      <c r="AC46" s="2"/>
    </row>
    <row r="47" customFormat="false" ht="13.8" hidden="false" customHeight="false" outlineLevel="0" collapsed="false">
      <c r="G47" s="3"/>
      <c r="H47" s="2" t="n">
        <f aca="false">IF(F47&lt;&gt;CONCATENATE("Aux",E47),1,0)</f>
        <v>1</v>
      </c>
      <c r="R47" s="31" t="n">
        <f aca="false">IF(P47&lt;&gt;CONCATENATE("Grp",O47),1,0)</f>
        <v>1</v>
      </c>
      <c r="S47" s="31"/>
      <c r="AB47" s="2" t="n">
        <f aca="false">IF(Z47&lt;&gt;CONCATENATE("Mtx",Y47),1,0)</f>
        <v>1</v>
      </c>
      <c r="AC47" s="2"/>
    </row>
    <row r="48" customFormat="false" ht="13.8" hidden="false" customHeight="false" outlineLevel="0" collapsed="false">
      <c r="G48" s="3"/>
      <c r="H48" s="2" t="n">
        <f aca="false">IF(F48&lt;&gt;CONCATENATE("Aux",E48),1,0)</f>
        <v>1</v>
      </c>
      <c r="R48" s="31" t="n">
        <f aca="false">IF(P48&lt;&gt;CONCATENATE("Grp",O48),1,0)</f>
        <v>1</v>
      </c>
      <c r="S48" s="31"/>
      <c r="AB48" s="2" t="n">
        <f aca="false">IF(Z48&lt;&gt;CONCATENATE("Mtx",Y48),1,0)</f>
        <v>1</v>
      </c>
      <c r="AC48" s="2"/>
    </row>
    <row r="49" customFormat="false" ht="13.8" hidden="false" customHeight="false" outlineLevel="0" collapsed="false">
      <c r="G49" s="3"/>
      <c r="H49" s="2" t="n">
        <f aca="false">IF(F49&lt;&gt;CONCATENATE("Aux",E49),1,0)</f>
        <v>1</v>
      </c>
      <c r="R49" s="31" t="n">
        <f aca="false">IF(P49&lt;&gt;CONCATENATE("Grp",O49),1,0)</f>
        <v>1</v>
      </c>
      <c r="S49" s="31"/>
      <c r="AB49" s="2" t="n">
        <f aca="false">IF(Z49&lt;&gt;CONCATENATE("Mtx",Y49),1,0)</f>
        <v>1</v>
      </c>
      <c r="AC49" s="2"/>
    </row>
    <row r="50" customFormat="false" ht="13.8" hidden="false" customHeight="false" outlineLevel="0" collapsed="false">
      <c r="G50" s="3"/>
      <c r="H50" s="2" t="n">
        <f aca="false">IF(F50&lt;&gt;CONCATENATE("Aux",E50),1,0)</f>
        <v>1</v>
      </c>
      <c r="R50" s="31" t="n">
        <f aca="false">IF(P50&lt;&gt;CONCATENATE("Grp",O50),1,0)</f>
        <v>1</v>
      </c>
      <c r="S50" s="31"/>
      <c r="AB50" s="2" t="n">
        <f aca="false">IF(Z50&lt;&gt;CONCATENATE("Mtx",Y50),1,0)</f>
        <v>1</v>
      </c>
      <c r="AC50" s="2"/>
    </row>
    <row r="51" customFormat="false" ht="13.8" hidden="false" customHeight="false" outlineLevel="0" collapsed="false">
      <c r="G51" s="3"/>
      <c r="H51" s="2" t="n">
        <f aca="false">IF(F51&lt;&gt;CONCATENATE("Aux",E51),1,0)</f>
        <v>1</v>
      </c>
      <c r="R51" s="31" t="n">
        <f aca="false">IF(P51&lt;&gt;CONCATENATE("Grp",O51),1,0)</f>
        <v>1</v>
      </c>
      <c r="S51" s="31"/>
      <c r="AB51" s="2" t="n">
        <f aca="false">IF(Z51&lt;&gt;CONCATENATE("Mtx",Y51),1,0)</f>
        <v>1</v>
      </c>
      <c r="AC51" s="2"/>
    </row>
    <row r="52" customFormat="false" ht="13.8" hidden="false" customHeight="false" outlineLevel="0" collapsed="false">
      <c r="G52" s="3"/>
      <c r="H52" s="2" t="n">
        <f aca="false">IF(F52&lt;&gt;CONCATENATE("Aux",E52),1,0)</f>
        <v>1</v>
      </c>
      <c r="R52" s="31" t="n">
        <f aca="false">IF(P52&lt;&gt;CONCATENATE("Grp",O52),1,0)</f>
        <v>1</v>
      </c>
      <c r="S52" s="31"/>
      <c r="AB52" s="2" t="n">
        <f aca="false">IF(Z52&lt;&gt;CONCATENATE("Mtx",Y52),1,0)</f>
        <v>1</v>
      </c>
      <c r="AC52" s="2"/>
    </row>
    <row r="53" customFormat="false" ht="13.8" hidden="false" customHeight="false" outlineLevel="0" collapsed="false">
      <c r="G53" s="3"/>
      <c r="H53" s="2" t="n">
        <f aca="false">IF(F53&lt;&gt;CONCATENATE("Aux",E53),1,0)</f>
        <v>1</v>
      </c>
      <c r="R53" s="31" t="n">
        <f aca="false">IF(P53&lt;&gt;CONCATENATE("Grp",O53),1,0)</f>
        <v>1</v>
      </c>
      <c r="S53" s="31"/>
      <c r="AB53" s="2" t="n">
        <f aca="false">IF(Z53&lt;&gt;CONCATENATE("Mtx",Y53),1,0)</f>
        <v>1</v>
      </c>
      <c r="AC53" s="2"/>
    </row>
    <row r="54" customFormat="false" ht="13.8" hidden="false" customHeight="false" outlineLevel="0" collapsed="false">
      <c r="G54" s="3"/>
      <c r="H54" s="2" t="n">
        <f aca="false">IF(F54&lt;&gt;CONCATENATE("Aux",E54),1,0)</f>
        <v>1</v>
      </c>
      <c r="R54" s="31" t="n">
        <f aca="false">IF(P54&lt;&gt;CONCATENATE("Grp",O54),1,0)</f>
        <v>1</v>
      </c>
      <c r="S54" s="31"/>
      <c r="AA54" s="32"/>
      <c r="AB54" s="2" t="n">
        <f aca="false">IF(Z54&lt;&gt;CONCATENATE("Mtx",Y54),1,0)</f>
        <v>1</v>
      </c>
      <c r="AC54" s="2"/>
    </row>
    <row r="55" customFormat="false" ht="13.8" hidden="false" customHeight="false" outlineLevel="0" collapsed="false">
      <c r="G55" s="3"/>
      <c r="H55" s="2" t="n">
        <f aca="false">IF(F55&lt;&gt;CONCATENATE("Aux",E55),1,0)</f>
        <v>1</v>
      </c>
      <c r="R55" s="31" t="n">
        <f aca="false">IF(P55&lt;&gt;CONCATENATE("Grp",O55),1,0)</f>
        <v>1</v>
      </c>
      <c r="S55" s="31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G56" s="3"/>
      <c r="H56" s="2" t="n">
        <f aca="false">IF(F56&lt;&gt;CONCATENATE("Aux",E56),1,0)</f>
        <v>1</v>
      </c>
      <c r="R56" s="31" t="n">
        <f aca="false">IF(P56&lt;&gt;CONCATENATE("Grp",O56),1,0)</f>
        <v>1</v>
      </c>
      <c r="S56" s="31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G57" s="3"/>
      <c r="H57" s="2" t="n">
        <f aca="false">IF(F57&lt;&gt;CONCATENATE("Aux",E57),1,0)</f>
        <v>1</v>
      </c>
      <c r="R57" s="31" t="n">
        <f aca="false">IF(P57&lt;&gt;CONCATENATE("Grp",O57),1,0)</f>
        <v>1</v>
      </c>
      <c r="S57" s="31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G58" s="3"/>
      <c r="H58" s="2" t="n">
        <f aca="false">IF(F58&lt;&gt;CONCATENATE("Aux",E58),1,0)</f>
        <v>1</v>
      </c>
      <c r="R58" s="31" t="n">
        <f aca="false">IF(P58&lt;&gt;CONCATENATE("Grp",O58),1,0)</f>
        <v>1</v>
      </c>
      <c r="S58" s="31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G59" s="3"/>
      <c r="H59" s="2" t="n">
        <f aca="false">IF(F59&lt;&gt;CONCATENATE("Aux",E59),1,0)</f>
        <v>1</v>
      </c>
      <c r="R59" s="31" t="n">
        <f aca="false">IF(P59&lt;&gt;CONCATENATE("Grp",O59),1,0)</f>
        <v>1</v>
      </c>
      <c r="S59" s="31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G60" s="3"/>
      <c r="H60" s="2" t="n">
        <f aca="false">IF(F60&lt;&gt;CONCATENATE("Aux",E60),1,0)</f>
        <v>1</v>
      </c>
      <c r="R60" s="31" t="n">
        <f aca="false">IF(P60&lt;&gt;CONCATENATE("Grp",O60),1,0)</f>
        <v>1</v>
      </c>
      <c r="S60" s="31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G61" s="3"/>
      <c r="H61" s="2" t="n">
        <f aca="false">IF(F61&lt;&gt;CONCATENATE("Aux",E61),1,0)</f>
        <v>1</v>
      </c>
      <c r="R61" s="31" t="n">
        <f aca="false">IF(P61&lt;&gt;CONCATENATE("Grp",O61),1,0)</f>
        <v>1</v>
      </c>
      <c r="S61" s="31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G62" s="3"/>
      <c r="H62" s="2" t="n">
        <f aca="false">IF(F62&lt;&gt;CONCATENATE("Aux",E62),1,0)</f>
        <v>1</v>
      </c>
      <c r="R62" s="31" t="n">
        <f aca="false">IF(P62&lt;&gt;CONCATENATE("Grp",O62),1,0)</f>
        <v>1</v>
      </c>
      <c r="S62" s="31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G63" s="3"/>
      <c r="H63" s="2" t="n">
        <f aca="false">IF(F63&lt;&gt;CONCATENATE("Aux",E63),1,0)</f>
        <v>1</v>
      </c>
      <c r="R63" s="31" t="n">
        <f aca="false">IF(P63&lt;&gt;CONCATENATE("Grp",O63),1,0)</f>
        <v>1</v>
      </c>
      <c r="S63" s="31"/>
      <c r="AB63" s="2" t="n">
        <f aca="false">IF(Z63&lt;&gt;CONCATENATE("Mtx",Y63),1,0)</f>
        <v>1</v>
      </c>
      <c r="AC63" s="2"/>
    </row>
    <row r="64" customFormat="false" ht="13.8" hidden="false" customHeight="false" outlineLevel="0" collapsed="false">
      <c r="G64" s="3"/>
    </row>
    <row r="65" customFormat="false" ht="13.8" hidden="false" customHeight="false" outlineLevel="0" collapsed="false">
      <c r="G65" s="32"/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V4:V22 G65 AF33 AY3:AY9 BC3:BC9 G2:G41 L2:L22 L31 Q2:Q41 AA2:AA42 AA54 AF2:AF22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AJ34">
    <cfRule type="cellIs" priority="9" operator="equal" aboveAverage="0" equalAverage="0" bottom="0" percent="0" rank="0" text="" dxfId="14">
      <formula>"purple"</formula>
    </cfRule>
    <cfRule type="cellIs" priority="10" operator="equal" aboveAverage="0" equalAverage="0" bottom="0" percent="0" rank="0" text="" dxfId="15">
      <formula>"light blue"</formula>
    </cfRule>
    <cfRule type="cellIs" priority="11" operator="equal" aboveAverage="0" equalAverage="0" bottom="0" percent="0" rank="0" text="" dxfId="16">
      <formula>"green"</formula>
    </cfRule>
    <cfRule type="cellIs" priority="12" operator="equal" aboveAverage="0" equalAverage="0" bottom="0" percent="0" rank="0" text="" dxfId="17">
      <formula>"red"</formula>
    </cfRule>
    <cfRule type="cellIs" priority="13" operator="equal" aboveAverage="0" equalAverage="0" bottom="0" percent="0" rank="0" text="" dxfId="18">
      <formula>"black"</formula>
    </cfRule>
    <cfRule type="cellIs" priority="14" operator="equal" aboveAverage="0" equalAverage="0" bottom="0" percent="0" rank="0" text="" dxfId="19">
      <formula>"yellow"</formula>
    </cfRule>
    <cfRule type="cellIs" priority="15" operator="equal" aboveAverage="0" equalAverage="0" bottom="0" percent="0" rank="0" text="" dxfId="20">
      <formula>"blue"</formula>
    </cfRule>
  </conditionalFormatting>
  <conditionalFormatting sqref="G2:G41 V2:V21 AF2:AF21 AK2:AK13 AP2:AP13 AU2:AU13 AY2:AY9 BC2:BC9 C2:C17 L2:L21 Q2:Q41 AA2:AA41">
    <cfRule type="cellIs" priority="16" operator="equal" aboveAverage="0" equalAverage="0" bottom="0" percent="0" rank="0" text="" dxfId="0">
      <formula>"purple"</formula>
    </cfRule>
    <cfRule type="cellIs" priority="17" operator="equal" aboveAverage="0" equalAverage="0" bottom="0" percent="0" rank="0" text="" dxfId="1">
      <formula>"light blue"</formula>
    </cfRule>
    <cfRule type="cellIs" priority="18" operator="equal" aboveAverage="0" equalAverage="0" bottom="0" percent="0" rank="0" text="" dxfId="2">
      <formula>"green"</formula>
    </cfRule>
    <cfRule type="cellIs" priority="19" operator="equal" aboveAverage="0" equalAverage="0" bottom="0" percent="0" rank="0" text="" dxfId="3">
      <formula>"red"</formula>
    </cfRule>
    <cfRule type="cellIs" priority="20" operator="equal" aboveAverage="0" equalAverage="0" bottom="0" percent="0" rank="0" text="" dxfId="4">
      <formula>"black"</formula>
    </cfRule>
    <cfRule type="cellIs" priority="21" operator="equal" aboveAverage="0" equalAverage="0" bottom="0" percent="0" rank="0" text="" dxfId="5">
      <formula>"yellow"</formula>
    </cfRule>
    <cfRule type="cellIs" priority="22" operator="equal" aboveAverage="0" equalAverage="0" bottom="0" percent="0" rank="0" text="" dxfId="6">
      <formula>"blue"</formula>
    </cfRule>
  </conditionalFormatting>
  <dataValidations count="3">
    <dataValidation allowBlank="true" errorStyle="stop" operator="equal" showDropDown="false" showErrorMessage="true" showInputMessage="false" sqref="C2:C14 G2:G18 L2:L21 Q2:Q41 V2:V21 AA2:AA41 AF2:AF21 AK2:AK13 AP2:AP13 AU2:AU13 C15:C17 G19:G4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22 V22 AF22 L31 AF33 AJ34 AA42 AA54 G65" type="list">
      <formula1>"blue,red,yellow,green,light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4"/>
      <c r="B1" s="35" t="s">
        <v>413</v>
      </c>
      <c r="C1" s="35" t="s">
        <v>414</v>
      </c>
    </row>
    <row r="2" customFormat="false" ht="13.8" hidden="false" customHeight="false" outlineLevel="0" collapsed="false">
      <c r="A2" s="36" t="s">
        <v>415</v>
      </c>
      <c r="B2" s="37" t="n">
        <f aca="false">Groups!R65</f>
        <v>22</v>
      </c>
      <c r="C2" s="37" t="n">
        <f aca="false">Groups!W65</f>
        <v>11</v>
      </c>
    </row>
    <row r="3" customFormat="false" ht="13.8" hidden="false" customHeight="false" outlineLevel="0" collapsed="false">
      <c r="A3" s="38" t="s">
        <v>261</v>
      </c>
      <c r="B3" s="37" t="n">
        <f aca="false">Groups!AL65</f>
        <v>4</v>
      </c>
      <c r="C3" s="37" t="n">
        <f aca="false">Groups!AQ65</f>
        <v>4</v>
      </c>
    </row>
    <row r="4" customFormat="false" ht="13.8" hidden="false" customHeight="false" outlineLevel="0" collapsed="false">
      <c r="A4" s="38" t="s">
        <v>416</v>
      </c>
      <c r="B4" s="37" t="n">
        <f aca="false">Groups!H65</f>
        <v>22</v>
      </c>
      <c r="C4" s="37" t="n">
        <f aca="false">Groups!M65</f>
        <v>11</v>
      </c>
    </row>
    <row r="5" customFormat="false" ht="13.8" hidden="false" customHeight="false" outlineLevel="0" collapsed="false">
      <c r="A5" s="39" t="s">
        <v>417</v>
      </c>
      <c r="B5" s="37" t="n">
        <f aca="false">Groups!AB65</f>
        <v>22</v>
      </c>
      <c r="C5" s="37" t="n">
        <f aca="false">Groups!AG65</f>
        <v>11</v>
      </c>
    </row>
    <row r="7" customFormat="false" ht="99.2" hidden="false" customHeight="true" outlineLevel="0" collapsed="false">
      <c r="A7" s="40" t="s">
        <v>418</v>
      </c>
      <c r="B7" s="40"/>
      <c r="C7" s="40"/>
      <c r="D7" s="40"/>
      <c r="E7" s="40"/>
      <c r="F7" s="40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419</v>
      </c>
      <c r="B1" s="22" t="s">
        <v>420</v>
      </c>
      <c r="C1" s="41" t="s">
        <v>421</v>
      </c>
    </row>
    <row r="2" customFormat="false" ht="15" hidden="false" customHeight="false" outlineLevel="0" collapsed="false">
      <c r="A2" s="11" t="s">
        <v>422</v>
      </c>
      <c r="B2" s="11" t="n">
        <v>12</v>
      </c>
      <c r="C2" s="3" t="s">
        <v>423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2132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2025-10-27T12:18:05Z</dcterms:modified>
  <cp:revision>320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