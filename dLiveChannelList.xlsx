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ockets" sheetId="2" state="visible" r:id="rId4"/>
    <sheet name="Groups" sheetId="3" state="visible" r:id="rId5"/>
    <sheet name="Mixer Config" sheetId="4" state="visible" r:id="rId6"/>
    <sheet name="Mis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" authorId="0">
      <text>
        <r>
          <rPr>
            <sz val="10"/>
            <rFont val="Arial"/>
            <family val="2"/>
          </rPr>
          <t xml:space="preserve">*) Only for CSV Director Import</t>
        </r>
      </text>
    </comment>
  </commentList>
</comments>
</file>

<file path=xl/sharedStrings.xml><?xml version="1.0" encoding="utf-8"?>
<sst xmlns="http://schemas.openxmlformats.org/spreadsheetml/2006/main" count="9027" uniqueCount="540">
  <si>
    <t xml:space="preserve">Enabled</t>
  </si>
  <si>
    <t xml:space="preserve">Channel</t>
  </si>
  <si>
    <t xml:space="preserve">Name</t>
  </si>
  <si>
    <t xml:space="preserve">Color</t>
  </si>
  <si>
    <t xml:space="preserve">Source*</t>
  </si>
  <si>
    <t xml:space="preserve">Socket*</t>
  </si>
  <si>
    <t xml:space="preserve">Gain*</t>
  </si>
  <si>
    <t xml:space="preserve">Pad*</t>
  </si>
  <si>
    <t xml:space="preserve">Phantom*</t>
  </si>
  <si>
    <t xml:space="preserve">Mute</t>
  </si>
  <si>
    <t xml:space="preserve">Fader Level</t>
  </si>
  <si>
    <t xml:space="preserve">HPF On</t>
  </si>
  <si>
    <t xml:space="preserve">HPF Value</t>
  </si>
  <si>
    <t xml:space="preserve">Main Mix</t>
  </si>
  <si>
    <t xml:space="preserve">Recording</t>
  </si>
  <si>
    <t xml:space="preserve">Record Arm</t>
  </si>
  <si>
    <t xml:space="preserve">Mute1</t>
  </si>
  <si>
    <t xml:space="preserve">Mute2</t>
  </si>
  <si>
    <t xml:space="preserve">Mute3</t>
  </si>
  <si>
    <t xml:space="preserve">Mute4</t>
  </si>
  <si>
    <t xml:space="preserve">Mute5</t>
  </si>
  <si>
    <t xml:space="preserve">Mute6</t>
  </si>
  <si>
    <t xml:space="preserve">Mute7</t>
  </si>
  <si>
    <t xml:space="preserve">Mute8</t>
  </si>
  <si>
    <t xml:space="preserve">DCA1</t>
  </si>
  <si>
    <t xml:space="preserve">DCA2</t>
  </si>
  <si>
    <t xml:space="preserve">DCA3</t>
  </si>
  <si>
    <t xml:space="preserve">DCA4</t>
  </si>
  <si>
    <t xml:space="preserve">DCA5</t>
  </si>
  <si>
    <t xml:space="preserve">DCA6</t>
  </si>
  <si>
    <t xml:space="preserve">DCA7</t>
  </si>
  <si>
    <t xml:space="preserve">DCA8</t>
  </si>
  <si>
    <t xml:space="preserve">DCA9</t>
  </si>
  <si>
    <t xml:space="preserve">DCA10</t>
  </si>
  <si>
    <t xml:space="preserve">DCA11</t>
  </si>
  <si>
    <t xml:space="preserve">DCA12</t>
  </si>
  <si>
    <t xml:space="preserve">DCA13</t>
  </si>
  <si>
    <t xml:space="preserve">DCA14</t>
  </si>
  <si>
    <t xml:space="preserve">DCA15</t>
  </si>
  <si>
    <t xml:space="preserve">DCA16</t>
  </si>
  <si>
    <t xml:space="preserve">DCA17</t>
  </si>
  <si>
    <t xml:space="preserve">DCA18</t>
  </si>
  <si>
    <t xml:space="preserve">DCA19</t>
  </si>
  <si>
    <t xml:space="preserve">DCA20</t>
  </si>
  <si>
    <t xml:space="preserve">DCA21</t>
  </si>
  <si>
    <t xml:space="preserve">DCA22</t>
  </si>
  <si>
    <t xml:space="preserve">DCA23</t>
  </si>
  <si>
    <t xml:space="preserve">DCA24</t>
  </si>
  <si>
    <t xml:space="preserve">Grp1</t>
  </si>
  <si>
    <t xml:space="preserve">Grp2</t>
  </si>
  <si>
    <t xml:space="preserve">Grp3</t>
  </si>
  <si>
    <t xml:space="preserve">Grp4</t>
  </si>
  <si>
    <t xml:space="preserve">Grp5</t>
  </si>
  <si>
    <t xml:space="preserve">Grp6</t>
  </si>
  <si>
    <t xml:space="preserve">Grp7</t>
  </si>
  <si>
    <t xml:space="preserve">Grp8</t>
  </si>
  <si>
    <t xml:space="preserve">Grp9</t>
  </si>
  <si>
    <t xml:space="preserve">Grp10</t>
  </si>
  <si>
    <t xml:space="preserve">Grp11</t>
  </si>
  <si>
    <t xml:space="preserve">Grp12</t>
  </si>
  <si>
    <t xml:space="preserve">StGrp1</t>
  </si>
  <si>
    <t xml:space="preserve">StGrp2</t>
  </si>
  <si>
    <t xml:space="preserve">StGrp3</t>
  </si>
  <si>
    <t xml:space="preserve">StGrp4</t>
  </si>
  <si>
    <t xml:space="preserve">StGrp5</t>
  </si>
  <si>
    <t xml:space="preserve">StGrp6</t>
  </si>
  <si>
    <t xml:space="preserve">StGrp7</t>
  </si>
  <si>
    <t xml:space="preserve">StGrp8</t>
  </si>
  <si>
    <t xml:space="preserve">StGrp9</t>
  </si>
  <si>
    <t xml:space="preserve">StGrp10</t>
  </si>
  <si>
    <t xml:space="preserve">StGrp11</t>
  </si>
  <si>
    <t xml:space="preserve">StGrp12</t>
  </si>
  <si>
    <t xml:space="preserve">Hidden Helper Cells – Please dont touch</t>
  </si>
  <si>
    <t xml:space="preserve">yes</t>
  </si>
  <si>
    <t xml:space="preserve">KickIn</t>
  </si>
  <si>
    <t xml:space="preserve">blue</t>
  </si>
  <si>
    <t xml:space="preserve">MixRack</t>
  </si>
  <si>
    <t xml:space="preserve">-</t>
  </si>
  <si>
    <t xml:space="preserve">x</t>
  </si>
  <si>
    <t xml:space="preserve">KickOut</t>
  </si>
  <si>
    <t xml:space="preserve">SnTop</t>
  </si>
  <si>
    <t xml:space="preserve">SnBot</t>
  </si>
  <si>
    <t xml:space="preserve">Hat</t>
  </si>
  <si>
    <t xml:space="preserve">Rack1</t>
  </si>
  <si>
    <t xml:space="preserve">Rack2</t>
  </si>
  <si>
    <t xml:space="preserve">Floor1</t>
  </si>
  <si>
    <t xml:space="preserve">Floor2</t>
  </si>
  <si>
    <t xml:space="preserve">Ride</t>
  </si>
  <si>
    <t xml:space="preserve">OH L</t>
  </si>
  <si>
    <t xml:space="preserve">OH R</t>
  </si>
  <si>
    <t xml:space="preserve">Cajon</t>
  </si>
  <si>
    <t xml:space="preserve">spare</t>
  </si>
  <si>
    <t xml:space="preserve">black</t>
  </si>
  <si>
    <t xml:space="preserve">BassDI</t>
  </si>
  <si>
    <t xml:space="preserve">red</t>
  </si>
  <si>
    <t xml:space="preserve">BassMi</t>
  </si>
  <si>
    <t xml:space="preserve">EGit1L</t>
  </si>
  <si>
    <t xml:space="preserve">yellow</t>
  </si>
  <si>
    <t xml:space="preserve">EGit1R</t>
  </si>
  <si>
    <t xml:space="preserve">EGit2L</t>
  </si>
  <si>
    <t xml:space="preserve">EGit2R</t>
  </si>
  <si>
    <t xml:space="preserve">EGit3L</t>
  </si>
  <si>
    <t xml:space="preserve">EGit3R</t>
  </si>
  <si>
    <t xml:space="preserve">AGit1L</t>
  </si>
  <si>
    <t xml:space="preserve">green</t>
  </si>
  <si>
    <t xml:space="preserve">AGit2R</t>
  </si>
  <si>
    <t xml:space="preserve">AGit2</t>
  </si>
  <si>
    <t xml:space="preserve">AGit3</t>
  </si>
  <si>
    <t xml:space="preserve">Key1L</t>
  </si>
  <si>
    <t xml:space="preserve">light blue</t>
  </si>
  <si>
    <t xml:space="preserve">Key1R</t>
  </si>
  <si>
    <t xml:space="preserve">Key2L</t>
  </si>
  <si>
    <t xml:space="preserve">Key2R</t>
  </si>
  <si>
    <t xml:space="preserve">Key3L</t>
  </si>
  <si>
    <t xml:space="preserve">Key3R</t>
  </si>
  <si>
    <t xml:space="preserve">Key4L</t>
  </si>
  <si>
    <t xml:space="preserve">Key4R</t>
  </si>
  <si>
    <t xml:space="preserve">Lead1</t>
  </si>
  <si>
    <t xml:space="preserve">white</t>
  </si>
  <si>
    <t xml:space="preserve">Lead2</t>
  </si>
  <si>
    <t xml:space="preserve">Lead3</t>
  </si>
  <si>
    <t xml:space="preserve">Lead4</t>
  </si>
  <si>
    <t xml:space="preserve">BV1</t>
  </si>
  <si>
    <t xml:space="preserve">purple</t>
  </si>
  <si>
    <t xml:space="preserve">BV2</t>
  </si>
  <si>
    <t xml:space="preserve">BV3</t>
  </si>
  <si>
    <t xml:space="preserve">BV4</t>
  </si>
  <si>
    <t xml:space="preserve">Unassigned</t>
  </si>
  <si>
    <t xml:space="preserve">Indication Start/End Socket
For
Mixrack / Expanders
</t>
  </si>
  <si>
    <t xml:space="preserve">Socket Number</t>
  </si>
  <si>
    <t xml:space="preserve">Local Phantom</t>
  </si>
  <si>
    <t xml:space="preserve">Local Pad</t>
  </si>
  <si>
    <t xml:space="preserve">Local Gain</t>
  </si>
  <si>
    <t xml:space="preserve">DX1 Phantom</t>
  </si>
  <si>
    <t xml:space="preserve">DX1 Pad</t>
  </si>
  <si>
    <t xml:space="preserve">DX1 Gain</t>
  </si>
  <si>
    <t xml:space="preserve">DX3 Phantom</t>
  </si>
  <si>
    <t xml:space="preserve">DX3 Pad</t>
  </si>
  <si>
    <t xml:space="preserve">DX3 Gain</t>
  </si>
  <si>
    <t xml:space="preserve">Slink Phantom</t>
  </si>
  <si>
    <t xml:space="preserve">Slink Pad</t>
  </si>
  <si>
    <t xml:space="preserve">Slink Gain</t>
  </si>
  <si>
    <t xml:space="preserve">Avantis Local End</t>
  </si>
  <si>
    <t xml:space="preserve">(C)DM32 End +  DX1/3 End</t>
  </si>
  <si>
    <t xml:space="preserve">(C)DM48 End + GX4816</t>
  </si>
  <si>
    <t xml:space="preserve">(C)DM64 End</t>
  </si>
  <si>
    <t xml:space="preserve">Slink-DX1 Start</t>
  </si>
  <si>
    <t xml:space="preserve">Slink-DX1 End</t>
  </si>
  <si>
    <t xml:space="preserve">Slink-DX2 Start</t>
  </si>
  <si>
    <t xml:space="preserve">Slink-DX2 End</t>
  </si>
  <si>
    <t xml:space="preserve">DCA</t>
  </si>
  <si>
    <t xml:space="preserve">DCA Name</t>
  </si>
  <si>
    <t xml:space="preserve">DCA Color</t>
  </si>
  <si>
    <t xml:space="preserve">Mono Auxes</t>
  </si>
  <si>
    <t xml:space="preserve">Aux Name</t>
  </si>
  <si>
    <t xml:space="preserve">Aux Color</t>
  </si>
  <si>
    <t xml:space="preserve">Stereo Auxes</t>
  </si>
  <si>
    <t xml:space="preserve">StAux Name</t>
  </si>
  <si>
    <t xml:space="preserve">StAux Color</t>
  </si>
  <si>
    <t xml:space="preserve">Mono Group</t>
  </si>
  <si>
    <t xml:space="preserve">Group Name</t>
  </si>
  <si>
    <t xml:space="preserve">Group Color</t>
  </si>
  <si>
    <t xml:space="preserve">Stereo Group</t>
  </si>
  <si>
    <t xml:space="preserve">StGroup Name</t>
  </si>
  <si>
    <t xml:space="preserve">StGroup Color</t>
  </si>
  <si>
    <t xml:space="preserve">Mono Matrix</t>
  </si>
  <si>
    <t xml:space="preserve">Matrix Name</t>
  </si>
  <si>
    <t xml:space="preserve">Matrix Color</t>
  </si>
  <si>
    <t xml:space="preserve">Stereo Matrix</t>
  </si>
  <si>
    <t xml:space="preserve">StMatrix Name</t>
  </si>
  <si>
    <t xml:space="preserve">StMatrix Color</t>
  </si>
  <si>
    <t xml:space="preserve">Mono FX Send</t>
  </si>
  <si>
    <t xml:space="preserve">FX Name</t>
  </si>
  <si>
    <t xml:space="preserve">FX Color</t>
  </si>
  <si>
    <t xml:space="preserve">Stereo FX Send</t>
  </si>
  <si>
    <t xml:space="preserve">StFX Name</t>
  </si>
  <si>
    <t xml:space="preserve">StFX Color</t>
  </si>
  <si>
    <t xml:space="preserve">FX Return</t>
  </si>
  <si>
    <t xml:space="preserve">FX Return Name</t>
  </si>
  <si>
    <t xml:space="preserve">FX Return Color</t>
  </si>
  <si>
    <t xml:space="preserve">UFX Send</t>
  </si>
  <si>
    <t xml:space="preserve">UFX Name</t>
  </si>
  <si>
    <t xml:space="preserve">UFX Color</t>
  </si>
  <si>
    <t xml:space="preserve">UFX Return</t>
  </si>
  <si>
    <t xml:space="preserve">UFX Return Name</t>
  </si>
  <si>
    <t xml:space="preserve">UFX Return Color</t>
  </si>
  <si>
    <t xml:space="preserve">Drums</t>
  </si>
  <si>
    <t xml:space="preserve">Aux1</t>
  </si>
  <si>
    <t xml:space="preserve">StAux1</t>
  </si>
  <si>
    <t xml:space="preserve">Mtx1</t>
  </si>
  <si>
    <t xml:space="preserve">StMtx1</t>
  </si>
  <si>
    <t xml:space="preserve">Fx1</t>
  </si>
  <si>
    <t xml:space="preserve">StFx1</t>
  </si>
  <si>
    <t xml:space="preserve">FxRet1</t>
  </si>
  <si>
    <t xml:space="preserve">UFx1</t>
  </si>
  <si>
    <t xml:space="preserve">UFxRet1</t>
  </si>
  <si>
    <t xml:space="preserve">Perc</t>
  </si>
  <si>
    <t xml:space="preserve">Aux2</t>
  </si>
  <si>
    <t xml:space="preserve">StAux2</t>
  </si>
  <si>
    <t xml:space="preserve">Mtx2</t>
  </si>
  <si>
    <t xml:space="preserve">StMtx2</t>
  </si>
  <si>
    <t xml:space="preserve">Fx2</t>
  </si>
  <si>
    <t xml:space="preserve">StFx2</t>
  </si>
  <si>
    <t xml:space="preserve">FxRet2</t>
  </si>
  <si>
    <t xml:space="preserve">UFx2</t>
  </si>
  <si>
    <t xml:space="preserve">UFxRet2</t>
  </si>
  <si>
    <t xml:space="preserve">Bass</t>
  </si>
  <si>
    <t xml:space="preserve">Aux3</t>
  </si>
  <si>
    <t xml:space="preserve">StAux3</t>
  </si>
  <si>
    <t xml:space="preserve">Mtx3</t>
  </si>
  <si>
    <t xml:space="preserve">StMtx3</t>
  </si>
  <si>
    <t xml:space="preserve">Fx3</t>
  </si>
  <si>
    <t xml:space="preserve">StFx3</t>
  </si>
  <si>
    <t xml:space="preserve">FxRet3</t>
  </si>
  <si>
    <t xml:space="preserve">UFx3</t>
  </si>
  <si>
    <t xml:space="preserve">UFxRet3</t>
  </si>
  <si>
    <t xml:space="preserve">Egit</t>
  </si>
  <si>
    <t xml:space="preserve">Aux4</t>
  </si>
  <si>
    <t xml:space="preserve">StAux4</t>
  </si>
  <si>
    <t xml:space="preserve">Mtx4</t>
  </si>
  <si>
    <t xml:space="preserve">StMtx4</t>
  </si>
  <si>
    <t xml:space="preserve">Fx4</t>
  </si>
  <si>
    <t xml:space="preserve">StFx4</t>
  </si>
  <si>
    <t xml:space="preserve">FxRet4</t>
  </si>
  <si>
    <t xml:space="preserve">UFx4</t>
  </si>
  <si>
    <t xml:space="preserve">UFxRet4</t>
  </si>
  <si>
    <t xml:space="preserve">Accu</t>
  </si>
  <si>
    <t xml:space="preserve">Aux5</t>
  </si>
  <si>
    <t xml:space="preserve">StAux5</t>
  </si>
  <si>
    <t xml:space="preserve">Mtx5</t>
  </si>
  <si>
    <t xml:space="preserve">StMtx5</t>
  </si>
  <si>
    <t xml:space="preserve">Fx5</t>
  </si>
  <si>
    <t xml:space="preserve">StFx5</t>
  </si>
  <si>
    <t xml:space="preserve">FxRet5</t>
  </si>
  <si>
    <t xml:space="preserve">UFx5</t>
  </si>
  <si>
    <t xml:space="preserve">UFxRet5</t>
  </si>
  <si>
    <t xml:space="preserve">Keys</t>
  </si>
  <si>
    <t xml:space="preserve">Aux6</t>
  </si>
  <si>
    <t xml:space="preserve">StAux6</t>
  </si>
  <si>
    <t xml:space="preserve">Mtx6</t>
  </si>
  <si>
    <t xml:space="preserve">StMtx6</t>
  </si>
  <si>
    <t xml:space="preserve">Fx6</t>
  </si>
  <si>
    <t xml:space="preserve">StFx6</t>
  </si>
  <si>
    <t xml:space="preserve">FxRet6</t>
  </si>
  <si>
    <t xml:space="preserve">UFx6</t>
  </si>
  <si>
    <t xml:space="preserve">UFxRet6</t>
  </si>
  <si>
    <t xml:space="preserve">Lead</t>
  </si>
  <si>
    <t xml:space="preserve">Aux7</t>
  </si>
  <si>
    <t xml:space="preserve">StAux7</t>
  </si>
  <si>
    <t xml:space="preserve">Mtx7</t>
  </si>
  <si>
    <t xml:space="preserve">StMtx7</t>
  </si>
  <si>
    <t xml:space="preserve">Fx7</t>
  </si>
  <si>
    <t xml:space="preserve">StFx7</t>
  </si>
  <si>
    <t xml:space="preserve">FxRet7</t>
  </si>
  <si>
    <t xml:space="preserve">UFx7</t>
  </si>
  <si>
    <t xml:space="preserve">UFxRet7</t>
  </si>
  <si>
    <t xml:space="preserve">BV</t>
  </si>
  <si>
    <t xml:space="preserve">Aux8</t>
  </si>
  <si>
    <t xml:space="preserve">StAux8</t>
  </si>
  <si>
    <t xml:space="preserve">Mtx8</t>
  </si>
  <si>
    <t xml:space="preserve">StMtx8</t>
  </si>
  <si>
    <t xml:space="preserve">Fx8</t>
  </si>
  <si>
    <t xml:space="preserve">StFx8</t>
  </si>
  <si>
    <t xml:space="preserve">FxRet8</t>
  </si>
  <si>
    <t xml:space="preserve">UFx8</t>
  </si>
  <si>
    <t xml:space="preserve">UFxRet8</t>
  </si>
  <si>
    <t xml:space="preserve">FX</t>
  </si>
  <si>
    <t xml:space="preserve">Aux9</t>
  </si>
  <si>
    <t xml:space="preserve">StAux9</t>
  </si>
  <si>
    <t xml:space="preserve">Mtx9</t>
  </si>
  <si>
    <t xml:space="preserve">StMtx9</t>
  </si>
  <si>
    <t xml:space="preserve">Fx9</t>
  </si>
  <si>
    <t xml:space="preserve">StFx9</t>
  </si>
  <si>
    <t xml:space="preserve">FxRet9</t>
  </si>
  <si>
    <t xml:space="preserve">Dca10</t>
  </si>
  <si>
    <t xml:space="preserve">Aux10</t>
  </si>
  <si>
    <t xml:space="preserve">StAux10</t>
  </si>
  <si>
    <t xml:space="preserve">Mtx10</t>
  </si>
  <si>
    <t xml:space="preserve">StMtx10</t>
  </si>
  <si>
    <t xml:space="preserve">Fx10</t>
  </si>
  <si>
    <t xml:space="preserve">StFx10</t>
  </si>
  <si>
    <t xml:space="preserve">FxRet10</t>
  </si>
  <si>
    <t xml:space="preserve">Dca11</t>
  </si>
  <si>
    <t xml:space="preserve">Aux11</t>
  </si>
  <si>
    <t xml:space="preserve">StAux11</t>
  </si>
  <si>
    <t xml:space="preserve">Mtx11</t>
  </si>
  <si>
    <t xml:space="preserve">StMtx11</t>
  </si>
  <si>
    <t xml:space="preserve">Fx11</t>
  </si>
  <si>
    <t xml:space="preserve">StFx11</t>
  </si>
  <si>
    <t xml:space="preserve">FxRet11</t>
  </si>
  <si>
    <t xml:space="preserve">Dca12</t>
  </si>
  <si>
    <t xml:space="preserve">Aux12</t>
  </si>
  <si>
    <t xml:space="preserve">StAux12</t>
  </si>
  <si>
    <t xml:space="preserve">Mtx12</t>
  </si>
  <si>
    <t xml:space="preserve">StMtx12</t>
  </si>
  <si>
    <t xml:space="preserve">Fx12</t>
  </si>
  <si>
    <t xml:space="preserve">StFx12</t>
  </si>
  <si>
    <t xml:space="preserve">FxRet12</t>
  </si>
  <si>
    <t xml:space="preserve">Dca13</t>
  </si>
  <si>
    <t xml:space="preserve">Aux13</t>
  </si>
  <si>
    <t xml:space="preserve">StAux13</t>
  </si>
  <si>
    <t xml:space="preserve">Grp13</t>
  </si>
  <si>
    <t xml:space="preserve">StGrp13</t>
  </si>
  <si>
    <t xml:space="preserve">Mtx13</t>
  </si>
  <si>
    <t xml:space="preserve">StMtx13</t>
  </si>
  <si>
    <t xml:space="preserve">Fx13</t>
  </si>
  <si>
    <t xml:space="preserve">StFx13</t>
  </si>
  <si>
    <t xml:space="preserve">FxRet13</t>
  </si>
  <si>
    <t xml:space="preserve">Dca14</t>
  </si>
  <si>
    <t xml:space="preserve">Aux14</t>
  </si>
  <si>
    <t xml:space="preserve">StAux14</t>
  </si>
  <si>
    <t xml:space="preserve">Grp14</t>
  </si>
  <si>
    <t xml:space="preserve">StGrp14</t>
  </si>
  <si>
    <t xml:space="preserve">Mtx14</t>
  </si>
  <si>
    <t xml:space="preserve">StMtx14</t>
  </si>
  <si>
    <t xml:space="preserve">Fx14</t>
  </si>
  <si>
    <t xml:space="preserve">StFx14</t>
  </si>
  <si>
    <t xml:space="preserve">FxRet14</t>
  </si>
  <si>
    <t xml:space="preserve">Dca15</t>
  </si>
  <si>
    <t xml:space="preserve">Aux15</t>
  </si>
  <si>
    <t xml:space="preserve">StAux15</t>
  </si>
  <si>
    <t xml:space="preserve">Grp15</t>
  </si>
  <si>
    <t xml:space="preserve">StGrp15</t>
  </si>
  <si>
    <t xml:space="preserve">Mtx15</t>
  </si>
  <si>
    <t xml:space="preserve">StMtx15</t>
  </si>
  <si>
    <t xml:space="preserve">Fx15</t>
  </si>
  <si>
    <t xml:space="preserve">StFx15</t>
  </si>
  <si>
    <t xml:space="preserve">FxRet15</t>
  </si>
  <si>
    <t xml:space="preserve">Dca16</t>
  </si>
  <si>
    <t xml:space="preserve">Aux16</t>
  </si>
  <si>
    <t xml:space="preserve">StAux16</t>
  </si>
  <si>
    <t xml:space="preserve">Grp16</t>
  </si>
  <si>
    <t xml:space="preserve">StGrp16</t>
  </si>
  <si>
    <t xml:space="preserve">Mtx16</t>
  </si>
  <si>
    <t xml:space="preserve">StMtx16</t>
  </si>
  <si>
    <t xml:space="preserve">Fx16</t>
  </si>
  <si>
    <t xml:space="preserve">StFx16</t>
  </si>
  <si>
    <t xml:space="preserve">FxRet16</t>
  </si>
  <si>
    <t xml:space="preserve">Dca17</t>
  </si>
  <si>
    <t xml:space="preserve">Aux17</t>
  </si>
  <si>
    <t xml:space="preserve">StAux17</t>
  </si>
  <si>
    <t xml:space="preserve">Grp17</t>
  </si>
  <si>
    <t xml:space="preserve">StGrp17</t>
  </si>
  <si>
    <t xml:space="preserve">Mtx17</t>
  </si>
  <si>
    <t xml:space="preserve">StMtx17</t>
  </si>
  <si>
    <t xml:space="preserve">Dca18</t>
  </si>
  <si>
    <t xml:space="preserve">Aux18</t>
  </si>
  <si>
    <t xml:space="preserve">StAux18</t>
  </si>
  <si>
    <t xml:space="preserve">Grp18</t>
  </si>
  <si>
    <t xml:space="preserve">StGrp18</t>
  </si>
  <si>
    <t xml:space="preserve">Mtx18</t>
  </si>
  <si>
    <t xml:space="preserve">StMtx18</t>
  </si>
  <si>
    <t xml:space="preserve">Dca19</t>
  </si>
  <si>
    <t xml:space="preserve">Aux19</t>
  </si>
  <si>
    <t xml:space="preserve">StAux19</t>
  </si>
  <si>
    <t xml:space="preserve">Grp19</t>
  </si>
  <si>
    <t xml:space="preserve">StGrp19</t>
  </si>
  <si>
    <t xml:space="preserve">Mtx19</t>
  </si>
  <si>
    <t xml:space="preserve">StMtx19</t>
  </si>
  <si>
    <t xml:space="preserve">Dca20</t>
  </si>
  <si>
    <t xml:space="preserve">Aux20</t>
  </si>
  <si>
    <t xml:space="preserve">StAux20</t>
  </si>
  <si>
    <t xml:space="preserve">Grp20</t>
  </si>
  <si>
    <t xml:space="preserve">StGrp20</t>
  </si>
  <si>
    <t xml:space="preserve">Mtx20</t>
  </si>
  <si>
    <t xml:space="preserve">StMtx20</t>
  </si>
  <si>
    <t xml:space="preserve">Dca21</t>
  </si>
  <si>
    <t xml:space="preserve">Aux21</t>
  </si>
  <si>
    <t xml:space="preserve">StAux21</t>
  </si>
  <si>
    <t xml:space="preserve">Grp21</t>
  </si>
  <si>
    <t xml:space="preserve">StGrp21</t>
  </si>
  <si>
    <t xml:space="preserve">Mtx21</t>
  </si>
  <si>
    <t xml:space="preserve">StMtx21</t>
  </si>
  <si>
    <t xml:space="preserve">Dca22</t>
  </si>
  <si>
    <t xml:space="preserve">Aux22</t>
  </si>
  <si>
    <t xml:space="preserve">StAux22</t>
  </si>
  <si>
    <t xml:space="preserve">Grp22</t>
  </si>
  <si>
    <t xml:space="preserve">StGrp22</t>
  </si>
  <si>
    <t xml:space="preserve">Mtx22</t>
  </si>
  <si>
    <t xml:space="preserve">StMtx22</t>
  </si>
  <si>
    <t xml:space="preserve">Dca23</t>
  </si>
  <si>
    <t xml:space="preserve">Aux23</t>
  </si>
  <si>
    <t xml:space="preserve">StAux23</t>
  </si>
  <si>
    <t xml:space="preserve">Grp23</t>
  </si>
  <si>
    <t xml:space="preserve">StGrp23</t>
  </si>
  <si>
    <t xml:space="preserve">Mtx23</t>
  </si>
  <si>
    <t xml:space="preserve">StMtx23</t>
  </si>
  <si>
    <t xml:space="preserve">Dca24</t>
  </si>
  <si>
    <t xml:space="preserve">Aux24</t>
  </si>
  <si>
    <t xml:space="preserve">StAux24</t>
  </si>
  <si>
    <t xml:space="preserve">Grp24</t>
  </si>
  <si>
    <t xml:space="preserve">StGrp24</t>
  </si>
  <si>
    <t xml:space="preserve">Mtx24</t>
  </si>
  <si>
    <t xml:space="preserve">StMtx24</t>
  </si>
  <si>
    <t xml:space="preserve">Aux25</t>
  </si>
  <si>
    <t xml:space="preserve">StAux25</t>
  </si>
  <si>
    <t xml:space="preserve">Grp25</t>
  </si>
  <si>
    <t xml:space="preserve">StGrp25</t>
  </si>
  <si>
    <t xml:space="preserve">Mtx25</t>
  </si>
  <si>
    <t xml:space="preserve">StMtx25</t>
  </si>
  <si>
    <t xml:space="preserve">Aux26</t>
  </si>
  <si>
    <t xml:space="preserve">StAux26</t>
  </si>
  <si>
    <t xml:space="preserve">Grp26</t>
  </si>
  <si>
    <t xml:space="preserve">StGrp26</t>
  </si>
  <si>
    <t xml:space="preserve">Mtx26</t>
  </si>
  <si>
    <t xml:space="preserve">StMtx26</t>
  </si>
  <si>
    <t xml:space="preserve">Aux27</t>
  </si>
  <si>
    <t xml:space="preserve">StAux27</t>
  </si>
  <si>
    <t xml:space="preserve">Grp27</t>
  </si>
  <si>
    <t xml:space="preserve">StGrp27</t>
  </si>
  <si>
    <t xml:space="preserve">Mtx27</t>
  </si>
  <si>
    <t xml:space="preserve">StMtx27</t>
  </si>
  <si>
    <t xml:space="preserve">Aux28</t>
  </si>
  <si>
    <t xml:space="preserve">StAux28</t>
  </si>
  <si>
    <t xml:space="preserve">Grp28</t>
  </si>
  <si>
    <t xml:space="preserve">StGrp28</t>
  </si>
  <si>
    <t xml:space="preserve">Mtx28</t>
  </si>
  <si>
    <t xml:space="preserve">StMtx28</t>
  </si>
  <si>
    <t xml:space="preserve">Aux29</t>
  </si>
  <si>
    <t xml:space="preserve">StAux29</t>
  </si>
  <si>
    <t xml:space="preserve">Grp29</t>
  </si>
  <si>
    <t xml:space="preserve">StGrp29</t>
  </si>
  <si>
    <t xml:space="preserve">Mtx29</t>
  </si>
  <si>
    <t xml:space="preserve">StMtx29</t>
  </si>
  <si>
    <t xml:space="preserve">Aux30</t>
  </si>
  <si>
    <t xml:space="preserve">StAux30</t>
  </si>
  <si>
    <t xml:space="preserve">Grp30</t>
  </si>
  <si>
    <t xml:space="preserve">StGrp30</t>
  </si>
  <si>
    <t xml:space="preserve">Mtx30</t>
  </si>
  <si>
    <t xml:space="preserve">StMtx30</t>
  </si>
  <si>
    <t xml:space="preserve">Aux31</t>
  </si>
  <si>
    <t xml:space="preserve">StAux31</t>
  </si>
  <si>
    <t xml:space="preserve">Grp31</t>
  </si>
  <si>
    <t xml:space="preserve">StGrp31</t>
  </si>
  <si>
    <t xml:space="preserve">Mtx31</t>
  </si>
  <si>
    <t xml:space="preserve">StMtx31</t>
  </si>
  <si>
    <t xml:space="preserve">Aux32</t>
  </si>
  <si>
    <t xml:space="preserve">Grp32</t>
  </si>
  <si>
    <t xml:space="preserve">Mtx32</t>
  </si>
  <si>
    <t xml:space="preserve">Aux33</t>
  </si>
  <si>
    <t xml:space="preserve">Grp33</t>
  </si>
  <si>
    <t xml:space="preserve">Mtx33</t>
  </si>
  <si>
    <t xml:space="preserve">Aux34</t>
  </si>
  <si>
    <t xml:space="preserve">Grp34</t>
  </si>
  <si>
    <t xml:space="preserve">Mtx34</t>
  </si>
  <si>
    <t xml:space="preserve">Aux35</t>
  </si>
  <si>
    <t xml:space="preserve">Grp35</t>
  </si>
  <si>
    <t xml:space="preserve">Mtx35</t>
  </si>
  <si>
    <t xml:space="preserve">Aux36</t>
  </si>
  <si>
    <t xml:space="preserve">Grp36</t>
  </si>
  <si>
    <t xml:space="preserve">Mtx36</t>
  </si>
  <si>
    <t xml:space="preserve">Aux37</t>
  </si>
  <si>
    <t xml:space="preserve">Grp37</t>
  </si>
  <si>
    <t xml:space="preserve">Mtx37</t>
  </si>
  <si>
    <t xml:space="preserve">Aux38</t>
  </si>
  <si>
    <t xml:space="preserve">Grp38</t>
  </si>
  <si>
    <t xml:space="preserve">Mtx38</t>
  </si>
  <si>
    <t xml:space="preserve">Aux39</t>
  </si>
  <si>
    <t xml:space="preserve">Grp39</t>
  </si>
  <si>
    <t xml:space="preserve">Mtx39</t>
  </si>
  <si>
    <t xml:space="preserve">Aux40</t>
  </si>
  <si>
    <t xml:space="preserve">Grp40</t>
  </si>
  <si>
    <t xml:space="preserve">Mtx40</t>
  </si>
  <si>
    <t xml:space="preserve">Aux41</t>
  </si>
  <si>
    <t xml:space="preserve">Grp41</t>
  </si>
  <si>
    <t xml:space="preserve">Mtx41</t>
  </si>
  <si>
    <t xml:space="preserve">Aux42</t>
  </si>
  <si>
    <t xml:space="preserve">Grp42</t>
  </si>
  <si>
    <t xml:space="preserve">Mtx42</t>
  </si>
  <si>
    <t xml:space="preserve">Aux43</t>
  </si>
  <si>
    <t xml:space="preserve">Grp43</t>
  </si>
  <si>
    <t xml:space="preserve">Mtx43</t>
  </si>
  <si>
    <t xml:space="preserve">Aux44</t>
  </si>
  <si>
    <t xml:space="preserve">Grp44</t>
  </si>
  <si>
    <t xml:space="preserve">Mtx44</t>
  </si>
  <si>
    <t xml:space="preserve">Aux45</t>
  </si>
  <si>
    <t xml:space="preserve">Grp45</t>
  </si>
  <si>
    <t xml:space="preserve">Mtx45</t>
  </si>
  <si>
    <t xml:space="preserve">Aux46</t>
  </si>
  <si>
    <t xml:space="preserve">Grp46</t>
  </si>
  <si>
    <t xml:space="preserve">Mtx46</t>
  </si>
  <si>
    <t xml:space="preserve">Aux47</t>
  </si>
  <si>
    <t xml:space="preserve">Grp47</t>
  </si>
  <si>
    <t xml:space="preserve">Mtx47</t>
  </si>
  <si>
    <t xml:space="preserve">Aux48</t>
  </si>
  <si>
    <t xml:space="preserve">Grp48</t>
  </si>
  <si>
    <t xml:space="preserve">Mtx48</t>
  </si>
  <si>
    <t xml:space="preserve">Aux49</t>
  </si>
  <si>
    <t xml:space="preserve">Grp49</t>
  </si>
  <si>
    <t xml:space="preserve">Mtx49</t>
  </si>
  <si>
    <t xml:space="preserve">Aux50</t>
  </si>
  <si>
    <t xml:space="preserve">Grp50</t>
  </si>
  <si>
    <t xml:space="preserve">Mtx50</t>
  </si>
  <si>
    <t xml:space="preserve">Aux51</t>
  </si>
  <si>
    <t xml:space="preserve">Grp51</t>
  </si>
  <si>
    <t xml:space="preserve">Mtx51</t>
  </si>
  <si>
    <t xml:space="preserve">Aux52</t>
  </si>
  <si>
    <t xml:space="preserve">Grp52</t>
  </si>
  <si>
    <t xml:space="preserve">Mtx52</t>
  </si>
  <si>
    <t xml:space="preserve">Aux53</t>
  </si>
  <si>
    <t xml:space="preserve">Grp53</t>
  </si>
  <si>
    <t xml:space="preserve">Mtx53</t>
  </si>
  <si>
    <t xml:space="preserve">Aux54</t>
  </si>
  <si>
    <t xml:space="preserve">Grp54</t>
  </si>
  <si>
    <t xml:space="preserve">Mtx54</t>
  </si>
  <si>
    <t xml:space="preserve">Aux55</t>
  </si>
  <si>
    <t xml:space="preserve">Grp55</t>
  </si>
  <si>
    <t xml:space="preserve">Mtx55</t>
  </si>
  <si>
    <t xml:space="preserve">Aux56</t>
  </si>
  <si>
    <t xml:space="preserve">Grp56</t>
  </si>
  <si>
    <t xml:space="preserve">Mtx56</t>
  </si>
  <si>
    <t xml:space="preserve">Aux57</t>
  </si>
  <si>
    <t xml:space="preserve">Grp57</t>
  </si>
  <si>
    <t xml:space="preserve">Mtx57</t>
  </si>
  <si>
    <t xml:space="preserve">Aux58</t>
  </si>
  <si>
    <t xml:space="preserve">Grp58</t>
  </si>
  <si>
    <t xml:space="preserve">Mtx58</t>
  </si>
  <si>
    <t xml:space="preserve">Aux59</t>
  </si>
  <si>
    <t xml:space="preserve">Grp59</t>
  </si>
  <si>
    <t xml:space="preserve">Mtx59</t>
  </si>
  <si>
    <t xml:space="preserve">Aux60</t>
  </si>
  <si>
    <t xml:space="preserve">Grp60</t>
  </si>
  <si>
    <t xml:space="preserve">Mtx60</t>
  </si>
  <si>
    <t xml:space="preserve">Aux61</t>
  </si>
  <si>
    <t xml:space="preserve">Grp61</t>
  </si>
  <si>
    <t xml:space="preserve">Mtx61</t>
  </si>
  <si>
    <t xml:space="preserve">Aux62</t>
  </si>
  <si>
    <t xml:space="preserve">Grp62</t>
  </si>
  <si>
    <t xml:space="preserve">Mtx62</t>
  </si>
  <si>
    <t xml:space="preserve">Mono</t>
  </si>
  <si>
    <t xml:space="preserve">Stereo</t>
  </si>
  <si>
    <t xml:space="preserve">Group</t>
  </si>
  <si>
    <t xml:space="preserve">Aux</t>
  </si>
  <si>
    <t xml:space="preserve">Matrix</t>
  </si>
  <si>
    <t xml:space="preserve">This is a report from the „Groups“ sheet. It does not change the Mixer Config. 
When you change the default name in the „Groups“ sheet, 
the corresponding value is increased here.</t>
  </si>
  <si>
    <t xml:space="preserve">Property</t>
  </si>
  <si>
    <t xml:space="preserve">Value</t>
  </si>
  <si>
    <t xml:space="preserve">Description</t>
  </si>
  <si>
    <t xml:space="preserve">Version</t>
  </si>
  <si>
    <t xml:space="preserve">Version of the sheet, indicates how the cell/columns are arranged.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</si>
</sst>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C9211E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B3B3B3"/>
        <bgColor rgb="FFB7B3CA"/>
      </patternFill>
    </fill>
    <fill>
      <patternFill patternType="solid">
        <fgColor rgb="FFCCCCCC"/>
        <bgColor rgb="FFC6D9F1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3B3B3"/>
      </patternFill>
    </fill>
    <fill>
      <patternFill patternType="solid">
        <fgColor rgb="FFFFB66C"/>
        <bgColor rgb="FFFF99CC"/>
      </patternFill>
    </fill>
    <fill>
      <patternFill patternType="solid">
        <fgColor rgb="FFAFD095"/>
        <bgColor rgb="FFCCCCCC"/>
      </patternFill>
    </fill>
    <fill>
      <patternFill patternType="solid">
        <fgColor rgb="FFFF3838"/>
        <bgColor rgb="FFC9211E"/>
      </patternFill>
    </fill>
    <fill>
      <patternFill patternType="solid">
        <fgColor rgb="FF83CAFF"/>
        <bgColor rgb="FFB7B3CA"/>
      </patternFill>
    </fill>
    <fill>
      <patternFill patternType="solid">
        <fgColor rgb="FF004586"/>
        <bgColor rgb="FF333399"/>
      </patternFill>
    </fill>
    <fill>
      <patternFill patternType="solid">
        <fgColor rgb="FFA1467E"/>
        <bgColor rgb="FF7030A0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A1467E"/>
      <rgbColor rgb="FFFFF5CE"/>
      <rgbColor rgb="FFAFD095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CCCC"/>
      <rgbColor rgb="FFFFFF99"/>
      <rgbColor rgb="FF83CAFF"/>
      <rgbColor rgb="FFFF99CC"/>
      <rgbColor rgb="FFB3B3B3"/>
      <rgbColor rgb="FFFFB66C"/>
      <rgbColor rgb="FF3366FF"/>
      <rgbColor rgb="FF33CCCC"/>
      <rgbColor rgb="FF92D050"/>
      <rgbColor rgb="FFFFCC00"/>
      <rgbColor rgb="FFFF9900"/>
      <rgbColor rgb="FFFF3838"/>
      <rgbColor rgb="FF558ED5"/>
      <rgbColor rgb="FFBF819E"/>
      <rgbColor rgb="FF004586"/>
      <rgbColor rgb="FF00A933"/>
      <rgbColor rgb="FF003300"/>
      <rgbColor rgb="FF333300"/>
      <rgbColor rgb="FFC9211E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F15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2" activeCellId="0" sqref="C2"/>
    </sheetView>
  </sheetViews>
  <sheetFormatPr defaultColWidth="11.00390625" defaultRowHeight="13.8" customHeight="true" zeroHeight="false" outlineLevelRow="0" outlineLevelCol="0"/>
  <cols>
    <col collapsed="false" customWidth="true" hidden="false" outlineLevel="0" max="3" min="3" style="1" width="10.85"/>
    <col collapsed="false" customWidth="false" hidden="false" outlineLevel="0" max="4" min="4" style="2" width="11"/>
    <col collapsed="false" customWidth="true" hidden="false" outlineLevel="0" max="5" min="5" style="2" width="17.84"/>
    <col collapsed="false" customWidth="true" hidden="false" outlineLevel="0" max="9" min="6" style="2" width="13.8"/>
    <col collapsed="false" customWidth="true" hidden="false" outlineLevel="0" max="12" min="10" style="2" width="10.85"/>
    <col collapsed="false" customWidth="true" hidden="false" outlineLevel="0" max="13" min="13" style="2" width="10"/>
    <col collapsed="false" customWidth="true" hidden="false" outlineLevel="0" max="15" min="14" style="2" width="10.42"/>
    <col collapsed="false" customWidth="true" hidden="false" outlineLevel="0" max="27" min="16" style="2" width="4.29"/>
    <col collapsed="false" customWidth="true" hidden="false" outlineLevel="0" max="28" min="28" style="2" width="10.42"/>
    <col collapsed="false" customWidth="true" hidden="false" outlineLevel="0" max="40" min="29" style="2" width="4.29"/>
    <col collapsed="false" customWidth="true" hidden="false" outlineLevel="0" max="41" min="41" style="3" width="10.42"/>
    <col collapsed="false" customWidth="true" hidden="false" outlineLevel="0" max="42" min="42" style="2" width="10.42"/>
    <col collapsed="false" customWidth="false" hidden="false" outlineLevel="0" max="43" min="43" style="2" width="11"/>
    <col collapsed="false" customWidth="true" hidden="false" outlineLevel="0" max="68" min="45" style="2" width="4.29"/>
    <col collapsed="false" customWidth="true" hidden="false" outlineLevel="0" max="77" min="70" style="2" width="4.29"/>
    <col collapsed="false" customWidth="true" hidden="true" outlineLevel="0" max="102" min="79" style="2" width="4.29"/>
    <col collapsed="false" customWidth="false" hidden="true" outlineLevel="0" max="103" min="103" style="2" width="11"/>
    <col collapsed="false" customWidth="true" hidden="true" outlineLevel="0" max="115" min="104" style="2" width="4.29"/>
    <col collapsed="false" customWidth="true" hidden="true" outlineLevel="0" max="116" min="116" style="2" width="10.42"/>
    <col collapsed="false" customWidth="true" hidden="true" outlineLevel="0" max="128" min="117" style="2" width="4.29"/>
    <col collapsed="false" customWidth="true" hidden="false" outlineLevel="0" max="129" min="129" style="3" width="35.84"/>
  </cols>
  <sheetData>
    <row r="1" s="9" customFormat="true" ht="75.25" hidden="false" customHeight="tru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  <c r="P1" s="8" t="str">
        <f aca="false">CONCATENATE("Grp1 - ",Groups!P2)</f>
        <v>Grp1 - Grp1</v>
      </c>
      <c r="Q1" s="8" t="str">
        <f aca="false">CONCATENATE("Grp2 - ",Groups!P3)</f>
        <v>Grp2 - Grp2</v>
      </c>
      <c r="R1" s="8" t="str">
        <f aca="false">CONCATENATE("Grp3 - ",Groups!P4)</f>
        <v>Grp3 - Grp3</v>
      </c>
      <c r="S1" s="8" t="str">
        <f aca="false">CONCATENATE("Grp4 - ",Groups!P5)</f>
        <v>Grp4 - Grp4</v>
      </c>
      <c r="T1" s="8" t="str">
        <f aca="false">CONCATENATE("Grp5 - ",Groups!P6)</f>
        <v>Grp5 - Grp5</v>
      </c>
      <c r="U1" s="8" t="str">
        <f aca="false">CONCATENATE("Grp6 - ",Groups!P7)</f>
        <v>Grp6 - Grp6</v>
      </c>
      <c r="V1" s="8" t="str">
        <f aca="false">CONCATENATE("Grp7 - ",Groups!P8)</f>
        <v>Grp7 - Grp7</v>
      </c>
      <c r="W1" s="8" t="str">
        <f aca="false">CONCATENATE("Grp8 - ",Groups!$P9)</f>
        <v>Grp8 - Grp8</v>
      </c>
      <c r="X1" s="8" t="str">
        <f aca="false">CONCATENATE("Grp9 - ",Groups!$P10)</f>
        <v>Grp9 - Grp9</v>
      </c>
      <c r="Y1" s="8" t="str">
        <f aca="false">CONCATENATE("Grp10 - ",Groups!$P11)</f>
        <v>Grp10 - Grp10</v>
      </c>
      <c r="Z1" s="8" t="str">
        <f aca="false">CONCATENATE("Grp11 - ",Groups!$P12)</f>
        <v>Grp11 - Grp11</v>
      </c>
      <c r="AA1" s="8" t="str">
        <f aca="false">CONCATENATE("Grp12 - ",Groups!$P13)</f>
        <v>Grp12 - Grp12</v>
      </c>
      <c r="AB1" s="5"/>
      <c r="AC1" s="8" t="str">
        <f aca="false">CONCATENATE("StGrp1 - ",Groups!U2)</f>
        <v>StGrp1 - StGrp1</v>
      </c>
      <c r="AD1" s="8" t="str">
        <f aca="false">CONCATENATE("StGrp2 - ",Groups!U3)</f>
        <v>StGrp2 - StGrp2</v>
      </c>
      <c r="AE1" s="8" t="str">
        <f aca="false">CONCATENATE("StGrp3 - ",Groups!U4)</f>
        <v>StGrp3 - StGrp3</v>
      </c>
      <c r="AF1" s="8" t="str">
        <f aca="false">CONCATENATE("StGrp4 - ",Groups!U5)</f>
        <v>StGrp4 - StGrp4</v>
      </c>
      <c r="AG1" s="8" t="str">
        <f aca="false">CONCATENATE("StGrp5 - ",Groups!U6)</f>
        <v>StGrp5 - StGrp5</v>
      </c>
      <c r="AH1" s="8" t="str">
        <f aca="false">CONCATENATE("StGrp6 - ",Groups!U7)</f>
        <v>StGrp6 - StGrp6</v>
      </c>
      <c r="AI1" s="8" t="str">
        <f aca="false">CONCATENATE("StGrp7 - ",Groups!U8)</f>
        <v>StGrp7 - StGrp7</v>
      </c>
      <c r="AJ1" s="8" t="str">
        <f aca="false">CONCATENATE("StGrp8 - ",Groups!U9)</f>
        <v>StGrp8 - StGrp8</v>
      </c>
      <c r="AK1" s="8" t="str">
        <f aca="false">CONCATENATE("StGrp9 - ",Groups!U10)</f>
        <v>StGrp9 - StGrp9</v>
      </c>
      <c r="AL1" s="8" t="str">
        <f aca="false">CONCATENATE("StGrp10 - ",Groups!U11)</f>
        <v>StGrp10 - StGrp10</v>
      </c>
      <c r="AM1" s="8" t="str">
        <f aca="false">CONCATENATE("StGrp11 - ",Groups!U12)</f>
        <v>StGrp11 - StGrp11</v>
      </c>
      <c r="AN1" s="8" t="str">
        <f aca="false">CONCATENATE("StGrp12 - ",Groups!U13)</f>
        <v>StGrp12 - StGrp12</v>
      </c>
      <c r="AO1" s="5"/>
      <c r="AP1" s="5" t="s">
        <v>14</v>
      </c>
      <c r="AQ1" s="5" t="s">
        <v>15</v>
      </c>
      <c r="AS1" s="8" t="str">
        <f aca="false">CONCATENATE("DCA1 - ",Groups!B2)</f>
        <v>DCA1 - Drums</v>
      </c>
      <c r="AT1" s="8" t="str">
        <f aca="false">CONCATENATE("DCA2 - ",Groups!B3)</f>
        <v>DCA2 - Perc</v>
      </c>
      <c r="AU1" s="8" t="str">
        <f aca="false">CONCATENATE("DCA3 - ",Groups!B4)</f>
        <v>DCA3 - Bass</v>
      </c>
      <c r="AV1" s="8" t="str">
        <f aca="false">CONCATENATE("DCA4 - ",Groups!B5)</f>
        <v>DCA4 - Egit</v>
      </c>
      <c r="AW1" s="8" t="str">
        <f aca="false">CONCATENATE("DCA5 - ",Groups!B6)</f>
        <v>DCA5 - Accu</v>
      </c>
      <c r="AX1" s="8" t="str">
        <f aca="false">CONCATENATE("DCA6 - ",Groups!B7)</f>
        <v>DCA6 - Keys</v>
      </c>
      <c r="AY1" s="8" t="str">
        <f aca="false">CONCATENATE("DCA7 - ",Groups!B8)</f>
        <v>DCA7 - Lead</v>
      </c>
      <c r="AZ1" s="8" t="str">
        <f aca="false">CONCATENATE("DCA8 - ",Groups!B9)</f>
        <v>DCA8 - BV</v>
      </c>
      <c r="BA1" s="8" t="str">
        <f aca="false">CONCATENATE("DCA9 - ",Groups!B10)</f>
        <v>DCA9 - FX</v>
      </c>
      <c r="BB1" s="8" t="str">
        <f aca="false">CONCATENATE("DCA10 - ",Groups!B11)</f>
        <v>DCA10 - Dca10</v>
      </c>
      <c r="BC1" s="8" t="str">
        <f aca="false">CONCATENATE("DCA11 - ",Groups!B12)</f>
        <v>DCA11 - Dca11</v>
      </c>
      <c r="BD1" s="8" t="str">
        <f aca="false">CONCATENATE("DCA12 - ",Groups!B13)</f>
        <v>DCA12 - Dca12</v>
      </c>
      <c r="BE1" s="8" t="str">
        <f aca="false">CONCATENATE("DCA13 - ",Groups!B14)</f>
        <v>DCA13 - Dca13</v>
      </c>
      <c r="BF1" s="8" t="str">
        <f aca="false">CONCATENATE("DCA14 - ",Groups!B15)</f>
        <v>DCA14 - Dca14</v>
      </c>
      <c r="BG1" s="8" t="str">
        <f aca="false">CONCATENATE("DCA15 - ",Groups!B16)</f>
        <v>DCA15 - Dca15</v>
      </c>
      <c r="BH1" s="8" t="str">
        <f aca="false">CONCATENATE("DCA16 - ",Groups!B17)</f>
        <v>DCA16 - Dca16</v>
      </c>
      <c r="BI1" s="8" t="str">
        <f aca="false">CONCATENATE("DCA17 - ",Groups!B18)</f>
        <v>DCA17 - Dca17</v>
      </c>
      <c r="BJ1" s="8" t="str">
        <f aca="false">CONCATENATE("DCA18 - ",Groups!B19)</f>
        <v>DCA18 - Dca18</v>
      </c>
      <c r="BK1" s="8" t="str">
        <f aca="false">CONCATENATE("DCA19 - ",Groups!B20)</f>
        <v>DCA19 - Dca19</v>
      </c>
      <c r="BL1" s="8" t="str">
        <f aca="false">CONCATENATE("DCA20 - ",Groups!B21)</f>
        <v>DCA20 - Dca20</v>
      </c>
      <c r="BM1" s="8" t="str">
        <f aca="false">CONCATENATE("DCA21 - ",Groups!B22)</f>
        <v>DCA21 - Dca21</v>
      </c>
      <c r="BN1" s="8" t="str">
        <f aca="false">CONCATENATE("DCA22 - ",Groups!B23)</f>
        <v>DCA22 - Dca22</v>
      </c>
      <c r="BO1" s="8" t="str">
        <f aca="false">CONCATENATE("DCA23 - ",Groups!B24)</f>
        <v>DCA23 - Dca23</v>
      </c>
      <c r="BP1" s="8" t="str">
        <f aca="false">CONCATENATE("DCA24 - ",Groups!B25)</f>
        <v>DCA24 - Dca24</v>
      </c>
      <c r="BR1" s="8" t="s">
        <v>16</v>
      </c>
      <c r="BS1" s="8" t="s">
        <v>17</v>
      </c>
      <c r="BT1" s="8" t="s">
        <v>18</v>
      </c>
      <c r="BU1" s="8" t="s">
        <v>19</v>
      </c>
      <c r="BV1" s="8" t="s">
        <v>20</v>
      </c>
      <c r="BW1" s="8" t="s">
        <v>21</v>
      </c>
      <c r="BX1" s="8" t="s">
        <v>22</v>
      </c>
      <c r="BY1" s="8" t="s">
        <v>23</v>
      </c>
      <c r="CA1" s="8" t="s">
        <v>24</v>
      </c>
      <c r="CB1" s="8" t="s">
        <v>25</v>
      </c>
      <c r="CC1" s="8" t="s">
        <v>26</v>
      </c>
      <c r="CD1" s="8" t="s">
        <v>27</v>
      </c>
      <c r="CE1" s="8" t="s">
        <v>28</v>
      </c>
      <c r="CF1" s="8" t="s">
        <v>29</v>
      </c>
      <c r="CG1" s="8" t="s">
        <v>30</v>
      </c>
      <c r="CH1" s="8" t="s">
        <v>31</v>
      </c>
      <c r="CI1" s="8" t="s">
        <v>32</v>
      </c>
      <c r="CJ1" s="8" t="s">
        <v>33</v>
      </c>
      <c r="CK1" s="8" t="s">
        <v>34</v>
      </c>
      <c r="CL1" s="8" t="s">
        <v>35</v>
      </c>
      <c r="CM1" s="8" t="s">
        <v>36</v>
      </c>
      <c r="CN1" s="8" t="s">
        <v>37</v>
      </c>
      <c r="CO1" s="8" t="s">
        <v>38</v>
      </c>
      <c r="CP1" s="8" t="s">
        <v>39</v>
      </c>
      <c r="CQ1" s="8" t="s">
        <v>40</v>
      </c>
      <c r="CR1" s="8" t="s">
        <v>41</v>
      </c>
      <c r="CS1" s="8" t="s">
        <v>42</v>
      </c>
      <c r="CT1" s="8" t="s">
        <v>43</v>
      </c>
      <c r="CU1" s="8" t="s">
        <v>44</v>
      </c>
      <c r="CV1" s="8" t="s">
        <v>45</v>
      </c>
      <c r="CW1" s="8" t="s">
        <v>46</v>
      </c>
      <c r="CX1" s="8" t="s">
        <v>47</v>
      </c>
      <c r="CY1" s="8"/>
      <c r="CZ1" s="8" t="s">
        <v>48</v>
      </c>
      <c r="DA1" s="8" t="s">
        <v>49</v>
      </c>
      <c r="DB1" s="8" t="s">
        <v>50</v>
      </c>
      <c r="DC1" s="8" t="s">
        <v>51</v>
      </c>
      <c r="DD1" s="8" t="s">
        <v>52</v>
      </c>
      <c r="DE1" s="8" t="s">
        <v>53</v>
      </c>
      <c r="DF1" s="8" t="s">
        <v>54</v>
      </c>
      <c r="DG1" s="8" t="s">
        <v>55</v>
      </c>
      <c r="DH1" s="8" t="s">
        <v>56</v>
      </c>
      <c r="DI1" s="8" t="s">
        <v>57</v>
      </c>
      <c r="DJ1" s="8" t="s">
        <v>58</v>
      </c>
      <c r="DK1" s="8" t="s">
        <v>59</v>
      </c>
      <c r="DL1" s="5"/>
      <c r="DM1" s="8" t="s">
        <v>60</v>
      </c>
      <c r="DN1" s="8" t="s">
        <v>61</v>
      </c>
      <c r="DO1" s="8" t="s">
        <v>62</v>
      </c>
      <c r="DP1" s="8" t="s">
        <v>63</v>
      </c>
      <c r="DQ1" s="8" t="s">
        <v>64</v>
      </c>
      <c r="DR1" s="8" t="s">
        <v>65</v>
      </c>
      <c r="DS1" s="8" t="s">
        <v>66</v>
      </c>
      <c r="DT1" s="8" t="s">
        <v>67</v>
      </c>
      <c r="DU1" s="8" t="s">
        <v>68</v>
      </c>
      <c r="DV1" s="8" t="s">
        <v>69</v>
      </c>
      <c r="DW1" s="8" t="s">
        <v>70</v>
      </c>
      <c r="DX1" s="8" t="s">
        <v>71</v>
      </c>
      <c r="DY1" s="9" t="s">
        <v>72</v>
      </c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</row>
    <row r="2" customFormat="false" ht="13.8" hidden="false" customHeight="false" outlineLevel="0" collapsed="false">
      <c r="A2" s="10" t="s">
        <v>73</v>
      </c>
      <c r="B2" s="2" t="n">
        <v>1</v>
      </c>
      <c r="C2" s="11" t="s">
        <v>74</v>
      </c>
      <c r="D2" s="10" t="s">
        <v>75</v>
      </c>
      <c r="E2" s="10" t="s">
        <v>76</v>
      </c>
      <c r="F2" s="10" t="n">
        <v>1</v>
      </c>
      <c r="G2" s="10" t="s">
        <v>77</v>
      </c>
      <c r="H2" s="10" t="s">
        <v>77</v>
      </c>
      <c r="I2" s="10" t="s">
        <v>77</v>
      </c>
      <c r="J2" s="10" t="s">
        <v>77</v>
      </c>
      <c r="K2" s="10" t="s">
        <v>77</v>
      </c>
      <c r="L2" s="10" t="s">
        <v>77</v>
      </c>
      <c r="M2" s="2" t="n">
        <v>20</v>
      </c>
      <c r="N2" s="10" t="s">
        <v>77</v>
      </c>
      <c r="O2" s="10"/>
      <c r="P2" s="10" t="s">
        <v>77</v>
      </c>
      <c r="Q2" s="10" t="s">
        <v>77</v>
      </c>
      <c r="R2" s="10" t="s">
        <v>77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77</v>
      </c>
      <c r="Y2" s="10" t="s">
        <v>77</v>
      </c>
      <c r="Z2" s="10" t="s">
        <v>77</v>
      </c>
      <c r="AA2" s="10" t="s">
        <v>77</v>
      </c>
      <c r="AB2" s="10"/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77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77</v>
      </c>
      <c r="AM2" s="10" t="s">
        <v>77</v>
      </c>
      <c r="AN2" s="10" t="s">
        <v>77</v>
      </c>
      <c r="AO2" s="10"/>
      <c r="AP2" s="10" t="s">
        <v>73</v>
      </c>
      <c r="AQ2" s="10" t="s">
        <v>73</v>
      </c>
      <c r="AS2" s="10" t="s">
        <v>78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R2" s="10" t="s">
        <v>78</v>
      </c>
      <c r="BS2" s="10"/>
      <c r="BT2" s="10"/>
      <c r="BU2" s="10"/>
      <c r="BV2" s="10"/>
      <c r="BW2" s="10"/>
      <c r="BX2" s="10"/>
      <c r="BY2" s="10"/>
      <c r="CA2" s="2" t="str">
        <f aca="false">IF(AS2="x","x",IF(AS2="-","-",""))</f>
        <v>x</v>
      </c>
      <c r="CB2" s="2" t="str">
        <f aca="false">IF(AT2="x","x",IF(AT2="-","-",""))</f>
        <v/>
      </c>
      <c r="CC2" s="2" t="str">
        <f aca="false">IF(AU2="x","x",IF(AU2="-","-",""))</f>
        <v/>
      </c>
      <c r="CD2" s="2" t="str">
        <f aca="false">IF(AV2="x","x",IF(AV2="-","-",""))</f>
        <v/>
      </c>
      <c r="CE2" s="2" t="str">
        <f aca="false">IF(AW2="x","x",IF(AW2="-","-",""))</f>
        <v/>
      </c>
      <c r="CF2" s="2" t="str">
        <f aca="false">IF(AX2="x","x",IF(AX2="-","-",""))</f>
        <v/>
      </c>
      <c r="CG2" s="2" t="str">
        <f aca="false">IF(AY2="x","x",IF(AY2="-","-",""))</f>
        <v/>
      </c>
      <c r="CH2" s="2" t="str">
        <f aca="false">IF(AZ2="x","x",IF(AZ2="-","-",""))</f>
        <v/>
      </c>
      <c r="CI2" s="2" t="str">
        <f aca="false">IF(BA2="x","x",IF(BA2="-","-",""))</f>
        <v/>
      </c>
      <c r="CJ2" s="2" t="str">
        <f aca="false">IF(BB2="x","x",IF(BB2="-","-",""))</f>
        <v/>
      </c>
      <c r="CK2" s="2" t="str">
        <f aca="false">IF(BC2="x","x",IF(BC2="-","-",""))</f>
        <v/>
      </c>
      <c r="CL2" s="2" t="str">
        <f aca="false">IF(BD2="x","x",IF(BD2="-","-",""))</f>
        <v/>
      </c>
      <c r="CM2" s="2" t="str">
        <f aca="false">IF(BE2="x","x",IF(BE2="-","-",""))</f>
        <v/>
      </c>
      <c r="CN2" s="2" t="str">
        <f aca="false">IF(BF2="x","x",IF(BF2="-","-",""))</f>
        <v/>
      </c>
      <c r="CO2" s="2" t="str">
        <f aca="false">IF(BG2="x","x",IF(BG2="-","-",""))</f>
        <v/>
      </c>
      <c r="CP2" s="2" t="str">
        <f aca="false">IF(BH2="x","x",IF(BH2="-","-",""))</f>
        <v/>
      </c>
      <c r="CQ2" s="2" t="str">
        <f aca="false">IF(BI2="x","x",IF(BI2="-","-",""))</f>
        <v/>
      </c>
      <c r="CR2" s="2" t="str">
        <f aca="false">IF(BJ2="x","x",IF(BJ2="-","-",""))</f>
        <v/>
      </c>
      <c r="CS2" s="2" t="str">
        <f aca="false">IF(BK2="x","x",IF(BK2="-","-",""))</f>
        <v/>
      </c>
      <c r="CT2" s="2" t="str">
        <f aca="false">IF(BL2="x","x",IF(BL2="-","-",""))</f>
        <v/>
      </c>
      <c r="CU2" s="2" t="str">
        <f aca="false">IF(BM2="x","x",IF(BM2="-","-",""))</f>
        <v/>
      </c>
      <c r="CV2" s="2" t="str">
        <f aca="false">IF(BN2="x","x",IF(BN2="-","-",""))</f>
        <v/>
      </c>
      <c r="CW2" s="2" t="str">
        <f aca="false">IF(BO2="x","x",IF(BO2="-","-",""))</f>
        <v/>
      </c>
      <c r="CX2" s="2" t="str">
        <f aca="false">IF(BP2="x","x",IF(BP2="-","-",""))</f>
        <v/>
      </c>
      <c r="CZ2" s="2" t="str">
        <f aca="false">IF(P2="x","x",IF(P2="-","-",""))</f>
        <v>-</v>
      </c>
      <c r="DA2" s="2" t="str">
        <f aca="false">IF(Q2="x","x",IF(Q2="-","-",""))</f>
        <v>-</v>
      </c>
      <c r="DB2" s="2" t="str">
        <f aca="false">IF(R2="x","x",IF(R2="-","-",""))</f>
        <v>-</v>
      </c>
      <c r="DC2" s="2" t="str">
        <f aca="false">IF(S2="x","x",IF(S2="-","-",""))</f>
        <v>-</v>
      </c>
      <c r="DD2" s="2" t="str">
        <f aca="false">IF(T2="x","x",IF(T2="-","-",""))</f>
        <v>-</v>
      </c>
      <c r="DE2" s="2" t="str">
        <f aca="false">IF(U2="x","x",IF(U2="-","-",""))</f>
        <v>-</v>
      </c>
      <c r="DF2" s="2" t="str">
        <f aca="false">IF(V2="x","x",IF(V2="-","-",""))</f>
        <v>-</v>
      </c>
      <c r="DG2" s="2" t="str">
        <f aca="false">IF(W2="x","x",IF(W2="-","-",""))</f>
        <v>-</v>
      </c>
      <c r="DH2" s="2" t="str">
        <f aca="false">IF(X2="x","x",IF(X2="-","-",""))</f>
        <v>-</v>
      </c>
      <c r="DI2" s="2" t="str">
        <f aca="false">IF(Y2="x","x",IF(Y2="-","-",""))</f>
        <v>-</v>
      </c>
      <c r="DJ2" s="2" t="str">
        <f aca="false">IF(Z2="x","x",IF(Z2="-","-",""))</f>
        <v>-</v>
      </c>
      <c r="DK2" s="2" t="str">
        <f aca="false">IF(AA2="x","x",IF(AA2="-","-",""))</f>
        <v>-</v>
      </c>
      <c r="DL2" s="10"/>
      <c r="DM2" s="2" t="str">
        <f aca="false">IF(AC2="x","x",IF(AC2="-","-",""))</f>
        <v>-</v>
      </c>
      <c r="DN2" s="2" t="str">
        <f aca="false">IF(AD2="x","x",IF(AD2="-","-",""))</f>
        <v>-</v>
      </c>
      <c r="DO2" s="2" t="str">
        <f aca="false">IF(AE2="x","x",IF(AE2="-","-",""))</f>
        <v>-</v>
      </c>
      <c r="DP2" s="2" t="str">
        <f aca="false">IF(AF2="x","x",IF(AF2="-","-",""))</f>
        <v>-</v>
      </c>
      <c r="DQ2" s="2" t="str">
        <f aca="false">IF(AG2="x","x",IF(AG2="-","-",""))</f>
        <v>-</v>
      </c>
      <c r="DR2" s="2" t="str">
        <f aca="false">IF(AH2="x","x",IF(AH2="-","-",""))</f>
        <v>-</v>
      </c>
      <c r="DS2" s="2" t="str">
        <f aca="false">IF(AI2="x","x",IF(AI2="-","-",""))</f>
        <v>-</v>
      </c>
      <c r="DT2" s="2" t="str">
        <f aca="false">IF(AJ2="x","x",IF(AJ2="-","-",""))</f>
        <v>-</v>
      </c>
      <c r="DU2" s="2" t="str">
        <f aca="false">IF(AK2="x","x",IF(AK2="-","-",""))</f>
        <v>-</v>
      </c>
      <c r="DV2" s="2" t="str">
        <f aca="false">IF(AL2="x","x",IF(AL2="-","-",""))</f>
        <v>-</v>
      </c>
      <c r="DW2" s="2" t="str">
        <f aca="false">IF(AM2="x","x",IF(AM2="-","-",""))</f>
        <v>-</v>
      </c>
      <c r="DX2" s="2" t="str">
        <f aca="false">IF(AN2="x","x",IF(AN2="-","-",""))</f>
        <v>-</v>
      </c>
    </row>
    <row r="3" customFormat="false" ht="13.8" hidden="false" customHeight="false" outlineLevel="0" collapsed="false">
      <c r="A3" s="10" t="s">
        <v>73</v>
      </c>
      <c r="B3" s="2" t="n">
        <v>2</v>
      </c>
      <c r="C3" s="11" t="s">
        <v>79</v>
      </c>
      <c r="D3" s="10" t="s">
        <v>75</v>
      </c>
      <c r="E3" s="10" t="s">
        <v>76</v>
      </c>
      <c r="F3" s="10" t="n">
        <v>2</v>
      </c>
      <c r="G3" s="10" t="s">
        <v>77</v>
      </c>
      <c r="H3" s="10" t="s">
        <v>77</v>
      </c>
      <c r="I3" s="10" t="s">
        <v>77</v>
      </c>
      <c r="J3" s="10" t="s">
        <v>77</v>
      </c>
      <c r="K3" s="10" t="s">
        <v>77</v>
      </c>
      <c r="L3" s="10" t="s">
        <v>77</v>
      </c>
      <c r="M3" s="2" t="n">
        <v>20</v>
      </c>
      <c r="N3" s="10" t="s">
        <v>77</v>
      </c>
      <c r="O3" s="10"/>
      <c r="P3" s="10" t="s">
        <v>77</v>
      </c>
      <c r="Q3" s="10" t="s">
        <v>77</v>
      </c>
      <c r="R3" s="10" t="s">
        <v>77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77</v>
      </c>
      <c r="Y3" s="10" t="s">
        <v>77</v>
      </c>
      <c r="Z3" s="10" t="s">
        <v>77</v>
      </c>
      <c r="AA3" s="10" t="s">
        <v>77</v>
      </c>
      <c r="AB3" s="10"/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77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77</v>
      </c>
      <c r="AM3" s="10" t="s">
        <v>77</v>
      </c>
      <c r="AN3" s="10" t="s">
        <v>77</v>
      </c>
      <c r="AO3" s="10"/>
      <c r="AP3" s="10" t="s">
        <v>73</v>
      </c>
      <c r="AQ3" s="10" t="s">
        <v>73</v>
      </c>
      <c r="AS3" s="10" t="s">
        <v>78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R3" s="10" t="s">
        <v>78</v>
      </c>
      <c r="BS3" s="10"/>
      <c r="BT3" s="10"/>
      <c r="BU3" s="10"/>
      <c r="BV3" s="10"/>
      <c r="BW3" s="10"/>
      <c r="BX3" s="10"/>
      <c r="BY3" s="10"/>
      <c r="CA3" s="2" t="str">
        <f aca="false">IF(AS3="x","x",IF(AS3="-","-",""))</f>
        <v>x</v>
      </c>
      <c r="CB3" s="2" t="str">
        <f aca="false">IF(AT3="x","x",IF(AT3="-","-",""))</f>
        <v/>
      </c>
      <c r="CC3" s="2" t="str">
        <f aca="false">IF(AU3="x","x",IF(AU3="-","-",""))</f>
        <v/>
      </c>
      <c r="CD3" s="2" t="str">
        <f aca="false">IF(AV3="x","x",IF(AV3="-","-",""))</f>
        <v/>
      </c>
      <c r="CE3" s="2" t="str">
        <f aca="false">IF(AW3="x","x",IF(AW3="-","-",""))</f>
        <v/>
      </c>
      <c r="CF3" s="2" t="str">
        <f aca="false">IF(AX3="x","x",IF(AX3="-","-",""))</f>
        <v/>
      </c>
      <c r="CG3" s="2" t="str">
        <f aca="false">IF(AY3="x","x",IF(AY3="-","-",""))</f>
        <v/>
      </c>
      <c r="CH3" s="2" t="str">
        <f aca="false">IF(AZ3="x","x",IF(AZ3="-","-",""))</f>
        <v/>
      </c>
      <c r="CI3" s="2" t="str">
        <f aca="false">IF(BA3="x","x",IF(BA3="-","-",""))</f>
        <v/>
      </c>
      <c r="CJ3" s="2" t="str">
        <f aca="false">IF(BB3="x","x",IF(BB3="-","-",""))</f>
        <v/>
      </c>
      <c r="CK3" s="2" t="str">
        <f aca="false">IF(BC3="x","x",IF(BC3="-","-",""))</f>
        <v/>
      </c>
      <c r="CL3" s="2" t="str">
        <f aca="false">IF(BD3="x","x",IF(BD3="-","-",""))</f>
        <v/>
      </c>
      <c r="CM3" s="2" t="str">
        <f aca="false">IF(BE3="x","x",IF(BE3="-","-",""))</f>
        <v/>
      </c>
      <c r="CN3" s="2" t="str">
        <f aca="false">IF(BF3="x","x",IF(BF3="-","-",""))</f>
        <v/>
      </c>
      <c r="CO3" s="2" t="str">
        <f aca="false">IF(BG3="x","x",IF(BG3="-","-",""))</f>
        <v/>
      </c>
      <c r="CP3" s="2" t="str">
        <f aca="false">IF(BH3="x","x",IF(BH3="-","-",""))</f>
        <v/>
      </c>
      <c r="CQ3" s="2" t="str">
        <f aca="false">IF(BI3="x","x",IF(BI3="-","-",""))</f>
        <v/>
      </c>
      <c r="CR3" s="2" t="str">
        <f aca="false">IF(BJ3="x","x",IF(BJ3="-","-",""))</f>
        <v/>
      </c>
      <c r="CS3" s="2" t="str">
        <f aca="false">IF(BK3="x","x",IF(BK3="-","-",""))</f>
        <v/>
      </c>
      <c r="CT3" s="2" t="str">
        <f aca="false">IF(BL3="x","x",IF(BL3="-","-",""))</f>
        <v/>
      </c>
      <c r="CU3" s="2" t="str">
        <f aca="false">IF(BM3="x","x",IF(BM3="-","-",""))</f>
        <v/>
      </c>
      <c r="CV3" s="2" t="str">
        <f aca="false">IF(BN3="x","x",IF(BN3="-","-",""))</f>
        <v/>
      </c>
      <c r="CW3" s="2" t="str">
        <f aca="false">IF(BO3="x","x",IF(BO3="-","-",""))</f>
        <v/>
      </c>
      <c r="CX3" s="2" t="str">
        <f aca="false">IF(BP3="x","x",IF(BP3="-","-",""))</f>
        <v/>
      </c>
      <c r="CZ3" s="2" t="str">
        <f aca="false">IF(P3="x","x",IF(P3="-","-",""))</f>
        <v>-</v>
      </c>
      <c r="DA3" s="2" t="str">
        <f aca="false">IF(Q3="x","x",IF(Q3="-","-",""))</f>
        <v>-</v>
      </c>
      <c r="DB3" s="2" t="str">
        <f aca="false">IF(R3="x","x",IF(R3="-","-",""))</f>
        <v>-</v>
      </c>
      <c r="DC3" s="2" t="str">
        <f aca="false">IF(S3="x","x",IF(S3="-","-",""))</f>
        <v>-</v>
      </c>
      <c r="DD3" s="2" t="str">
        <f aca="false">IF(T3="x","x",IF(T3="-","-",""))</f>
        <v>-</v>
      </c>
      <c r="DE3" s="2" t="str">
        <f aca="false">IF(U3="x","x",IF(U3="-","-",""))</f>
        <v>-</v>
      </c>
      <c r="DF3" s="2" t="str">
        <f aca="false">IF(V3="x","x",IF(V3="-","-",""))</f>
        <v>-</v>
      </c>
      <c r="DG3" s="2" t="str">
        <f aca="false">IF(W3="x","x",IF(W3="-","-",""))</f>
        <v>-</v>
      </c>
      <c r="DH3" s="2" t="str">
        <f aca="false">IF(X3="x","x",IF(X3="-","-",""))</f>
        <v>-</v>
      </c>
      <c r="DI3" s="2" t="str">
        <f aca="false">IF(Y3="x","x",IF(Y3="-","-",""))</f>
        <v>-</v>
      </c>
      <c r="DJ3" s="2" t="str">
        <f aca="false">IF(Z3="x","x",IF(Z3="-","-",""))</f>
        <v>-</v>
      </c>
      <c r="DK3" s="2" t="str">
        <f aca="false">IF(AA3="x","x",IF(AA3="-","-",""))</f>
        <v>-</v>
      </c>
      <c r="DL3" s="10"/>
      <c r="DM3" s="2" t="str">
        <f aca="false">IF(AC3="x","x",IF(AC3="-","-",""))</f>
        <v>-</v>
      </c>
      <c r="DN3" s="2" t="str">
        <f aca="false">IF(AD3="x","x",IF(AD3="-","-",""))</f>
        <v>-</v>
      </c>
      <c r="DO3" s="2" t="str">
        <f aca="false">IF(AE3="x","x",IF(AE3="-","-",""))</f>
        <v>-</v>
      </c>
      <c r="DP3" s="2" t="str">
        <f aca="false">IF(AF3="x","x",IF(AF3="-","-",""))</f>
        <v>-</v>
      </c>
      <c r="DQ3" s="2" t="str">
        <f aca="false">IF(AG3="x","x",IF(AG3="-","-",""))</f>
        <v>-</v>
      </c>
      <c r="DR3" s="2" t="str">
        <f aca="false">IF(AH3="x","x",IF(AH3="-","-",""))</f>
        <v>-</v>
      </c>
      <c r="DS3" s="2" t="str">
        <f aca="false">IF(AI3="x","x",IF(AI3="-","-",""))</f>
        <v>-</v>
      </c>
      <c r="DT3" s="2" t="str">
        <f aca="false">IF(AJ3="x","x",IF(AJ3="-","-",""))</f>
        <v>-</v>
      </c>
      <c r="DU3" s="2" t="str">
        <f aca="false">IF(AK3="x","x",IF(AK3="-","-",""))</f>
        <v>-</v>
      </c>
      <c r="DV3" s="2" t="str">
        <f aca="false">IF(AL3="x","x",IF(AL3="-","-",""))</f>
        <v>-</v>
      </c>
      <c r="DW3" s="2" t="str">
        <f aca="false">IF(AM3="x","x",IF(AM3="-","-",""))</f>
        <v>-</v>
      </c>
      <c r="DX3" s="2" t="str">
        <f aca="false">IF(AN3="x","x",IF(AN3="-","-",""))</f>
        <v>-</v>
      </c>
    </row>
    <row r="4" customFormat="false" ht="13.8" hidden="false" customHeight="false" outlineLevel="0" collapsed="false">
      <c r="A4" s="10" t="s">
        <v>73</v>
      </c>
      <c r="B4" s="2" t="n">
        <v>3</v>
      </c>
      <c r="C4" s="11" t="s">
        <v>80</v>
      </c>
      <c r="D4" s="10" t="s">
        <v>75</v>
      </c>
      <c r="E4" s="10" t="s">
        <v>76</v>
      </c>
      <c r="F4" s="10" t="n">
        <v>3</v>
      </c>
      <c r="G4" s="10" t="s">
        <v>77</v>
      </c>
      <c r="H4" s="10" t="s">
        <v>77</v>
      </c>
      <c r="I4" s="10" t="s">
        <v>77</v>
      </c>
      <c r="J4" s="10" t="s">
        <v>77</v>
      </c>
      <c r="K4" s="10" t="s">
        <v>77</v>
      </c>
      <c r="L4" s="10" t="s">
        <v>77</v>
      </c>
      <c r="M4" s="2" t="n">
        <v>20</v>
      </c>
      <c r="N4" s="10" t="s">
        <v>77</v>
      </c>
      <c r="O4" s="10"/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77</v>
      </c>
      <c r="Y4" s="10" t="s">
        <v>77</v>
      </c>
      <c r="Z4" s="10" t="s">
        <v>77</v>
      </c>
      <c r="AA4" s="10" t="s">
        <v>77</v>
      </c>
      <c r="AB4" s="10"/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77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77</v>
      </c>
      <c r="AM4" s="10" t="s">
        <v>77</v>
      </c>
      <c r="AN4" s="10" t="s">
        <v>77</v>
      </c>
      <c r="AO4" s="10"/>
      <c r="AP4" s="10" t="s">
        <v>73</v>
      </c>
      <c r="AQ4" s="10" t="s">
        <v>73</v>
      </c>
      <c r="AS4" s="10" t="s">
        <v>78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R4" s="10" t="s">
        <v>78</v>
      </c>
      <c r="BS4" s="10"/>
      <c r="BT4" s="10"/>
      <c r="BU4" s="10"/>
      <c r="BV4" s="10"/>
      <c r="BW4" s="10"/>
      <c r="BX4" s="10"/>
      <c r="BY4" s="10"/>
      <c r="CA4" s="2" t="str">
        <f aca="false">IF(AS4="x","x",IF(AS4="-","-",""))</f>
        <v>x</v>
      </c>
      <c r="CB4" s="2" t="str">
        <f aca="false">IF(AT4="x","x",IF(AT4="-","-",""))</f>
        <v/>
      </c>
      <c r="CC4" s="2" t="str">
        <f aca="false">IF(AU4="x","x",IF(AU4="-","-",""))</f>
        <v/>
      </c>
      <c r="CD4" s="2" t="str">
        <f aca="false">IF(AV4="x","x",IF(AV4="-","-",""))</f>
        <v/>
      </c>
      <c r="CE4" s="2" t="str">
        <f aca="false">IF(AW4="x","x",IF(AW4="-","-",""))</f>
        <v/>
      </c>
      <c r="CF4" s="2" t="str">
        <f aca="false">IF(AX4="x","x",IF(AX4="-","-",""))</f>
        <v/>
      </c>
      <c r="CG4" s="2" t="str">
        <f aca="false">IF(AY4="x","x",IF(AY4="-","-",""))</f>
        <v/>
      </c>
      <c r="CH4" s="2" t="str">
        <f aca="false">IF(AZ4="x","x",IF(AZ4="-","-",""))</f>
        <v/>
      </c>
      <c r="CI4" s="2" t="str">
        <f aca="false">IF(BA4="x","x",IF(BA4="-","-",""))</f>
        <v/>
      </c>
      <c r="CJ4" s="2" t="str">
        <f aca="false">IF(BB4="x","x",IF(BB4="-","-",""))</f>
        <v/>
      </c>
      <c r="CK4" s="2" t="str">
        <f aca="false">IF(BC4="x","x",IF(BC4="-","-",""))</f>
        <v/>
      </c>
      <c r="CL4" s="2" t="str">
        <f aca="false">IF(BD4="x","x",IF(BD4="-","-",""))</f>
        <v/>
      </c>
      <c r="CM4" s="2" t="str">
        <f aca="false">IF(BE4="x","x",IF(BE4="-","-",""))</f>
        <v/>
      </c>
      <c r="CN4" s="2" t="str">
        <f aca="false">IF(BF4="x","x",IF(BF4="-","-",""))</f>
        <v/>
      </c>
      <c r="CO4" s="2" t="str">
        <f aca="false">IF(BG4="x","x",IF(BG4="-","-",""))</f>
        <v/>
      </c>
      <c r="CP4" s="2" t="str">
        <f aca="false">IF(BH4="x","x",IF(BH4="-","-",""))</f>
        <v/>
      </c>
      <c r="CQ4" s="2" t="str">
        <f aca="false">IF(BI4="x","x",IF(BI4="-","-",""))</f>
        <v/>
      </c>
      <c r="CR4" s="2" t="str">
        <f aca="false">IF(BJ4="x","x",IF(BJ4="-","-",""))</f>
        <v/>
      </c>
      <c r="CS4" s="2" t="str">
        <f aca="false">IF(BK4="x","x",IF(BK4="-","-",""))</f>
        <v/>
      </c>
      <c r="CT4" s="2" t="str">
        <f aca="false">IF(BL4="x","x",IF(BL4="-","-",""))</f>
        <v/>
      </c>
      <c r="CU4" s="2" t="str">
        <f aca="false">IF(BM4="x","x",IF(BM4="-","-",""))</f>
        <v/>
      </c>
      <c r="CV4" s="2" t="str">
        <f aca="false">IF(BN4="x","x",IF(BN4="-","-",""))</f>
        <v/>
      </c>
      <c r="CW4" s="2" t="str">
        <f aca="false">IF(BO4="x","x",IF(BO4="-","-",""))</f>
        <v/>
      </c>
      <c r="CX4" s="2" t="str">
        <f aca="false">IF(BP4="x","x",IF(BP4="-","-",""))</f>
        <v/>
      </c>
      <c r="CZ4" s="2" t="str">
        <f aca="false">IF(P4="x","x",IF(P4="-","-",""))</f>
        <v>-</v>
      </c>
      <c r="DA4" s="2" t="str">
        <f aca="false">IF(Q4="x","x",IF(Q4="-","-",""))</f>
        <v>-</v>
      </c>
      <c r="DB4" s="2" t="str">
        <f aca="false">IF(R4="x","x",IF(R4="-","-",""))</f>
        <v>-</v>
      </c>
      <c r="DC4" s="2" t="str">
        <f aca="false">IF(S4="x","x",IF(S4="-","-",""))</f>
        <v>-</v>
      </c>
      <c r="DD4" s="2" t="str">
        <f aca="false">IF(T4="x","x",IF(T4="-","-",""))</f>
        <v>-</v>
      </c>
      <c r="DE4" s="2" t="str">
        <f aca="false">IF(U4="x","x",IF(U4="-","-",""))</f>
        <v>-</v>
      </c>
      <c r="DF4" s="2" t="str">
        <f aca="false">IF(V4="x","x",IF(V4="-","-",""))</f>
        <v>-</v>
      </c>
      <c r="DG4" s="2" t="str">
        <f aca="false">IF(W4="x","x",IF(W4="-","-",""))</f>
        <v>-</v>
      </c>
      <c r="DH4" s="2" t="str">
        <f aca="false">IF(X4="x","x",IF(X4="-","-",""))</f>
        <v>-</v>
      </c>
      <c r="DI4" s="2" t="str">
        <f aca="false">IF(Y4="x","x",IF(Y4="-","-",""))</f>
        <v>-</v>
      </c>
      <c r="DJ4" s="2" t="str">
        <f aca="false">IF(Z4="x","x",IF(Z4="-","-",""))</f>
        <v>-</v>
      </c>
      <c r="DK4" s="2" t="str">
        <f aca="false">IF(AA4="x","x",IF(AA4="-","-",""))</f>
        <v>-</v>
      </c>
      <c r="DL4" s="10"/>
      <c r="DM4" s="2" t="str">
        <f aca="false">IF(AC4="x","x",IF(AC4="-","-",""))</f>
        <v>-</v>
      </c>
      <c r="DN4" s="2" t="str">
        <f aca="false">IF(AD4="x","x",IF(AD4="-","-",""))</f>
        <v>-</v>
      </c>
      <c r="DO4" s="2" t="str">
        <f aca="false">IF(AE4="x","x",IF(AE4="-","-",""))</f>
        <v>-</v>
      </c>
      <c r="DP4" s="2" t="str">
        <f aca="false">IF(AF4="x","x",IF(AF4="-","-",""))</f>
        <v>-</v>
      </c>
      <c r="DQ4" s="2" t="str">
        <f aca="false">IF(AG4="x","x",IF(AG4="-","-",""))</f>
        <v>-</v>
      </c>
      <c r="DR4" s="2" t="str">
        <f aca="false">IF(AH4="x","x",IF(AH4="-","-",""))</f>
        <v>-</v>
      </c>
      <c r="DS4" s="2" t="str">
        <f aca="false">IF(AI4="x","x",IF(AI4="-","-",""))</f>
        <v>-</v>
      </c>
      <c r="DT4" s="2" t="str">
        <f aca="false">IF(AJ4="x","x",IF(AJ4="-","-",""))</f>
        <v>-</v>
      </c>
      <c r="DU4" s="2" t="str">
        <f aca="false">IF(AK4="x","x",IF(AK4="-","-",""))</f>
        <v>-</v>
      </c>
      <c r="DV4" s="2" t="str">
        <f aca="false">IF(AL4="x","x",IF(AL4="-","-",""))</f>
        <v>-</v>
      </c>
      <c r="DW4" s="2" t="str">
        <f aca="false">IF(AM4="x","x",IF(AM4="-","-",""))</f>
        <v>-</v>
      </c>
      <c r="DX4" s="2" t="str">
        <f aca="false">IF(AN4="x","x",IF(AN4="-","-",""))</f>
        <v>-</v>
      </c>
    </row>
    <row r="5" customFormat="false" ht="13.8" hidden="false" customHeight="false" outlineLevel="0" collapsed="false">
      <c r="A5" s="10" t="s">
        <v>73</v>
      </c>
      <c r="B5" s="2" t="n">
        <v>4</v>
      </c>
      <c r="C5" s="11" t="s">
        <v>81</v>
      </c>
      <c r="D5" s="10" t="s">
        <v>75</v>
      </c>
      <c r="E5" s="10" t="s">
        <v>76</v>
      </c>
      <c r="F5" s="10" t="n">
        <v>4</v>
      </c>
      <c r="G5" s="10" t="s">
        <v>77</v>
      </c>
      <c r="H5" s="10" t="s">
        <v>77</v>
      </c>
      <c r="I5" s="10" t="s">
        <v>77</v>
      </c>
      <c r="J5" s="10" t="s">
        <v>77</v>
      </c>
      <c r="K5" s="10" t="s">
        <v>77</v>
      </c>
      <c r="L5" s="10" t="s">
        <v>77</v>
      </c>
      <c r="M5" s="2" t="n">
        <v>20</v>
      </c>
      <c r="N5" s="10" t="s">
        <v>77</v>
      </c>
      <c r="O5" s="10"/>
      <c r="P5" s="10" t="s">
        <v>77</v>
      </c>
      <c r="Q5" s="10" t="s">
        <v>77</v>
      </c>
      <c r="R5" s="10" t="s">
        <v>77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77</v>
      </c>
      <c r="Y5" s="10" t="s">
        <v>77</v>
      </c>
      <c r="Z5" s="10" t="s">
        <v>77</v>
      </c>
      <c r="AA5" s="10" t="s">
        <v>77</v>
      </c>
      <c r="AB5" s="10"/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77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77</v>
      </c>
      <c r="AM5" s="10" t="s">
        <v>77</v>
      </c>
      <c r="AN5" s="10" t="s">
        <v>77</v>
      </c>
      <c r="AO5" s="10"/>
      <c r="AP5" s="10" t="s">
        <v>73</v>
      </c>
      <c r="AQ5" s="10" t="s">
        <v>73</v>
      </c>
      <c r="AS5" s="10" t="s">
        <v>78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R5" s="10" t="s">
        <v>78</v>
      </c>
      <c r="BS5" s="10"/>
      <c r="BT5" s="10"/>
      <c r="BU5" s="10"/>
      <c r="BV5" s="10"/>
      <c r="BW5" s="10"/>
      <c r="BX5" s="10"/>
      <c r="BY5" s="10"/>
      <c r="CA5" s="2" t="str">
        <f aca="false">IF(AS5="x","x",IF(AS5="-","-",""))</f>
        <v>x</v>
      </c>
      <c r="CB5" s="2" t="str">
        <f aca="false">IF(AT5="x","x",IF(AT5="-","-",""))</f>
        <v/>
      </c>
      <c r="CC5" s="2" t="str">
        <f aca="false">IF(AU5="x","x",IF(AU5="-","-",""))</f>
        <v/>
      </c>
      <c r="CD5" s="2" t="str">
        <f aca="false">IF(AV5="x","x",IF(AV5="-","-",""))</f>
        <v/>
      </c>
      <c r="CE5" s="2" t="str">
        <f aca="false">IF(AW5="x","x",IF(AW5="-","-",""))</f>
        <v/>
      </c>
      <c r="CF5" s="2" t="str">
        <f aca="false">IF(AX5="x","x",IF(AX5="-","-",""))</f>
        <v/>
      </c>
      <c r="CG5" s="2" t="str">
        <f aca="false">IF(AY5="x","x",IF(AY5="-","-",""))</f>
        <v/>
      </c>
      <c r="CH5" s="2" t="str">
        <f aca="false">IF(AZ5="x","x",IF(AZ5="-","-",""))</f>
        <v/>
      </c>
      <c r="CI5" s="2" t="str">
        <f aca="false">IF(BA5="x","x",IF(BA5="-","-",""))</f>
        <v/>
      </c>
      <c r="CJ5" s="2" t="str">
        <f aca="false">IF(BB5="x","x",IF(BB5="-","-",""))</f>
        <v/>
      </c>
      <c r="CK5" s="2" t="str">
        <f aca="false">IF(BC5="x","x",IF(BC5="-","-",""))</f>
        <v/>
      </c>
      <c r="CL5" s="2" t="str">
        <f aca="false">IF(BD5="x","x",IF(BD5="-","-",""))</f>
        <v/>
      </c>
      <c r="CM5" s="2" t="str">
        <f aca="false">IF(BE5="x","x",IF(BE5="-","-",""))</f>
        <v/>
      </c>
      <c r="CN5" s="2" t="str">
        <f aca="false">IF(BF5="x","x",IF(BF5="-","-",""))</f>
        <v/>
      </c>
      <c r="CO5" s="2" t="str">
        <f aca="false">IF(BG5="x","x",IF(BG5="-","-",""))</f>
        <v/>
      </c>
      <c r="CP5" s="2" t="str">
        <f aca="false">IF(BH5="x","x",IF(BH5="-","-",""))</f>
        <v/>
      </c>
      <c r="CQ5" s="2" t="str">
        <f aca="false">IF(BI5="x","x",IF(BI5="-","-",""))</f>
        <v/>
      </c>
      <c r="CR5" s="2" t="str">
        <f aca="false">IF(BJ5="x","x",IF(BJ5="-","-",""))</f>
        <v/>
      </c>
      <c r="CS5" s="2" t="str">
        <f aca="false">IF(BK5="x","x",IF(BK5="-","-",""))</f>
        <v/>
      </c>
      <c r="CT5" s="2" t="str">
        <f aca="false">IF(BL5="x","x",IF(BL5="-","-",""))</f>
        <v/>
      </c>
      <c r="CU5" s="2" t="str">
        <f aca="false">IF(BM5="x","x",IF(BM5="-","-",""))</f>
        <v/>
      </c>
      <c r="CV5" s="2" t="str">
        <f aca="false">IF(BN5="x","x",IF(BN5="-","-",""))</f>
        <v/>
      </c>
      <c r="CW5" s="2" t="str">
        <f aca="false">IF(BO5="x","x",IF(BO5="-","-",""))</f>
        <v/>
      </c>
      <c r="CX5" s="2" t="str">
        <f aca="false">IF(BP5="x","x",IF(BP5="-","-",""))</f>
        <v/>
      </c>
      <c r="CZ5" s="2" t="str">
        <f aca="false">IF(P5="x","x",IF(P5="-","-",""))</f>
        <v>-</v>
      </c>
      <c r="DA5" s="2" t="str">
        <f aca="false">IF(Q5="x","x",IF(Q5="-","-",""))</f>
        <v>-</v>
      </c>
      <c r="DB5" s="2" t="str">
        <f aca="false">IF(R5="x","x",IF(R5="-","-",""))</f>
        <v>-</v>
      </c>
      <c r="DC5" s="2" t="str">
        <f aca="false">IF(S5="x","x",IF(S5="-","-",""))</f>
        <v>-</v>
      </c>
      <c r="DD5" s="2" t="str">
        <f aca="false">IF(T5="x","x",IF(T5="-","-",""))</f>
        <v>-</v>
      </c>
      <c r="DE5" s="2" t="str">
        <f aca="false">IF(U5="x","x",IF(U5="-","-",""))</f>
        <v>-</v>
      </c>
      <c r="DF5" s="2" t="str">
        <f aca="false">IF(V5="x","x",IF(V5="-","-",""))</f>
        <v>-</v>
      </c>
      <c r="DG5" s="2" t="str">
        <f aca="false">IF(W5="x","x",IF(W5="-","-",""))</f>
        <v>-</v>
      </c>
      <c r="DH5" s="2" t="str">
        <f aca="false">IF(X5="x","x",IF(X5="-","-",""))</f>
        <v>-</v>
      </c>
      <c r="DI5" s="2" t="str">
        <f aca="false">IF(Y5="x","x",IF(Y5="-","-",""))</f>
        <v>-</v>
      </c>
      <c r="DJ5" s="2" t="str">
        <f aca="false">IF(Z5="x","x",IF(Z5="-","-",""))</f>
        <v>-</v>
      </c>
      <c r="DK5" s="2" t="str">
        <f aca="false">IF(AA5="x","x",IF(AA5="-","-",""))</f>
        <v>-</v>
      </c>
      <c r="DL5" s="10"/>
      <c r="DM5" s="2" t="str">
        <f aca="false">IF(AC5="x","x",IF(AC5="-","-",""))</f>
        <v>-</v>
      </c>
      <c r="DN5" s="2" t="str">
        <f aca="false">IF(AD5="x","x",IF(AD5="-","-",""))</f>
        <v>-</v>
      </c>
      <c r="DO5" s="2" t="str">
        <f aca="false">IF(AE5="x","x",IF(AE5="-","-",""))</f>
        <v>-</v>
      </c>
      <c r="DP5" s="2" t="str">
        <f aca="false">IF(AF5="x","x",IF(AF5="-","-",""))</f>
        <v>-</v>
      </c>
      <c r="DQ5" s="2" t="str">
        <f aca="false">IF(AG5="x","x",IF(AG5="-","-",""))</f>
        <v>-</v>
      </c>
      <c r="DR5" s="2" t="str">
        <f aca="false">IF(AH5="x","x",IF(AH5="-","-",""))</f>
        <v>-</v>
      </c>
      <c r="DS5" s="2" t="str">
        <f aca="false">IF(AI5="x","x",IF(AI5="-","-",""))</f>
        <v>-</v>
      </c>
      <c r="DT5" s="2" t="str">
        <f aca="false">IF(AJ5="x","x",IF(AJ5="-","-",""))</f>
        <v>-</v>
      </c>
      <c r="DU5" s="2" t="str">
        <f aca="false">IF(AK5="x","x",IF(AK5="-","-",""))</f>
        <v>-</v>
      </c>
      <c r="DV5" s="2" t="str">
        <f aca="false">IF(AL5="x","x",IF(AL5="-","-",""))</f>
        <v>-</v>
      </c>
      <c r="DW5" s="2" t="str">
        <f aca="false">IF(AM5="x","x",IF(AM5="-","-",""))</f>
        <v>-</v>
      </c>
      <c r="DX5" s="2" t="str">
        <f aca="false">IF(AN5="x","x",IF(AN5="-","-",""))</f>
        <v>-</v>
      </c>
    </row>
    <row r="6" customFormat="false" ht="13.8" hidden="false" customHeight="false" outlineLevel="0" collapsed="false">
      <c r="A6" s="10" t="s">
        <v>73</v>
      </c>
      <c r="B6" s="2" t="n">
        <v>5</v>
      </c>
      <c r="C6" s="11" t="s">
        <v>82</v>
      </c>
      <c r="D6" s="10" t="s">
        <v>75</v>
      </c>
      <c r="E6" s="10" t="s">
        <v>76</v>
      </c>
      <c r="F6" s="10" t="n">
        <v>5</v>
      </c>
      <c r="G6" s="10" t="s">
        <v>77</v>
      </c>
      <c r="H6" s="10" t="s">
        <v>77</v>
      </c>
      <c r="I6" s="10" t="s">
        <v>77</v>
      </c>
      <c r="J6" s="10" t="s">
        <v>77</v>
      </c>
      <c r="K6" s="10" t="s">
        <v>77</v>
      </c>
      <c r="L6" s="10" t="s">
        <v>77</v>
      </c>
      <c r="M6" s="2" t="n">
        <v>20</v>
      </c>
      <c r="N6" s="10" t="s">
        <v>77</v>
      </c>
      <c r="O6" s="10"/>
      <c r="P6" s="10" t="s">
        <v>77</v>
      </c>
      <c r="Q6" s="10" t="s">
        <v>77</v>
      </c>
      <c r="R6" s="10" t="s">
        <v>77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77</v>
      </c>
      <c r="Y6" s="10" t="s">
        <v>77</v>
      </c>
      <c r="Z6" s="10" t="s">
        <v>77</v>
      </c>
      <c r="AA6" s="10" t="s">
        <v>77</v>
      </c>
      <c r="AB6" s="10"/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77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77</v>
      </c>
      <c r="AM6" s="10" t="s">
        <v>77</v>
      </c>
      <c r="AN6" s="10" t="s">
        <v>77</v>
      </c>
      <c r="AO6" s="10"/>
      <c r="AP6" s="10" t="s">
        <v>73</v>
      </c>
      <c r="AQ6" s="10" t="s">
        <v>73</v>
      </c>
      <c r="AS6" s="10" t="s">
        <v>78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R6" s="10" t="s">
        <v>78</v>
      </c>
      <c r="BS6" s="10"/>
      <c r="BT6" s="10"/>
      <c r="BU6" s="10"/>
      <c r="BV6" s="10"/>
      <c r="BW6" s="10"/>
      <c r="BX6" s="10"/>
      <c r="BY6" s="10"/>
      <c r="CA6" s="2" t="str">
        <f aca="false">IF(AS6="x","x",IF(AS6="-","-",""))</f>
        <v>x</v>
      </c>
      <c r="CB6" s="2" t="str">
        <f aca="false">IF(AT6="x","x",IF(AT6="-","-",""))</f>
        <v/>
      </c>
      <c r="CC6" s="2" t="str">
        <f aca="false">IF(AU6="x","x",IF(AU6="-","-",""))</f>
        <v/>
      </c>
      <c r="CD6" s="2" t="str">
        <f aca="false">IF(AV6="x","x",IF(AV6="-","-",""))</f>
        <v/>
      </c>
      <c r="CE6" s="2" t="str">
        <f aca="false">IF(AW6="x","x",IF(AW6="-","-",""))</f>
        <v/>
      </c>
      <c r="CF6" s="2" t="str">
        <f aca="false">IF(AX6="x","x",IF(AX6="-","-",""))</f>
        <v/>
      </c>
      <c r="CG6" s="2" t="str">
        <f aca="false">IF(AY6="x","x",IF(AY6="-","-",""))</f>
        <v/>
      </c>
      <c r="CH6" s="2" t="str">
        <f aca="false">IF(AZ6="x","x",IF(AZ6="-","-",""))</f>
        <v/>
      </c>
      <c r="CI6" s="2" t="str">
        <f aca="false">IF(BA6="x","x",IF(BA6="-","-",""))</f>
        <v/>
      </c>
      <c r="CJ6" s="2" t="str">
        <f aca="false">IF(BB6="x","x",IF(BB6="-","-",""))</f>
        <v/>
      </c>
      <c r="CK6" s="2" t="str">
        <f aca="false">IF(BC6="x","x",IF(BC6="-","-",""))</f>
        <v/>
      </c>
      <c r="CL6" s="2" t="str">
        <f aca="false">IF(BD6="x","x",IF(BD6="-","-",""))</f>
        <v/>
      </c>
      <c r="CM6" s="2" t="str">
        <f aca="false">IF(BE6="x","x",IF(BE6="-","-",""))</f>
        <v/>
      </c>
      <c r="CN6" s="2" t="str">
        <f aca="false">IF(BF6="x","x",IF(BF6="-","-",""))</f>
        <v/>
      </c>
      <c r="CO6" s="2" t="str">
        <f aca="false">IF(BG6="x","x",IF(BG6="-","-",""))</f>
        <v/>
      </c>
      <c r="CP6" s="2" t="str">
        <f aca="false">IF(BH6="x","x",IF(BH6="-","-",""))</f>
        <v/>
      </c>
      <c r="CQ6" s="2" t="str">
        <f aca="false">IF(BI6="x","x",IF(BI6="-","-",""))</f>
        <v/>
      </c>
      <c r="CR6" s="2" t="str">
        <f aca="false">IF(BJ6="x","x",IF(BJ6="-","-",""))</f>
        <v/>
      </c>
      <c r="CS6" s="2" t="str">
        <f aca="false">IF(BK6="x","x",IF(BK6="-","-",""))</f>
        <v/>
      </c>
      <c r="CT6" s="2" t="str">
        <f aca="false">IF(BL6="x","x",IF(BL6="-","-",""))</f>
        <v/>
      </c>
      <c r="CU6" s="2" t="str">
        <f aca="false">IF(BM6="x","x",IF(BM6="-","-",""))</f>
        <v/>
      </c>
      <c r="CV6" s="2" t="str">
        <f aca="false">IF(BN6="x","x",IF(BN6="-","-",""))</f>
        <v/>
      </c>
      <c r="CW6" s="2" t="str">
        <f aca="false">IF(BO6="x","x",IF(BO6="-","-",""))</f>
        <v/>
      </c>
      <c r="CX6" s="2" t="str">
        <f aca="false">IF(BP6="x","x",IF(BP6="-","-",""))</f>
        <v/>
      </c>
      <c r="CZ6" s="2" t="str">
        <f aca="false">IF(P6="x","x",IF(P6="-","-",""))</f>
        <v>-</v>
      </c>
      <c r="DA6" s="2" t="str">
        <f aca="false">IF(Q6="x","x",IF(Q6="-","-",""))</f>
        <v>-</v>
      </c>
      <c r="DB6" s="2" t="str">
        <f aca="false">IF(R6="x","x",IF(R6="-","-",""))</f>
        <v>-</v>
      </c>
      <c r="DC6" s="2" t="str">
        <f aca="false">IF(S6="x","x",IF(S6="-","-",""))</f>
        <v>-</v>
      </c>
      <c r="DD6" s="2" t="str">
        <f aca="false">IF(T6="x","x",IF(T6="-","-",""))</f>
        <v>-</v>
      </c>
      <c r="DE6" s="2" t="str">
        <f aca="false">IF(U6="x","x",IF(U6="-","-",""))</f>
        <v>-</v>
      </c>
      <c r="DF6" s="2" t="str">
        <f aca="false">IF(V6="x","x",IF(V6="-","-",""))</f>
        <v>-</v>
      </c>
      <c r="DG6" s="2" t="str">
        <f aca="false">IF(W6="x","x",IF(W6="-","-",""))</f>
        <v>-</v>
      </c>
      <c r="DH6" s="2" t="str">
        <f aca="false">IF(X6="x","x",IF(X6="-","-",""))</f>
        <v>-</v>
      </c>
      <c r="DI6" s="2" t="str">
        <f aca="false">IF(Y6="x","x",IF(Y6="-","-",""))</f>
        <v>-</v>
      </c>
      <c r="DJ6" s="2" t="str">
        <f aca="false">IF(Z6="x","x",IF(Z6="-","-",""))</f>
        <v>-</v>
      </c>
      <c r="DK6" s="2" t="str">
        <f aca="false">IF(AA6="x","x",IF(AA6="-","-",""))</f>
        <v>-</v>
      </c>
      <c r="DL6" s="10"/>
      <c r="DM6" s="2" t="str">
        <f aca="false">IF(AC6="x","x",IF(AC6="-","-",""))</f>
        <v>-</v>
      </c>
      <c r="DN6" s="2" t="str">
        <f aca="false">IF(AD6="x","x",IF(AD6="-","-",""))</f>
        <v>-</v>
      </c>
      <c r="DO6" s="2" t="str">
        <f aca="false">IF(AE6="x","x",IF(AE6="-","-",""))</f>
        <v>-</v>
      </c>
      <c r="DP6" s="2" t="str">
        <f aca="false">IF(AF6="x","x",IF(AF6="-","-",""))</f>
        <v>-</v>
      </c>
      <c r="DQ6" s="2" t="str">
        <f aca="false">IF(AG6="x","x",IF(AG6="-","-",""))</f>
        <v>-</v>
      </c>
      <c r="DR6" s="2" t="str">
        <f aca="false">IF(AH6="x","x",IF(AH6="-","-",""))</f>
        <v>-</v>
      </c>
      <c r="DS6" s="2" t="str">
        <f aca="false">IF(AI6="x","x",IF(AI6="-","-",""))</f>
        <v>-</v>
      </c>
      <c r="DT6" s="2" t="str">
        <f aca="false">IF(AJ6="x","x",IF(AJ6="-","-",""))</f>
        <v>-</v>
      </c>
      <c r="DU6" s="2" t="str">
        <f aca="false">IF(AK6="x","x",IF(AK6="-","-",""))</f>
        <v>-</v>
      </c>
      <c r="DV6" s="2" t="str">
        <f aca="false">IF(AL6="x","x",IF(AL6="-","-",""))</f>
        <v>-</v>
      </c>
      <c r="DW6" s="2" t="str">
        <f aca="false">IF(AM6="x","x",IF(AM6="-","-",""))</f>
        <v>-</v>
      </c>
      <c r="DX6" s="2" t="str">
        <f aca="false">IF(AN6="x","x",IF(AN6="-","-",""))</f>
        <v>-</v>
      </c>
    </row>
    <row r="7" customFormat="false" ht="13.8" hidden="false" customHeight="false" outlineLevel="0" collapsed="false">
      <c r="A7" s="10" t="s">
        <v>73</v>
      </c>
      <c r="B7" s="2" t="n">
        <v>6</v>
      </c>
      <c r="C7" s="11" t="s">
        <v>83</v>
      </c>
      <c r="D7" s="10" t="s">
        <v>75</v>
      </c>
      <c r="E7" s="10" t="s">
        <v>76</v>
      </c>
      <c r="F7" s="10" t="n">
        <v>6</v>
      </c>
      <c r="G7" s="10" t="s">
        <v>77</v>
      </c>
      <c r="H7" s="10" t="s">
        <v>77</v>
      </c>
      <c r="I7" s="10" t="s">
        <v>77</v>
      </c>
      <c r="J7" s="10" t="s">
        <v>77</v>
      </c>
      <c r="K7" s="10" t="s">
        <v>77</v>
      </c>
      <c r="L7" s="10" t="s">
        <v>77</v>
      </c>
      <c r="M7" s="2" t="n">
        <v>20</v>
      </c>
      <c r="N7" s="10" t="s">
        <v>77</v>
      </c>
      <c r="O7" s="10"/>
      <c r="P7" s="10" t="s">
        <v>77</v>
      </c>
      <c r="Q7" s="10" t="s">
        <v>77</v>
      </c>
      <c r="R7" s="10" t="s">
        <v>77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77</v>
      </c>
      <c r="Y7" s="10" t="s">
        <v>77</v>
      </c>
      <c r="Z7" s="10" t="s">
        <v>77</v>
      </c>
      <c r="AA7" s="10" t="s">
        <v>77</v>
      </c>
      <c r="AB7" s="10"/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77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77</v>
      </c>
      <c r="AM7" s="10" t="s">
        <v>77</v>
      </c>
      <c r="AN7" s="10" t="s">
        <v>77</v>
      </c>
      <c r="AO7" s="10"/>
      <c r="AP7" s="10" t="s">
        <v>73</v>
      </c>
      <c r="AQ7" s="10" t="s">
        <v>73</v>
      </c>
      <c r="AS7" s="10" t="s">
        <v>78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R7" s="10" t="s">
        <v>78</v>
      </c>
      <c r="BS7" s="10"/>
      <c r="BT7" s="10"/>
      <c r="BU7" s="10"/>
      <c r="BV7" s="10"/>
      <c r="BW7" s="10"/>
      <c r="BX7" s="10"/>
      <c r="BY7" s="10"/>
      <c r="CA7" s="2" t="str">
        <f aca="false">IF(AS7="x","x",IF(AS7="-","-",""))</f>
        <v>x</v>
      </c>
      <c r="CB7" s="2" t="str">
        <f aca="false">IF(AT7="x","x",IF(AT7="-","-",""))</f>
        <v/>
      </c>
      <c r="CC7" s="2" t="str">
        <f aca="false">IF(AU7="x","x",IF(AU7="-","-",""))</f>
        <v/>
      </c>
      <c r="CD7" s="2" t="str">
        <f aca="false">IF(AV7="x","x",IF(AV7="-","-",""))</f>
        <v/>
      </c>
      <c r="CE7" s="2" t="str">
        <f aca="false">IF(AW7="x","x",IF(AW7="-","-",""))</f>
        <v/>
      </c>
      <c r="CF7" s="2" t="str">
        <f aca="false">IF(AX7="x","x",IF(AX7="-","-",""))</f>
        <v/>
      </c>
      <c r="CG7" s="2" t="str">
        <f aca="false">IF(AY7="x","x",IF(AY7="-","-",""))</f>
        <v/>
      </c>
      <c r="CH7" s="2" t="str">
        <f aca="false">IF(AZ7="x","x",IF(AZ7="-","-",""))</f>
        <v/>
      </c>
      <c r="CI7" s="2" t="str">
        <f aca="false">IF(BA7="x","x",IF(BA7="-","-",""))</f>
        <v/>
      </c>
      <c r="CJ7" s="2" t="str">
        <f aca="false">IF(BB7="x","x",IF(BB7="-","-",""))</f>
        <v/>
      </c>
      <c r="CK7" s="2" t="str">
        <f aca="false">IF(BC7="x","x",IF(BC7="-","-",""))</f>
        <v/>
      </c>
      <c r="CL7" s="2" t="str">
        <f aca="false">IF(BD7="x","x",IF(BD7="-","-",""))</f>
        <v/>
      </c>
      <c r="CM7" s="2" t="str">
        <f aca="false">IF(BE7="x","x",IF(BE7="-","-",""))</f>
        <v/>
      </c>
      <c r="CN7" s="2" t="str">
        <f aca="false">IF(BF7="x","x",IF(BF7="-","-",""))</f>
        <v/>
      </c>
      <c r="CO7" s="2" t="str">
        <f aca="false">IF(BG7="x","x",IF(BG7="-","-",""))</f>
        <v/>
      </c>
      <c r="CP7" s="2" t="str">
        <f aca="false">IF(BH7="x","x",IF(BH7="-","-",""))</f>
        <v/>
      </c>
      <c r="CQ7" s="2" t="str">
        <f aca="false">IF(BI7="x","x",IF(BI7="-","-",""))</f>
        <v/>
      </c>
      <c r="CR7" s="2" t="str">
        <f aca="false">IF(BJ7="x","x",IF(BJ7="-","-",""))</f>
        <v/>
      </c>
      <c r="CS7" s="2" t="str">
        <f aca="false">IF(BK7="x","x",IF(BK7="-","-",""))</f>
        <v/>
      </c>
      <c r="CT7" s="2" t="str">
        <f aca="false">IF(BL7="x","x",IF(BL7="-","-",""))</f>
        <v/>
      </c>
      <c r="CU7" s="2" t="str">
        <f aca="false">IF(BM7="x","x",IF(BM7="-","-",""))</f>
        <v/>
      </c>
      <c r="CV7" s="2" t="str">
        <f aca="false">IF(BN7="x","x",IF(BN7="-","-",""))</f>
        <v/>
      </c>
      <c r="CW7" s="2" t="str">
        <f aca="false">IF(BO7="x","x",IF(BO7="-","-",""))</f>
        <v/>
      </c>
      <c r="CX7" s="2" t="str">
        <f aca="false">IF(BP7="x","x",IF(BP7="-","-",""))</f>
        <v/>
      </c>
      <c r="CZ7" s="2" t="str">
        <f aca="false">IF(P7="x","x",IF(P7="-","-",""))</f>
        <v>-</v>
      </c>
      <c r="DA7" s="2" t="str">
        <f aca="false">IF(Q7="x","x",IF(Q7="-","-",""))</f>
        <v>-</v>
      </c>
      <c r="DB7" s="2" t="str">
        <f aca="false">IF(R7="x","x",IF(R7="-","-",""))</f>
        <v>-</v>
      </c>
      <c r="DC7" s="2" t="str">
        <f aca="false">IF(S7="x","x",IF(S7="-","-",""))</f>
        <v>-</v>
      </c>
      <c r="DD7" s="2" t="str">
        <f aca="false">IF(T7="x","x",IF(T7="-","-",""))</f>
        <v>-</v>
      </c>
      <c r="DE7" s="2" t="str">
        <f aca="false">IF(U7="x","x",IF(U7="-","-",""))</f>
        <v>-</v>
      </c>
      <c r="DF7" s="2" t="str">
        <f aca="false">IF(V7="x","x",IF(V7="-","-",""))</f>
        <v>-</v>
      </c>
      <c r="DG7" s="2" t="str">
        <f aca="false">IF(W7="x","x",IF(W7="-","-",""))</f>
        <v>-</v>
      </c>
      <c r="DH7" s="2" t="str">
        <f aca="false">IF(X7="x","x",IF(X7="-","-",""))</f>
        <v>-</v>
      </c>
      <c r="DI7" s="2" t="str">
        <f aca="false">IF(Y7="x","x",IF(Y7="-","-",""))</f>
        <v>-</v>
      </c>
      <c r="DJ7" s="2" t="str">
        <f aca="false">IF(Z7="x","x",IF(Z7="-","-",""))</f>
        <v>-</v>
      </c>
      <c r="DK7" s="2" t="str">
        <f aca="false">IF(AA7="x","x",IF(AA7="-","-",""))</f>
        <v>-</v>
      </c>
      <c r="DL7" s="10"/>
      <c r="DM7" s="2" t="str">
        <f aca="false">IF(AC7="x","x",IF(AC7="-","-",""))</f>
        <v>-</v>
      </c>
      <c r="DN7" s="2" t="str">
        <f aca="false">IF(AD7="x","x",IF(AD7="-","-",""))</f>
        <v>-</v>
      </c>
      <c r="DO7" s="2" t="str">
        <f aca="false">IF(AE7="x","x",IF(AE7="-","-",""))</f>
        <v>-</v>
      </c>
      <c r="DP7" s="2" t="str">
        <f aca="false">IF(AF7="x","x",IF(AF7="-","-",""))</f>
        <v>-</v>
      </c>
      <c r="DQ7" s="2" t="str">
        <f aca="false">IF(AG7="x","x",IF(AG7="-","-",""))</f>
        <v>-</v>
      </c>
      <c r="DR7" s="2" t="str">
        <f aca="false">IF(AH7="x","x",IF(AH7="-","-",""))</f>
        <v>-</v>
      </c>
      <c r="DS7" s="2" t="str">
        <f aca="false">IF(AI7="x","x",IF(AI7="-","-",""))</f>
        <v>-</v>
      </c>
      <c r="DT7" s="2" t="str">
        <f aca="false">IF(AJ7="x","x",IF(AJ7="-","-",""))</f>
        <v>-</v>
      </c>
      <c r="DU7" s="2" t="str">
        <f aca="false">IF(AK7="x","x",IF(AK7="-","-",""))</f>
        <v>-</v>
      </c>
      <c r="DV7" s="2" t="str">
        <f aca="false">IF(AL7="x","x",IF(AL7="-","-",""))</f>
        <v>-</v>
      </c>
      <c r="DW7" s="2" t="str">
        <f aca="false">IF(AM7="x","x",IF(AM7="-","-",""))</f>
        <v>-</v>
      </c>
      <c r="DX7" s="2" t="str">
        <f aca="false">IF(AN7="x","x",IF(AN7="-","-",""))</f>
        <v>-</v>
      </c>
    </row>
    <row r="8" customFormat="false" ht="13.8" hidden="false" customHeight="false" outlineLevel="0" collapsed="false">
      <c r="A8" s="10" t="s">
        <v>73</v>
      </c>
      <c r="B8" s="2" t="n">
        <v>7</v>
      </c>
      <c r="C8" s="11" t="s">
        <v>84</v>
      </c>
      <c r="D8" s="10" t="s">
        <v>75</v>
      </c>
      <c r="E8" s="10" t="s">
        <v>76</v>
      </c>
      <c r="F8" s="10" t="n">
        <v>7</v>
      </c>
      <c r="G8" s="10" t="s">
        <v>77</v>
      </c>
      <c r="H8" s="10" t="s">
        <v>77</v>
      </c>
      <c r="I8" s="10" t="s">
        <v>77</v>
      </c>
      <c r="J8" s="10" t="s">
        <v>77</v>
      </c>
      <c r="K8" s="10" t="s">
        <v>77</v>
      </c>
      <c r="L8" s="10" t="s">
        <v>77</v>
      </c>
      <c r="M8" s="2" t="n">
        <v>20</v>
      </c>
      <c r="N8" s="10" t="s">
        <v>77</v>
      </c>
      <c r="O8" s="10"/>
      <c r="P8" s="10" t="s">
        <v>77</v>
      </c>
      <c r="Q8" s="10" t="s">
        <v>77</v>
      </c>
      <c r="R8" s="10" t="s">
        <v>77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77</v>
      </c>
      <c r="Y8" s="10" t="s">
        <v>77</v>
      </c>
      <c r="Z8" s="10" t="s">
        <v>77</v>
      </c>
      <c r="AA8" s="10" t="s">
        <v>77</v>
      </c>
      <c r="AB8" s="10"/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77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77</v>
      </c>
      <c r="AM8" s="10" t="s">
        <v>77</v>
      </c>
      <c r="AN8" s="10" t="s">
        <v>77</v>
      </c>
      <c r="AO8" s="10"/>
      <c r="AP8" s="10" t="s">
        <v>73</v>
      </c>
      <c r="AQ8" s="10" t="s">
        <v>73</v>
      </c>
      <c r="AS8" s="10" t="s">
        <v>78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R8" s="10" t="s">
        <v>78</v>
      </c>
      <c r="BS8" s="10"/>
      <c r="BT8" s="10"/>
      <c r="BU8" s="10"/>
      <c r="BV8" s="10"/>
      <c r="BW8" s="10"/>
      <c r="BX8" s="10"/>
      <c r="BY8" s="10"/>
      <c r="CA8" s="2" t="str">
        <f aca="false">IF(AS8="x","x",IF(AS8="-","-",""))</f>
        <v>x</v>
      </c>
      <c r="CB8" s="2" t="str">
        <f aca="false">IF(AT8="x","x",IF(AT8="-","-",""))</f>
        <v/>
      </c>
      <c r="CC8" s="2" t="str">
        <f aca="false">IF(AU8="x","x",IF(AU8="-","-",""))</f>
        <v/>
      </c>
      <c r="CD8" s="2" t="str">
        <f aca="false">IF(AV8="x","x",IF(AV8="-","-",""))</f>
        <v/>
      </c>
      <c r="CE8" s="2" t="str">
        <f aca="false">IF(AW8="x","x",IF(AW8="-","-",""))</f>
        <v/>
      </c>
      <c r="CF8" s="2" t="str">
        <f aca="false">IF(AX8="x","x",IF(AX8="-","-",""))</f>
        <v/>
      </c>
      <c r="CG8" s="2" t="str">
        <f aca="false">IF(AY8="x","x",IF(AY8="-","-",""))</f>
        <v/>
      </c>
      <c r="CH8" s="2" t="str">
        <f aca="false">IF(AZ8="x","x",IF(AZ8="-","-",""))</f>
        <v/>
      </c>
      <c r="CI8" s="2" t="str">
        <f aca="false">IF(BA8="x","x",IF(BA8="-","-",""))</f>
        <v/>
      </c>
      <c r="CJ8" s="2" t="str">
        <f aca="false">IF(BB8="x","x",IF(BB8="-","-",""))</f>
        <v/>
      </c>
      <c r="CK8" s="2" t="str">
        <f aca="false">IF(BC8="x","x",IF(BC8="-","-",""))</f>
        <v/>
      </c>
      <c r="CL8" s="2" t="str">
        <f aca="false">IF(BD8="x","x",IF(BD8="-","-",""))</f>
        <v/>
      </c>
      <c r="CM8" s="2" t="str">
        <f aca="false">IF(BE8="x","x",IF(BE8="-","-",""))</f>
        <v/>
      </c>
      <c r="CN8" s="2" t="str">
        <f aca="false">IF(BF8="x","x",IF(BF8="-","-",""))</f>
        <v/>
      </c>
      <c r="CO8" s="2" t="str">
        <f aca="false">IF(BG8="x","x",IF(BG8="-","-",""))</f>
        <v/>
      </c>
      <c r="CP8" s="2" t="str">
        <f aca="false">IF(BH8="x","x",IF(BH8="-","-",""))</f>
        <v/>
      </c>
      <c r="CQ8" s="2" t="str">
        <f aca="false">IF(BI8="x","x",IF(BI8="-","-",""))</f>
        <v/>
      </c>
      <c r="CR8" s="2" t="str">
        <f aca="false">IF(BJ8="x","x",IF(BJ8="-","-",""))</f>
        <v/>
      </c>
      <c r="CS8" s="2" t="str">
        <f aca="false">IF(BK8="x","x",IF(BK8="-","-",""))</f>
        <v/>
      </c>
      <c r="CT8" s="2" t="str">
        <f aca="false">IF(BL8="x","x",IF(BL8="-","-",""))</f>
        <v/>
      </c>
      <c r="CU8" s="2" t="str">
        <f aca="false">IF(BM8="x","x",IF(BM8="-","-",""))</f>
        <v/>
      </c>
      <c r="CV8" s="2" t="str">
        <f aca="false">IF(BN8="x","x",IF(BN8="-","-",""))</f>
        <v/>
      </c>
      <c r="CW8" s="2" t="str">
        <f aca="false">IF(BO8="x","x",IF(BO8="-","-",""))</f>
        <v/>
      </c>
      <c r="CX8" s="2" t="str">
        <f aca="false">IF(BP8="x","x",IF(BP8="-","-",""))</f>
        <v/>
      </c>
      <c r="CZ8" s="2" t="str">
        <f aca="false">IF(P8="x","x",IF(P8="-","-",""))</f>
        <v>-</v>
      </c>
      <c r="DA8" s="2" t="str">
        <f aca="false">IF(Q8="x","x",IF(Q8="-","-",""))</f>
        <v>-</v>
      </c>
      <c r="DB8" s="2" t="str">
        <f aca="false">IF(R8="x","x",IF(R8="-","-",""))</f>
        <v>-</v>
      </c>
      <c r="DC8" s="2" t="str">
        <f aca="false">IF(S8="x","x",IF(S8="-","-",""))</f>
        <v>-</v>
      </c>
      <c r="DD8" s="2" t="str">
        <f aca="false">IF(T8="x","x",IF(T8="-","-",""))</f>
        <v>-</v>
      </c>
      <c r="DE8" s="2" t="str">
        <f aca="false">IF(U8="x","x",IF(U8="-","-",""))</f>
        <v>-</v>
      </c>
      <c r="DF8" s="2" t="str">
        <f aca="false">IF(V8="x","x",IF(V8="-","-",""))</f>
        <v>-</v>
      </c>
      <c r="DG8" s="2" t="str">
        <f aca="false">IF(W8="x","x",IF(W8="-","-",""))</f>
        <v>-</v>
      </c>
      <c r="DH8" s="2" t="str">
        <f aca="false">IF(X8="x","x",IF(X8="-","-",""))</f>
        <v>-</v>
      </c>
      <c r="DI8" s="2" t="str">
        <f aca="false">IF(Y8="x","x",IF(Y8="-","-",""))</f>
        <v>-</v>
      </c>
      <c r="DJ8" s="2" t="str">
        <f aca="false">IF(Z8="x","x",IF(Z8="-","-",""))</f>
        <v>-</v>
      </c>
      <c r="DK8" s="2" t="str">
        <f aca="false">IF(AA8="x","x",IF(AA8="-","-",""))</f>
        <v>-</v>
      </c>
      <c r="DL8" s="10"/>
      <c r="DM8" s="2" t="str">
        <f aca="false">IF(AC8="x","x",IF(AC8="-","-",""))</f>
        <v>-</v>
      </c>
      <c r="DN8" s="2" t="str">
        <f aca="false">IF(AD8="x","x",IF(AD8="-","-",""))</f>
        <v>-</v>
      </c>
      <c r="DO8" s="2" t="str">
        <f aca="false">IF(AE8="x","x",IF(AE8="-","-",""))</f>
        <v>-</v>
      </c>
      <c r="DP8" s="2" t="str">
        <f aca="false">IF(AF8="x","x",IF(AF8="-","-",""))</f>
        <v>-</v>
      </c>
      <c r="DQ8" s="2" t="str">
        <f aca="false">IF(AG8="x","x",IF(AG8="-","-",""))</f>
        <v>-</v>
      </c>
      <c r="DR8" s="2" t="str">
        <f aca="false">IF(AH8="x","x",IF(AH8="-","-",""))</f>
        <v>-</v>
      </c>
      <c r="DS8" s="2" t="str">
        <f aca="false">IF(AI8="x","x",IF(AI8="-","-",""))</f>
        <v>-</v>
      </c>
      <c r="DT8" s="2" t="str">
        <f aca="false">IF(AJ8="x","x",IF(AJ8="-","-",""))</f>
        <v>-</v>
      </c>
      <c r="DU8" s="2" t="str">
        <f aca="false">IF(AK8="x","x",IF(AK8="-","-",""))</f>
        <v>-</v>
      </c>
      <c r="DV8" s="2" t="str">
        <f aca="false">IF(AL8="x","x",IF(AL8="-","-",""))</f>
        <v>-</v>
      </c>
      <c r="DW8" s="2" t="str">
        <f aca="false">IF(AM8="x","x",IF(AM8="-","-",""))</f>
        <v>-</v>
      </c>
      <c r="DX8" s="2" t="str">
        <f aca="false">IF(AN8="x","x",IF(AN8="-","-",""))</f>
        <v>-</v>
      </c>
    </row>
    <row r="9" customFormat="false" ht="13.8" hidden="false" customHeight="false" outlineLevel="0" collapsed="false">
      <c r="A9" s="10" t="s">
        <v>73</v>
      </c>
      <c r="B9" s="2" t="n">
        <v>8</v>
      </c>
      <c r="C9" s="11" t="s">
        <v>85</v>
      </c>
      <c r="D9" s="10" t="s">
        <v>75</v>
      </c>
      <c r="E9" s="10" t="s">
        <v>76</v>
      </c>
      <c r="F9" s="10" t="n">
        <v>8</v>
      </c>
      <c r="G9" s="10" t="s">
        <v>77</v>
      </c>
      <c r="H9" s="10" t="s">
        <v>77</v>
      </c>
      <c r="I9" s="10" t="s">
        <v>77</v>
      </c>
      <c r="J9" s="10" t="s">
        <v>77</v>
      </c>
      <c r="K9" s="10" t="s">
        <v>77</v>
      </c>
      <c r="L9" s="10" t="s">
        <v>77</v>
      </c>
      <c r="M9" s="2" t="n">
        <v>20</v>
      </c>
      <c r="N9" s="10" t="s">
        <v>77</v>
      </c>
      <c r="O9" s="10"/>
      <c r="P9" s="10" t="s">
        <v>77</v>
      </c>
      <c r="Q9" s="10" t="s">
        <v>77</v>
      </c>
      <c r="R9" s="10" t="s">
        <v>77</v>
      </c>
      <c r="S9" s="10" t="s">
        <v>77</v>
      </c>
      <c r="T9" s="10" t="s">
        <v>77</v>
      </c>
      <c r="U9" s="10" t="s">
        <v>77</v>
      </c>
      <c r="V9" s="10" t="s">
        <v>77</v>
      </c>
      <c r="W9" s="10" t="s">
        <v>77</v>
      </c>
      <c r="X9" s="10" t="s">
        <v>77</v>
      </c>
      <c r="Y9" s="10" t="s">
        <v>77</v>
      </c>
      <c r="Z9" s="10" t="s">
        <v>77</v>
      </c>
      <c r="AA9" s="10" t="s">
        <v>77</v>
      </c>
      <c r="AB9" s="10"/>
      <c r="AC9" s="10" t="s">
        <v>77</v>
      </c>
      <c r="AD9" s="10" t="s">
        <v>77</v>
      </c>
      <c r="AE9" s="10" t="s">
        <v>77</v>
      </c>
      <c r="AF9" s="10" t="s">
        <v>77</v>
      </c>
      <c r="AG9" s="10" t="s">
        <v>77</v>
      </c>
      <c r="AH9" s="10" t="s">
        <v>77</v>
      </c>
      <c r="AI9" s="10" t="s">
        <v>77</v>
      </c>
      <c r="AJ9" s="10" t="s">
        <v>77</v>
      </c>
      <c r="AK9" s="10" t="s">
        <v>77</v>
      </c>
      <c r="AL9" s="10" t="s">
        <v>77</v>
      </c>
      <c r="AM9" s="10" t="s">
        <v>77</v>
      </c>
      <c r="AN9" s="10" t="s">
        <v>77</v>
      </c>
      <c r="AO9" s="10"/>
      <c r="AP9" s="10" t="s">
        <v>73</v>
      </c>
      <c r="AQ9" s="10" t="s">
        <v>73</v>
      </c>
      <c r="AS9" s="10" t="s">
        <v>78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R9" s="10" t="s">
        <v>78</v>
      </c>
      <c r="BS9" s="10"/>
      <c r="BT9" s="10"/>
      <c r="BU9" s="10"/>
      <c r="BV9" s="10"/>
      <c r="BW9" s="10"/>
      <c r="BX9" s="10"/>
      <c r="BY9" s="10"/>
      <c r="CA9" s="2" t="str">
        <f aca="false">IF(AS9="x","x",IF(AS9="-","-",""))</f>
        <v>x</v>
      </c>
      <c r="CB9" s="2" t="str">
        <f aca="false">IF(AT9="x","x",IF(AT9="-","-",""))</f>
        <v/>
      </c>
      <c r="CC9" s="2" t="str">
        <f aca="false">IF(AU9="x","x",IF(AU9="-","-",""))</f>
        <v/>
      </c>
      <c r="CD9" s="2" t="str">
        <f aca="false">IF(AV9="x","x",IF(AV9="-","-",""))</f>
        <v/>
      </c>
      <c r="CE9" s="2" t="str">
        <f aca="false">IF(AW9="x","x",IF(AW9="-","-",""))</f>
        <v/>
      </c>
      <c r="CF9" s="2" t="str">
        <f aca="false">IF(AX9="x","x",IF(AX9="-","-",""))</f>
        <v/>
      </c>
      <c r="CG9" s="2" t="str">
        <f aca="false">IF(AY9="x","x",IF(AY9="-","-",""))</f>
        <v/>
      </c>
      <c r="CH9" s="2" t="str">
        <f aca="false">IF(AZ9="x","x",IF(AZ9="-","-",""))</f>
        <v/>
      </c>
      <c r="CI9" s="2" t="str">
        <f aca="false">IF(BA9="x","x",IF(BA9="-","-",""))</f>
        <v/>
      </c>
      <c r="CJ9" s="2" t="str">
        <f aca="false">IF(BB9="x","x",IF(BB9="-","-",""))</f>
        <v/>
      </c>
      <c r="CK9" s="2" t="str">
        <f aca="false">IF(BC9="x","x",IF(BC9="-","-",""))</f>
        <v/>
      </c>
      <c r="CL9" s="2" t="str">
        <f aca="false">IF(BD9="x","x",IF(BD9="-","-",""))</f>
        <v/>
      </c>
      <c r="CM9" s="2" t="str">
        <f aca="false">IF(BE9="x","x",IF(BE9="-","-",""))</f>
        <v/>
      </c>
      <c r="CN9" s="2" t="str">
        <f aca="false">IF(BF9="x","x",IF(BF9="-","-",""))</f>
        <v/>
      </c>
      <c r="CO9" s="2" t="str">
        <f aca="false">IF(BG9="x","x",IF(BG9="-","-",""))</f>
        <v/>
      </c>
      <c r="CP9" s="2" t="str">
        <f aca="false">IF(BH9="x","x",IF(BH9="-","-",""))</f>
        <v/>
      </c>
      <c r="CQ9" s="2" t="str">
        <f aca="false">IF(BI9="x","x",IF(BI9="-","-",""))</f>
        <v/>
      </c>
      <c r="CR9" s="2" t="str">
        <f aca="false">IF(BJ9="x","x",IF(BJ9="-","-",""))</f>
        <v/>
      </c>
      <c r="CS9" s="2" t="str">
        <f aca="false">IF(BK9="x","x",IF(BK9="-","-",""))</f>
        <v/>
      </c>
      <c r="CT9" s="2" t="str">
        <f aca="false">IF(BL9="x","x",IF(BL9="-","-",""))</f>
        <v/>
      </c>
      <c r="CU9" s="2" t="str">
        <f aca="false">IF(BM9="x","x",IF(BM9="-","-",""))</f>
        <v/>
      </c>
      <c r="CV9" s="2" t="str">
        <f aca="false">IF(BN9="x","x",IF(BN9="-","-",""))</f>
        <v/>
      </c>
      <c r="CW9" s="2" t="str">
        <f aca="false">IF(BO9="x","x",IF(BO9="-","-",""))</f>
        <v/>
      </c>
      <c r="CX9" s="2" t="str">
        <f aca="false">IF(BP9="x","x",IF(BP9="-","-",""))</f>
        <v/>
      </c>
      <c r="CZ9" s="2" t="str">
        <f aca="false">IF(P9="x","x",IF(P9="-","-",""))</f>
        <v>-</v>
      </c>
      <c r="DA9" s="2" t="str">
        <f aca="false">IF(Q9="x","x",IF(Q9="-","-",""))</f>
        <v>-</v>
      </c>
      <c r="DB9" s="2" t="str">
        <f aca="false">IF(R9="x","x",IF(R9="-","-",""))</f>
        <v>-</v>
      </c>
      <c r="DC9" s="2" t="str">
        <f aca="false">IF(S9="x","x",IF(S9="-","-",""))</f>
        <v>-</v>
      </c>
      <c r="DD9" s="2" t="str">
        <f aca="false">IF(T9="x","x",IF(T9="-","-",""))</f>
        <v>-</v>
      </c>
      <c r="DE9" s="2" t="str">
        <f aca="false">IF(U9="x","x",IF(U9="-","-",""))</f>
        <v>-</v>
      </c>
      <c r="DF9" s="2" t="str">
        <f aca="false">IF(V9="x","x",IF(V9="-","-",""))</f>
        <v>-</v>
      </c>
      <c r="DG9" s="2" t="str">
        <f aca="false">IF(W9="x","x",IF(W9="-","-",""))</f>
        <v>-</v>
      </c>
      <c r="DH9" s="2" t="str">
        <f aca="false">IF(X9="x","x",IF(X9="-","-",""))</f>
        <v>-</v>
      </c>
      <c r="DI9" s="2" t="str">
        <f aca="false">IF(Y9="x","x",IF(Y9="-","-",""))</f>
        <v>-</v>
      </c>
      <c r="DJ9" s="2" t="str">
        <f aca="false">IF(Z9="x","x",IF(Z9="-","-",""))</f>
        <v>-</v>
      </c>
      <c r="DK9" s="2" t="str">
        <f aca="false">IF(AA9="x","x",IF(AA9="-","-",""))</f>
        <v>-</v>
      </c>
      <c r="DL9" s="10"/>
      <c r="DM9" s="2" t="str">
        <f aca="false">IF(AC9="x","x",IF(AC9="-","-",""))</f>
        <v>-</v>
      </c>
      <c r="DN9" s="2" t="str">
        <f aca="false">IF(AD9="x","x",IF(AD9="-","-",""))</f>
        <v>-</v>
      </c>
      <c r="DO9" s="2" t="str">
        <f aca="false">IF(AE9="x","x",IF(AE9="-","-",""))</f>
        <v>-</v>
      </c>
      <c r="DP9" s="2" t="str">
        <f aca="false">IF(AF9="x","x",IF(AF9="-","-",""))</f>
        <v>-</v>
      </c>
      <c r="DQ9" s="2" t="str">
        <f aca="false">IF(AG9="x","x",IF(AG9="-","-",""))</f>
        <v>-</v>
      </c>
      <c r="DR9" s="2" t="str">
        <f aca="false">IF(AH9="x","x",IF(AH9="-","-",""))</f>
        <v>-</v>
      </c>
      <c r="DS9" s="2" t="str">
        <f aca="false">IF(AI9="x","x",IF(AI9="-","-",""))</f>
        <v>-</v>
      </c>
      <c r="DT9" s="2" t="str">
        <f aca="false">IF(AJ9="x","x",IF(AJ9="-","-",""))</f>
        <v>-</v>
      </c>
      <c r="DU9" s="2" t="str">
        <f aca="false">IF(AK9="x","x",IF(AK9="-","-",""))</f>
        <v>-</v>
      </c>
      <c r="DV9" s="2" t="str">
        <f aca="false">IF(AL9="x","x",IF(AL9="-","-",""))</f>
        <v>-</v>
      </c>
      <c r="DW9" s="2" t="str">
        <f aca="false">IF(AM9="x","x",IF(AM9="-","-",""))</f>
        <v>-</v>
      </c>
      <c r="DX9" s="2" t="str">
        <f aca="false">IF(AN9="x","x",IF(AN9="-","-",""))</f>
        <v>-</v>
      </c>
    </row>
    <row r="10" customFormat="false" ht="13.8" hidden="false" customHeight="false" outlineLevel="0" collapsed="false">
      <c r="A10" s="10" t="s">
        <v>73</v>
      </c>
      <c r="B10" s="2" t="n">
        <v>9</v>
      </c>
      <c r="C10" s="11" t="s">
        <v>86</v>
      </c>
      <c r="D10" s="10" t="s">
        <v>75</v>
      </c>
      <c r="E10" s="10" t="s">
        <v>76</v>
      </c>
      <c r="F10" s="10" t="n">
        <v>9</v>
      </c>
      <c r="G10" s="10" t="s">
        <v>77</v>
      </c>
      <c r="H10" s="10" t="s">
        <v>77</v>
      </c>
      <c r="I10" s="10" t="s">
        <v>77</v>
      </c>
      <c r="J10" s="10" t="s">
        <v>77</v>
      </c>
      <c r="K10" s="10" t="s">
        <v>77</v>
      </c>
      <c r="L10" s="10" t="s">
        <v>77</v>
      </c>
      <c r="M10" s="2" t="n">
        <v>20</v>
      </c>
      <c r="N10" s="10" t="s">
        <v>77</v>
      </c>
      <c r="O10" s="10"/>
      <c r="P10" s="10" t="s">
        <v>77</v>
      </c>
      <c r="Q10" s="10" t="s">
        <v>77</v>
      </c>
      <c r="R10" s="10" t="s">
        <v>77</v>
      </c>
      <c r="S10" s="10" t="s">
        <v>77</v>
      </c>
      <c r="T10" s="10" t="s">
        <v>77</v>
      </c>
      <c r="U10" s="10" t="s">
        <v>77</v>
      </c>
      <c r="V10" s="10" t="s">
        <v>77</v>
      </c>
      <c r="W10" s="10" t="s">
        <v>77</v>
      </c>
      <c r="X10" s="10" t="s">
        <v>77</v>
      </c>
      <c r="Y10" s="10" t="s">
        <v>77</v>
      </c>
      <c r="Z10" s="10" t="s">
        <v>77</v>
      </c>
      <c r="AA10" s="10" t="s">
        <v>77</v>
      </c>
      <c r="AB10" s="10"/>
      <c r="AC10" s="10" t="s">
        <v>77</v>
      </c>
      <c r="AD10" s="10" t="s">
        <v>77</v>
      </c>
      <c r="AE10" s="10" t="s">
        <v>77</v>
      </c>
      <c r="AF10" s="10" t="s">
        <v>77</v>
      </c>
      <c r="AG10" s="10" t="s">
        <v>77</v>
      </c>
      <c r="AH10" s="10" t="s">
        <v>77</v>
      </c>
      <c r="AI10" s="10" t="s">
        <v>77</v>
      </c>
      <c r="AJ10" s="10" t="s">
        <v>77</v>
      </c>
      <c r="AK10" s="10" t="s">
        <v>77</v>
      </c>
      <c r="AL10" s="10" t="s">
        <v>77</v>
      </c>
      <c r="AM10" s="10" t="s">
        <v>77</v>
      </c>
      <c r="AN10" s="10" t="s">
        <v>77</v>
      </c>
      <c r="AO10" s="10"/>
      <c r="AP10" s="10" t="s">
        <v>73</v>
      </c>
      <c r="AQ10" s="10" t="s">
        <v>73</v>
      </c>
      <c r="AS10" s="10" t="s">
        <v>78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R10" s="10" t="s">
        <v>78</v>
      </c>
      <c r="BS10" s="10"/>
      <c r="BT10" s="10"/>
      <c r="BU10" s="10"/>
      <c r="BV10" s="10"/>
      <c r="BW10" s="10"/>
      <c r="BX10" s="10"/>
      <c r="BY10" s="10"/>
      <c r="CA10" s="2" t="str">
        <f aca="false">IF(AS10="x","x",IF(AS10="-","-",""))</f>
        <v>x</v>
      </c>
      <c r="CB10" s="2" t="str">
        <f aca="false">IF(AT10="x","x",IF(AT10="-","-",""))</f>
        <v/>
      </c>
      <c r="CC10" s="2" t="str">
        <f aca="false">IF(AU10="x","x",IF(AU10="-","-",""))</f>
        <v/>
      </c>
      <c r="CD10" s="2" t="str">
        <f aca="false">IF(AV10="x","x",IF(AV10="-","-",""))</f>
        <v/>
      </c>
      <c r="CE10" s="2" t="str">
        <f aca="false">IF(AW10="x","x",IF(AW10="-","-",""))</f>
        <v/>
      </c>
      <c r="CF10" s="2" t="str">
        <f aca="false">IF(AX10="x","x",IF(AX10="-","-",""))</f>
        <v/>
      </c>
      <c r="CG10" s="2" t="str">
        <f aca="false">IF(AY10="x","x",IF(AY10="-","-",""))</f>
        <v/>
      </c>
      <c r="CH10" s="2" t="str">
        <f aca="false">IF(AZ10="x","x",IF(AZ10="-","-",""))</f>
        <v/>
      </c>
      <c r="CI10" s="2" t="str">
        <f aca="false">IF(BA10="x","x",IF(BA10="-","-",""))</f>
        <v/>
      </c>
      <c r="CJ10" s="2" t="str">
        <f aca="false">IF(BB10="x","x",IF(BB10="-","-",""))</f>
        <v/>
      </c>
      <c r="CK10" s="2" t="str">
        <f aca="false">IF(BC10="x","x",IF(BC10="-","-",""))</f>
        <v/>
      </c>
      <c r="CL10" s="2" t="str">
        <f aca="false">IF(BD10="x","x",IF(BD10="-","-",""))</f>
        <v/>
      </c>
      <c r="CM10" s="2" t="str">
        <f aca="false">IF(BE10="x","x",IF(BE10="-","-",""))</f>
        <v/>
      </c>
      <c r="CN10" s="2" t="str">
        <f aca="false">IF(BF10="x","x",IF(BF10="-","-",""))</f>
        <v/>
      </c>
      <c r="CO10" s="2" t="str">
        <f aca="false">IF(BG10="x","x",IF(BG10="-","-",""))</f>
        <v/>
      </c>
      <c r="CP10" s="2" t="str">
        <f aca="false">IF(BH10="x","x",IF(BH10="-","-",""))</f>
        <v/>
      </c>
      <c r="CQ10" s="2" t="str">
        <f aca="false">IF(BI10="x","x",IF(BI10="-","-",""))</f>
        <v/>
      </c>
      <c r="CR10" s="2" t="str">
        <f aca="false">IF(BJ10="x","x",IF(BJ10="-","-",""))</f>
        <v/>
      </c>
      <c r="CS10" s="2" t="str">
        <f aca="false">IF(BK10="x","x",IF(BK10="-","-",""))</f>
        <v/>
      </c>
      <c r="CT10" s="2" t="str">
        <f aca="false">IF(BL10="x","x",IF(BL10="-","-",""))</f>
        <v/>
      </c>
      <c r="CU10" s="2" t="str">
        <f aca="false">IF(BM10="x","x",IF(BM10="-","-",""))</f>
        <v/>
      </c>
      <c r="CV10" s="2" t="str">
        <f aca="false">IF(BN10="x","x",IF(BN10="-","-",""))</f>
        <v/>
      </c>
      <c r="CW10" s="2" t="str">
        <f aca="false">IF(BO10="x","x",IF(BO10="-","-",""))</f>
        <v/>
      </c>
      <c r="CX10" s="2" t="str">
        <f aca="false">IF(BP10="x","x",IF(BP10="-","-",""))</f>
        <v/>
      </c>
      <c r="CZ10" s="2" t="str">
        <f aca="false">IF(P10="x","x",IF(P10="-","-",""))</f>
        <v>-</v>
      </c>
      <c r="DA10" s="2" t="str">
        <f aca="false">IF(Q10="x","x",IF(Q10="-","-",""))</f>
        <v>-</v>
      </c>
      <c r="DB10" s="2" t="str">
        <f aca="false">IF(R10="x","x",IF(R10="-","-",""))</f>
        <v>-</v>
      </c>
      <c r="DC10" s="2" t="str">
        <f aca="false">IF(S10="x","x",IF(S10="-","-",""))</f>
        <v>-</v>
      </c>
      <c r="DD10" s="2" t="str">
        <f aca="false">IF(T10="x","x",IF(T10="-","-",""))</f>
        <v>-</v>
      </c>
      <c r="DE10" s="2" t="str">
        <f aca="false">IF(U10="x","x",IF(U10="-","-",""))</f>
        <v>-</v>
      </c>
      <c r="DF10" s="2" t="str">
        <f aca="false">IF(V10="x","x",IF(V10="-","-",""))</f>
        <v>-</v>
      </c>
      <c r="DG10" s="2" t="str">
        <f aca="false">IF(W10="x","x",IF(W10="-","-",""))</f>
        <v>-</v>
      </c>
      <c r="DH10" s="2" t="str">
        <f aca="false">IF(X10="x","x",IF(X10="-","-",""))</f>
        <v>-</v>
      </c>
      <c r="DI10" s="2" t="str">
        <f aca="false">IF(Y10="x","x",IF(Y10="-","-",""))</f>
        <v>-</v>
      </c>
      <c r="DJ10" s="2" t="str">
        <f aca="false">IF(Z10="x","x",IF(Z10="-","-",""))</f>
        <v>-</v>
      </c>
      <c r="DK10" s="2" t="str">
        <f aca="false">IF(AA10="x","x",IF(AA10="-","-",""))</f>
        <v>-</v>
      </c>
      <c r="DL10" s="10"/>
      <c r="DM10" s="2" t="str">
        <f aca="false">IF(AC10="x","x",IF(AC10="-","-",""))</f>
        <v>-</v>
      </c>
      <c r="DN10" s="2" t="str">
        <f aca="false">IF(AD10="x","x",IF(AD10="-","-",""))</f>
        <v>-</v>
      </c>
      <c r="DO10" s="2" t="str">
        <f aca="false">IF(AE10="x","x",IF(AE10="-","-",""))</f>
        <v>-</v>
      </c>
      <c r="DP10" s="2" t="str">
        <f aca="false">IF(AF10="x","x",IF(AF10="-","-",""))</f>
        <v>-</v>
      </c>
      <c r="DQ10" s="2" t="str">
        <f aca="false">IF(AG10="x","x",IF(AG10="-","-",""))</f>
        <v>-</v>
      </c>
      <c r="DR10" s="2" t="str">
        <f aca="false">IF(AH10="x","x",IF(AH10="-","-",""))</f>
        <v>-</v>
      </c>
      <c r="DS10" s="2" t="str">
        <f aca="false">IF(AI10="x","x",IF(AI10="-","-",""))</f>
        <v>-</v>
      </c>
      <c r="DT10" s="2" t="str">
        <f aca="false">IF(AJ10="x","x",IF(AJ10="-","-",""))</f>
        <v>-</v>
      </c>
      <c r="DU10" s="2" t="str">
        <f aca="false">IF(AK10="x","x",IF(AK10="-","-",""))</f>
        <v>-</v>
      </c>
      <c r="DV10" s="2" t="str">
        <f aca="false">IF(AL10="x","x",IF(AL10="-","-",""))</f>
        <v>-</v>
      </c>
      <c r="DW10" s="2" t="str">
        <f aca="false">IF(AM10="x","x",IF(AM10="-","-",""))</f>
        <v>-</v>
      </c>
      <c r="DX10" s="2" t="str">
        <f aca="false">IF(AN10="x","x",IF(AN10="-","-",""))</f>
        <v>-</v>
      </c>
    </row>
    <row r="11" customFormat="false" ht="13.8" hidden="false" customHeight="false" outlineLevel="0" collapsed="false">
      <c r="A11" s="10" t="s">
        <v>73</v>
      </c>
      <c r="B11" s="2" t="n">
        <v>10</v>
      </c>
      <c r="C11" s="11" t="s">
        <v>87</v>
      </c>
      <c r="D11" s="10" t="s">
        <v>75</v>
      </c>
      <c r="E11" s="10" t="s">
        <v>76</v>
      </c>
      <c r="F11" s="10" t="n">
        <v>10</v>
      </c>
      <c r="G11" s="10" t="s">
        <v>77</v>
      </c>
      <c r="H11" s="10" t="s">
        <v>77</v>
      </c>
      <c r="I11" s="10" t="s">
        <v>77</v>
      </c>
      <c r="J11" s="10" t="s">
        <v>77</v>
      </c>
      <c r="K11" s="10" t="s">
        <v>77</v>
      </c>
      <c r="L11" s="10" t="s">
        <v>77</v>
      </c>
      <c r="M11" s="2" t="n">
        <v>20</v>
      </c>
      <c r="N11" s="10" t="s">
        <v>77</v>
      </c>
      <c r="O11" s="10"/>
      <c r="P11" s="10" t="s">
        <v>77</v>
      </c>
      <c r="Q11" s="10" t="s">
        <v>77</v>
      </c>
      <c r="R11" s="10" t="s">
        <v>77</v>
      </c>
      <c r="S11" s="10" t="s">
        <v>77</v>
      </c>
      <c r="T11" s="10" t="s">
        <v>77</v>
      </c>
      <c r="U11" s="10" t="s">
        <v>77</v>
      </c>
      <c r="V11" s="10" t="s">
        <v>77</v>
      </c>
      <c r="W11" s="10" t="s">
        <v>77</v>
      </c>
      <c r="X11" s="10" t="s">
        <v>77</v>
      </c>
      <c r="Y11" s="10" t="s">
        <v>77</v>
      </c>
      <c r="Z11" s="10" t="s">
        <v>77</v>
      </c>
      <c r="AA11" s="10" t="s">
        <v>77</v>
      </c>
      <c r="AB11" s="10"/>
      <c r="AC11" s="10" t="s">
        <v>77</v>
      </c>
      <c r="AD11" s="10" t="s">
        <v>77</v>
      </c>
      <c r="AE11" s="10" t="s">
        <v>77</v>
      </c>
      <c r="AF11" s="10" t="s">
        <v>77</v>
      </c>
      <c r="AG11" s="10" t="s">
        <v>77</v>
      </c>
      <c r="AH11" s="10" t="s">
        <v>77</v>
      </c>
      <c r="AI11" s="10" t="s">
        <v>77</v>
      </c>
      <c r="AJ11" s="10" t="s">
        <v>77</v>
      </c>
      <c r="AK11" s="10" t="s">
        <v>77</v>
      </c>
      <c r="AL11" s="10" t="s">
        <v>77</v>
      </c>
      <c r="AM11" s="10" t="s">
        <v>77</v>
      </c>
      <c r="AN11" s="10" t="s">
        <v>77</v>
      </c>
      <c r="AO11" s="10"/>
      <c r="AP11" s="10" t="s">
        <v>73</v>
      </c>
      <c r="AQ11" s="10" t="s">
        <v>73</v>
      </c>
      <c r="AS11" s="10" t="s">
        <v>78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R11" s="10" t="s">
        <v>78</v>
      </c>
      <c r="BS11" s="10"/>
      <c r="BT11" s="10"/>
      <c r="BU11" s="10"/>
      <c r="BV11" s="10"/>
      <c r="BW11" s="10"/>
      <c r="BX11" s="10"/>
      <c r="BY11" s="10"/>
      <c r="CA11" s="2" t="str">
        <f aca="false">IF(AS11="x","x",IF(AS11="-","-",""))</f>
        <v>x</v>
      </c>
      <c r="CB11" s="2" t="str">
        <f aca="false">IF(AT11="x","x",IF(AT11="-","-",""))</f>
        <v/>
      </c>
      <c r="CC11" s="2" t="str">
        <f aca="false">IF(AU11="x","x",IF(AU11="-","-",""))</f>
        <v/>
      </c>
      <c r="CD11" s="2" t="str">
        <f aca="false">IF(AV11="x","x",IF(AV11="-","-",""))</f>
        <v/>
      </c>
      <c r="CE11" s="2" t="str">
        <f aca="false">IF(AW11="x","x",IF(AW11="-","-",""))</f>
        <v/>
      </c>
      <c r="CF11" s="2" t="str">
        <f aca="false">IF(AX11="x","x",IF(AX11="-","-",""))</f>
        <v/>
      </c>
      <c r="CG11" s="2" t="str">
        <f aca="false">IF(AY11="x","x",IF(AY11="-","-",""))</f>
        <v/>
      </c>
      <c r="CH11" s="2" t="str">
        <f aca="false">IF(AZ11="x","x",IF(AZ11="-","-",""))</f>
        <v/>
      </c>
      <c r="CI11" s="2" t="str">
        <f aca="false">IF(BA11="x","x",IF(BA11="-","-",""))</f>
        <v/>
      </c>
      <c r="CJ11" s="2" t="str">
        <f aca="false">IF(BB11="x","x",IF(BB11="-","-",""))</f>
        <v/>
      </c>
      <c r="CK11" s="2" t="str">
        <f aca="false">IF(BC11="x","x",IF(BC11="-","-",""))</f>
        <v/>
      </c>
      <c r="CL11" s="2" t="str">
        <f aca="false">IF(BD11="x","x",IF(BD11="-","-",""))</f>
        <v/>
      </c>
      <c r="CM11" s="2" t="str">
        <f aca="false">IF(BE11="x","x",IF(BE11="-","-",""))</f>
        <v/>
      </c>
      <c r="CN11" s="2" t="str">
        <f aca="false">IF(BF11="x","x",IF(BF11="-","-",""))</f>
        <v/>
      </c>
      <c r="CO11" s="2" t="str">
        <f aca="false">IF(BG11="x","x",IF(BG11="-","-",""))</f>
        <v/>
      </c>
      <c r="CP11" s="2" t="str">
        <f aca="false">IF(BH11="x","x",IF(BH11="-","-",""))</f>
        <v/>
      </c>
      <c r="CQ11" s="2" t="str">
        <f aca="false">IF(BI11="x","x",IF(BI11="-","-",""))</f>
        <v/>
      </c>
      <c r="CR11" s="2" t="str">
        <f aca="false">IF(BJ11="x","x",IF(BJ11="-","-",""))</f>
        <v/>
      </c>
      <c r="CS11" s="2" t="str">
        <f aca="false">IF(BK11="x","x",IF(BK11="-","-",""))</f>
        <v/>
      </c>
      <c r="CT11" s="2" t="str">
        <f aca="false">IF(BL11="x","x",IF(BL11="-","-",""))</f>
        <v/>
      </c>
      <c r="CU11" s="2" t="str">
        <f aca="false">IF(BM11="x","x",IF(BM11="-","-",""))</f>
        <v/>
      </c>
      <c r="CV11" s="2" t="str">
        <f aca="false">IF(BN11="x","x",IF(BN11="-","-",""))</f>
        <v/>
      </c>
      <c r="CW11" s="2" t="str">
        <f aca="false">IF(BO11="x","x",IF(BO11="-","-",""))</f>
        <v/>
      </c>
      <c r="CX11" s="2" t="str">
        <f aca="false">IF(BP11="x","x",IF(BP11="-","-",""))</f>
        <v/>
      </c>
      <c r="CZ11" s="2" t="str">
        <f aca="false">IF(P11="x","x",IF(P11="-","-",""))</f>
        <v>-</v>
      </c>
      <c r="DA11" s="2" t="str">
        <f aca="false">IF(Q11="x","x",IF(Q11="-","-",""))</f>
        <v>-</v>
      </c>
      <c r="DB11" s="2" t="str">
        <f aca="false">IF(R11="x","x",IF(R11="-","-",""))</f>
        <v>-</v>
      </c>
      <c r="DC11" s="2" t="str">
        <f aca="false">IF(S11="x","x",IF(S11="-","-",""))</f>
        <v>-</v>
      </c>
      <c r="DD11" s="2" t="str">
        <f aca="false">IF(T11="x","x",IF(T11="-","-",""))</f>
        <v>-</v>
      </c>
      <c r="DE11" s="2" t="str">
        <f aca="false">IF(U11="x","x",IF(U11="-","-",""))</f>
        <v>-</v>
      </c>
      <c r="DF11" s="2" t="str">
        <f aca="false">IF(V11="x","x",IF(V11="-","-",""))</f>
        <v>-</v>
      </c>
      <c r="DG11" s="2" t="str">
        <f aca="false">IF(W11="x","x",IF(W11="-","-",""))</f>
        <v>-</v>
      </c>
      <c r="DH11" s="2" t="str">
        <f aca="false">IF(X11="x","x",IF(X11="-","-",""))</f>
        <v>-</v>
      </c>
      <c r="DI11" s="2" t="str">
        <f aca="false">IF(Y11="x","x",IF(Y11="-","-",""))</f>
        <v>-</v>
      </c>
      <c r="DJ11" s="2" t="str">
        <f aca="false">IF(Z11="x","x",IF(Z11="-","-",""))</f>
        <v>-</v>
      </c>
      <c r="DK11" s="2" t="str">
        <f aca="false">IF(AA11="x","x",IF(AA11="-","-",""))</f>
        <v>-</v>
      </c>
      <c r="DL11" s="10"/>
      <c r="DM11" s="2" t="str">
        <f aca="false">IF(AC11="x","x",IF(AC11="-","-",""))</f>
        <v>-</v>
      </c>
      <c r="DN11" s="2" t="str">
        <f aca="false">IF(AD11="x","x",IF(AD11="-","-",""))</f>
        <v>-</v>
      </c>
      <c r="DO11" s="2" t="str">
        <f aca="false">IF(AE11="x","x",IF(AE11="-","-",""))</f>
        <v>-</v>
      </c>
      <c r="DP11" s="2" t="str">
        <f aca="false">IF(AF11="x","x",IF(AF11="-","-",""))</f>
        <v>-</v>
      </c>
      <c r="DQ11" s="2" t="str">
        <f aca="false">IF(AG11="x","x",IF(AG11="-","-",""))</f>
        <v>-</v>
      </c>
      <c r="DR11" s="2" t="str">
        <f aca="false">IF(AH11="x","x",IF(AH11="-","-",""))</f>
        <v>-</v>
      </c>
      <c r="DS11" s="2" t="str">
        <f aca="false">IF(AI11="x","x",IF(AI11="-","-",""))</f>
        <v>-</v>
      </c>
      <c r="DT11" s="2" t="str">
        <f aca="false">IF(AJ11="x","x",IF(AJ11="-","-",""))</f>
        <v>-</v>
      </c>
      <c r="DU11" s="2" t="str">
        <f aca="false">IF(AK11="x","x",IF(AK11="-","-",""))</f>
        <v>-</v>
      </c>
      <c r="DV11" s="2" t="str">
        <f aca="false">IF(AL11="x","x",IF(AL11="-","-",""))</f>
        <v>-</v>
      </c>
      <c r="DW11" s="2" t="str">
        <f aca="false">IF(AM11="x","x",IF(AM11="-","-",""))</f>
        <v>-</v>
      </c>
      <c r="DX11" s="2" t="str">
        <f aca="false">IF(AN11="x","x",IF(AN11="-","-",""))</f>
        <v>-</v>
      </c>
    </row>
    <row r="12" customFormat="false" ht="13.8" hidden="false" customHeight="false" outlineLevel="0" collapsed="false">
      <c r="A12" s="10" t="s">
        <v>73</v>
      </c>
      <c r="B12" s="2" t="n">
        <v>11</v>
      </c>
      <c r="C12" s="11" t="s">
        <v>88</v>
      </c>
      <c r="D12" s="10" t="s">
        <v>75</v>
      </c>
      <c r="E12" s="10" t="s">
        <v>76</v>
      </c>
      <c r="F12" s="10" t="n">
        <v>11</v>
      </c>
      <c r="G12" s="10" t="s">
        <v>77</v>
      </c>
      <c r="H12" s="10" t="s">
        <v>77</v>
      </c>
      <c r="I12" s="10" t="s">
        <v>77</v>
      </c>
      <c r="J12" s="10" t="s">
        <v>77</v>
      </c>
      <c r="K12" s="10" t="s">
        <v>77</v>
      </c>
      <c r="L12" s="10" t="s">
        <v>77</v>
      </c>
      <c r="M12" s="2" t="n">
        <v>20</v>
      </c>
      <c r="N12" s="10" t="s">
        <v>77</v>
      </c>
      <c r="O12" s="10"/>
      <c r="P12" s="10" t="s">
        <v>77</v>
      </c>
      <c r="Q12" s="10" t="s">
        <v>77</v>
      </c>
      <c r="R12" s="10" t="s">
        <v>77</v>
      </c>
      <c r="S12" s="10" t="s">
        <v>77</v>
      </c>
      <c r="T12" s="10" t="s">
        <v>77</v>
      </c>
      <c r="U12" s="10" t="s">
        <v>77</v>
      </c>
      <c r="V12" s="10" t="s">
        <v>77</v>
      </c>
      <c r="W12" s="10" t="s">
        <v>77</v>
      </c>
      <c r="X12" s="10" t="s">
        <v>77</v>
      </c>
      <c r="Y12" s="10" t="s">
        <v>77</v>
      </c>
      <c r="Z12" s="10" t="s">
        <v>77</v>
      </c>
      <c r="AA12" s="10" t="s">
        <v>77</v>
      </c>
      <c r="AB12" s="10"/>
      <c r="AC12" s="10" t="s">
        <v>77</v>
      </c>
      <c r="AD12" s="10" t="s">
        <v>77</v>
      </c>
      <c r="AE12" s="10" t="s">
        <v>77</v>
      </c>
      <c r="AF12" s="10" t="s">
        <v>77</v>
      </c>
      <c r="AG12" s="10" t="s">
        <v>77</v>
      </c>
      <c r="AH12" s="10" t="s">
        <v>77</v>
      </c>
      <c r="AI12" s="10" t="s">
        <v>77</v>
      </c>
      <c r="AJ12" s="10" t="s">
        <v>77</v>
      </c>
      <c r="AK12" s="10" t="s">
        <v>77</v>
      </c>
      <c r="AL12" s="10" t="s">
        <v>77</v>
      </c>
      <c r="AM12" s="10" t="s">
        <v>77</v>
      </c>
      <c r="AN12" s="10" t="s">
        <v>77</v>
      </c>
      <c r="AO12" s="10"/>
      <c r="AP12" s="10" t="s">
        <v>73</v>
      </c>
      <c r="AQ12" s="10" t="s">
        <v>73</v>
      </c>
      <c r="AS12" s="10" t="s">
        <v>78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R12" s="10" t="s">
        <v>78</v>
      </c>
      <c r="BS12" s="10"/>
      <c r="BT12" s="10"/>
      <c r="BU12" s="10"/>
      <c r="BV12" s="10"/>
      <c r="BW12" s="10"/>
      <c r="BX12" s="10"/>
      <c r="BY12" s="10"/>
      <c r="CA12" s="2" t="str">
        <f aca="false">IF(AS12="x","x",IF(AS12="-","-",""))</f>
        <v>x</v>
      </c>
      <c r="CB12" s="2" t="str">
        <f aca="false">IF(AT12="x","x",IF(AT12="-","-",""))</f>
        <v/>
      </c>
      <c r="CC12" s="2" t="str">
        <f aca="false">IF(AU12="x","x",IF(AU12="-","-",""))</f>
        <v/>
      </c>
      <c r="CD12" s="2" t="str">
        <f aca="false">IF(AV12="x","x",IF(AV12="-","-",""))</f>
        <v/>
      </c>
      <c r="CE12" s="2" t="str">
        <f aca="false">IF(AW12="x","x",IF(AW12="-","-",""))</f>
        <v/>
      </c>
      <c r="CF12" s="2" t="str">
        <f aca="false">IF(AX12="x","x",IF(AX12="-","-",""))</f>
        <v/>
      </c>
      <c r="CG12" s="2" t="str">
        <f aca="false">IF(AY12="x","x",IF(AY12="-","-",""))</f>
        <v/>
      </c>
      <c r="CH12" s="2" t="str">
        <f aca="false">IF(AZ12="x","x",IF(AZ12="-","-",""))</f>
        <v/>
      </c>
      <c r="CI12" s="2" t="str">
        <f aca="false">IF(BA12="x","x",IF(BA12="-","-",""))</f>
        <v/>
      </c>
      <c r="CJ12" s="2" t="str">
        <f aca="false">IF(BB12="x","x",IF(BB12="-","-",""))</f>
        <v/>
      </c>
      <c r="CK12" s="2" t="str">
        <f aca="false">IF(BC12="x","x",IF(BC12="-","-",""))</f>
        <v/>
      </c>
      <c r="CL12" s="2" t="str">
        <f aca="false">IF(BD12="x","x",IF(BD12="-","-",""))</f>
        <v/>
      </c>
      <c r="CM12" s="2" t="str">
        <f aca="false">IF(BE12="x","x",IF(BE12="-","-",""))</f>
        <v/>
      </c>
      <c r="CN12" s="2" t="str">
        <f aca="false">IF(BF12="x","x",IF(BF12="-","-",""))</f>
        <v/>
      </c>
      <c r="CO12" s="2" t="str">
        <f aca="false">IF(BG12="x","x",IF(BG12="-","-",""))</f>
        <v/>
      </c>
      <c r="CP12" s="2" t="str">
        <f aca="false">IF(BH12="x","x",IF(BH12="-","-",""))</f>
        <v/>
      </c>
      <c r="CQ12" s="2" t="str">
        <f aca="false">IF(BI12="x","x",IF(BI12="-","-",""))</f>
        <v/>
      </c>
      <c r="CR12" s="2" t="str">
        <f aca="false">IF(BJ12="x","x",IF(BJ12="-","-",""))</f>
        <v/>
      </c>
      <c r="CS12" s="2" t="str">
        <f aca="false">IF(BK12="x","x",IF(BK12="-","-",""))</f>
        <v/>
      </c>
      <c r="CT12" s="2" t="str">
        <f aca="false">IF(BL12="x","x",IF(BL12="-","-",""))</f>
        <v/>
      </c>
      <c r="CU12" s="2" t="str">
        <f aca="false">IF(BM12="x","x",IF(BM12="-","-",""))</f>
        <v/>
      </c>
      <c r="CV12" s="2" t="str">
        <f aca="false">IF(BN12="x","x",IF(BN12="-","-",""))</f>
        <v/>
      </c>
      <c r="CW12" s="2" t="str">
        <f aca="false">IF(BO12="x","x",IF(BO12="-","-",""))</f>
        <v/>
      </c>
      <c r="CX12" s="2" t="str">
        <f aca="false">IF(BP12="x","x",IF(BP12="-","-",""))</f>
        <v/>
      </c>
      <c r="CZ12" s="2" t="str">
        <f aca="false">IF(P12="x","x",IF(P12="-","-",""))</f>
        <v>-</v>
      </c>
      <c r="DA12" s="2" t="str">
        <f aca="false">IF(Q12="x","x",IF(Q12="-","-",""))</f>
        <v>-</v>
      </c>
      <c r="DB12" s="2" t="str">
        <f aca="false">IF(R12="x","x",IF(R12="-","-",""))</f>
        <v>-</v>
      </c>
      <c r="DC12" s="2" t="str">
        <f aca="false">IF(S12="x","x",IF(S12="-","-",""))</f>
        <v>-</v>
      </c>
      <c r="DD12" s="2" t="str">
        <f aca="false">IF(T12="x","x",IF(T12="-","-",""))</f>
        <v>-</v>
      </c>
      <c r="DE12" s="2" t="str">
        <f aca="false">IF(U12="x","x",IF(U12="-","-",""))</f>
        <v>-</v>
      </c>
      <c r="DF12" s="2" t="str">
        <f aca="false">IF(V12="x","x",IF(V12="-","-",""))</f>
        <v>-</v>
      </c>
      <c r="DG12" s="2" t="str">
        <f aca="false">IF(W12="x","x",IF(W12="-","-",""))</f>
        <v>-</v>
      </c>
      <c r="DH12" s="2" t="str">
        <f aca="false">IF(X12="x","x",IF(X12="-","-",""))</f>
        <v>-</v>
      </c>
      <c r="DI12" s="2" t="str">
        <f aca="false">IF(Y12="x","x",IF(Y12="-","-",""))</f>
        <v>-</v>
      </c>
      <c r="DJ12" s="2" t="str">
        <f aca="false">IF(Z12="x","x",IF(Z12="-","-",""))</f>
        <v>-</v>
      </c>
      <c r="DK12" s="2" t="str">
        <f aca="false">IF(AA12="x","x",IF(AA12="-","-",""))</f>
        <v>-</v>
      </c>
      <c r="DL12" s="10"/>
      <c r="DM12" s="2" t="str">
        <f aca="false">IF(AC12="x","x",IF(AC12="-","-",""))</f>
        <v>-</v>
      </c>
      <c r="DN12" s="2" t="str">
        <f aca="false">IF(AD12="x","x",IF(AD12="-","-",""))</f>
        <v>-</v>
      </c>
      <c r="DO12" s="2" t="str">
        <f aca="false">IF(AE12="x","x",IF(AE12="-","-",""))</f>
        <v>-</v>
      </c>
      <c r="DP12" s="2" t="str">
        <f aca="false">IF(AF12="x","x",IF(AF12="-","-",""))</f>
        <v>-</v>
      </c>
      <c r="DQ12" s="2" t="str">
        <f aca="false">IF(AG12="x","x",IF(AG12="-","-",""))</f>
        <v>-</v>
      </c>
      <c r="DR12" s="2" t="str">
        <f aca="false">IF(AH12="x","x",IF(AH12="-","-",""))</f>
        <v>-</v>
      </c>
      <c r="DS12" s="2" t="str">
        <f aca="false">IF(AI12="x","x",IF(AI12="-","-",""))</f>
        <v>-</v>
      </c>
      <c r="DT12" s="2" t="str">
        <f aca="false">IF(AJ12="x","x",IF(AJ12="-","-",""))</f>
        <v>-</v>
      </c>
      <c r="DU12" s="2" t="str">
        <f aca="false">IF(AK12="x","x",IF(AK12="-","-",""))</f>
        <v>-</v>
      </c>
      <c r="DV12" s="2" t="str">
        <f aca="false">IF(AL12="x","x",IF(AL12="-","-",""))</f>
        <v>-</v>
      </c>
      <c r="DW12" s="2" t="str">
        <f aca="false">IF(AM12="x","x",IF(AM12="-","-",""))</f>
        <v>-</v>
      </c>
      <c r="DX12" s="2" t="str">
        <f aca="false">IF(AN12="x","x",IF(AN12="-","-",""))</f>
        <v>-</v>
      </c>
    </row>
    <row r="13" customFormat="false" ht="13.8" hidden="false" customHeight="false" outlineLevel="0" collapsed="false">
      <c r="A13" s="10" t="s">
        <v>73</v>
      </c>
      <c r="B13" s="2" t="n">
        <v>12</v>
      </c>
      <c r="C13" s="11" t="s">
        <v>89</v>
      </c>
      <c r="D13" s="10" t="s">
        <v>75</v>
      </c>
      <c r="E13" s="10" t="s">
        <v>76</v>
      </c>
      <c r="F13" s="10" t="n">
        <v>12</v>
      </c>
      <c r="G13" s="10" t="s">
        <v>77</v>
      </c>
      <c r="H13" s="10" t="s">
        <v>77</v>
      </c>
      <c r="I13" s="10" t="s">
        <v>77</v>
      </c>
      <c r="J13" s="10" t="s">
        <v>77</v>
      </c>
      <c r="K13" s="10" t="s">
        <v>77</v>
      </c>
      <c r="L13" s="10" t="s">
        <v>77</v>
      </c>
      <c r="M13" s="2" t="n">
        <v>20</v>
      </c>
      <c r="N13" s="10" t="s">
        <v>77</v>
      </c>
      <c r="O13" s="10"/>
      <c r="P13" s="10" t="s">
        <v>77</v>
      </c>
      <c r="Q13" s="10" t="s">
        <v>77</v>
      </c>
      <c r="R13" s="10" t="s">
        <v>77</v>
      </c>
      <c r="S13" s="10" t="s">
        <v>77</v>
      </c>
      <c r="T13" s="10" t="s">
        <v>77</v>
      </c>
      <c r="U13" s="10" t="s">
        <v>77</v>
      </c>
      <c r="V13" s="10" t="s">
        <v>77</v>
      </c>
      <c r="W13" s="10" t="s">
        <v>77</v>
      </c>
      <c r="X13" s="10" t="s">
        <v>77</v>
      </c>
      <c r="Y13" s="10" t="s">
        <v>77</v>
      </c>
      <c r="Z13" s="10" t="s">
        <v>77</v>
      </c>
      <c r="AA13" s="10" t="s">
        <v>77</v>
      </c>
      <c r="AB13" s="10"/>
      <c r="AC13" s="10" t="s">
        <v>77</v>
      </c>
      <c r="AD13" s="10" t="s">
        <v>77</v>
      </c>
      <c r="AE13" s="10" t="s">
        <v>77</v>
      </c>
      <c r="AF13" s="10" t="s">
        <v>77</v>
      </c>
      <c r="AG13" s="10" t="s">
        <v>77</v>
      </c>
      <c r="AH13" s="10" t="s">
        <v>77</v>
      </c>
      <c r="AI13" s="10" t="s">
        <v>77</v>
      </c>
      <c r="AJ13" s="10" t="s">
        <v>77</v>
      </c>
      <c r="AK13" s="10" t="s">
        <v>77</v>
      </c>
      <c r="AL13" s="10" t="s">
        <v>77</v>
      </c>
      <c r="AM13" s="10" t="s">
        <v>77</v>
      </c>
      <c r="AN13" s="10" t="s">
        <v>77</v>
      </c>
      <c r="AO13" s="10"/>
      <c r="AP13" s="10" t="s">
        <v>73</v>
      </c>
      <c r="AQ13" s="10" t="s">
        <v>73</v>
      </c>
      <c r="AS13" s="10" t="s">
        <v>78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R13" s="10" t="s">
        <v>78</v>
      </c>
      <c r="BS13" s="10"/>
      <c r="BT13" s="10"/>
      <c r="BU13" s="10"/>
      <c r="BV13" s="10"/>
      <c r="BW13" s="10"/>
      <c r="BX13" s="10"/>
      <c r="BY13" s="10"/>
      <c r="CA13" s="2" t="str">
        <f aca="false">IF(AS13="x","x",IF(AS13="-","-",""))</f>
        <v>x</v>
      </c>
      <c r="CB13" s="2" t="str">
        <f aca="false">IF(AT13="x","x",IF(AT13="-","-",""))</f>
        <v/>
      </c>
      <c r="CC13" s="2" t="str">
        <f aca="false">IF(AU13="x","x",IF(AU13="-","-",""))</f>
        <v/>
      </c>
      <c r="CD13" s="2" t="str">
        <f aca="false">IF(AV13="x","x",IF(AV13="-","-",""))</f>
        <v/>
      </c>
      <c r="CE13" s="2" t="str">
        <f aca="false">IF(AW13="x","x",IF(AW13="-","-",""))</f>
        <v/>
      </c>
      <c r="CF13" s="2" t="str">
        <f aca="false">IF(AX13="x","x",IF(AX13="-","-",""))</f>
        <v/>
      </c>
      <c r="CG13" s="2" t="str">
        <f aca="false">IF(AY13="x","x",IF(AY13="-","-",""))</f>
        <v/>
      </c>
      <c r="CH13" s="2" t="str">
        <f aca="false">IF(AZ13="x","x",IF(AZ13="-","-",""))</f>
        <v/>
      </c>
      <c r="CI13" s="2" t="str">
        <f aca="false">IF(BA13="x","x",IF(BA13="-","-",""))</f>
        <v/>
      </c>
      <c r="CJ13" s="2" t="str">
        <f aca="false">IF(BB13="x","x",IF(BB13="-","-",""))</f>
        <v/>
      </c>
      <c r="CK13" s="2" t="str">
        <f aca="false">IF(BC13="x","x",IF(BC13="-","-",""))</f>
        <v/>
      </c>
      <c r="CL13" s="2" t="str">
        <f aca="false">IF(BD13="x","x",IF(BD13="-","-",""))</f>
        <v/>
      </c>
      <c r="CM13" s="2" t="str">
        <f aca="false">IF(BE13="x","x",IF(BE13="-","-",""))</f>
        <v/>
      </c>
      <c r="CN13" s="2" t="str">
        <f aca="false">IF(BF13="x","x",IF(BF13="-","-",""))</f>
        <v/>
      </c>
      <c r="CO13" s="2" t="str">
        <f aca="false">IF(BG13="x","x",IF(BG13="-","-",""))</f>
        <v/>
      </c>
      <c r="CP13" s="2" t="str">
        <f aca="false">IF(BH13="x","x",IF(BH13="-","-",""))</f>
        <v/>
      </c>
      <c r="CQ13" s="2" t="str">
        <f aca="false">IF(BI13="x","x",IF(BI13="-","-",""))</f>
        <v/>
      </c>
      <c r="CR13" s="2" t="str">
        <f aca="false">IF(BJ13="x","x",IF(BJ13="-","-",""))</f>
        <v/>
      </c>
      <c r="CS13" s="2" t="str">
        <f aca="false">IF(BK13="x","x",IF(BK13="-","-",""))</f>
        <v/>
      </c>
      <c r="CT13" s="2" t="str">
        <f aca="false">IF(BL13="x","x",IF(BL13="-","-",""))</f>
        <v/>
      </c>
      <c r="CU13" s="2" t="str">
        <f aca="false">IF(BM13="x","x",IF(BM13="-","-",""))</f>
        <v/>
      </c>
      <c r="CV13" s="2" t="str">
        <f aca="false">IF(BN13="x","x",IF(BN13="-","-",""))</f>
        <v/>
      </c>
      <c r="CW13" s="2" t="str">
        <f aca="false">IF(BO13="x","x",IF(BO13="-","-",""))</f>
        <v/>
      </c>
      <c r="CX13" s="2" t="str">
        <f aca="false">IF(BP13="x","x",IF(BP13="-","-",""))</f>
        <v/>
      </c>
      <c r="CZ13" s="2" t="str">
        <f aca="false">IF(P13="x","x",IF(P13="-","-",""))</f>
        <v>-</v>
      </c>
      <c r="DA13" s="2" t="str">
        <f aca="false">IF(Q13="x","x",IF(Q13="-","-",""))</f>
        <v>-</v>
      </c>
      <c r="DB13" s="2" t="str">
        <f aca="false">IF(R13="x","x",IF(R13="-","-",""))</f>
        <v>-</v>
      </c>
      <c r="DC13" s="2" t="str">
        <f aca="false">IF(S13="x","x",IF(S13="-","-",""))</f>
        <v>-</v>
      </c>
      <c r="DD13" s="2" t="str">
        <f aca="false">IF(T13="x","x",IF(T13="-","-",""))</f>
        <v>-</v>
      </c>
      <c r="DE13" s="2" t="str">
        <f aca="false">IF(U13="x","x",IF(U13="-","-",""))</f>
        <v>-</v>
      </c>
      <c r="DF13" s="2" t="str">
        <f aca="false">IF(V13="x","x",IF(V13="-","-",""))</f>
        <v>-</v>
      </c>
      <c r="DG13" s="2" t="str">
        <f aca="false">IF(W13="x","x",IF(W13="-","-",""))</f>
        <v>-</v>
      </c>
      <c r="DH13" s="2" t="str">
        <f aca="false">IF(X13="x","x",IF(X13="-","-",""))</f>
        <v>-</v>
      </c>
      <c r="DI13" s="2" t="str">
        <f aca="false">IF(Y13="x","x",IF(Y13="-","-",""))</f>
        <v>-</v>
      </c>
      <c r="DJ13" s="2" t="str">
        <f aca="false">IF(Z13="x","x",IF(Z13="-","-",""))</f>
        <v>-</v>
      </c>
      <c r="DK13" s="2" t="str">
        <f aca="false">IF(AA13="x","x",IF(AA13="-","-",""))</f>
        <v>-</v>
      </c>
      <c r="DL13" s="10"/>
      <c r="DM13" s="2" t="str">
        <f aca="false">IF(AC13="x","x",IF(AC13="-","-",""))</f>
        <v>-</v>
      </c>
      <c r="DN13" s="2" t="str">
        <f aca="false">IF(AD13="x","x",IF(AD13="-","-",""))</f>
        <v>-</v>
      </c>
      <c r="DO13" s="2" t="str">
        <f aca="false">IF(AE13="x","x",IF(AE13="-","-",""))</f>
        <v>-</v>
      </c>
      <c r="DP13" s="2" t="str">
        <f aca="false">IF(AF13="x","x",IF(AF13="-","-",""))</f>
        <v>-</v>
      </c>
      <c r="DQ13" s="2" t="str">
        <f aca="false">IF(AG13="x","x",IF(AG13="-","-",""))</f>
        <v>-</v>
      </c>
      <c r="DR13" s="2" t="str">
        <f aca="false">IF(AH13="x","x",IF(AH13="-","-",""))</f>
        <v>-</v>
      </c>
      <c r="DS13" s="2" t="str">
        <f aca="false">IF(AI13="x","x",IF(AI13="-","-",""))</f>
        <v>-</v>
      </c>
      <c r="DT13" s="2" t="str">
        <f aca="false">IF(AJ13="x","x",IF(AJ13="-","-",""))</f>
        <v>-</v>
      </c>
      <c r="DU13" s="2" t="str">
        <f aca="false">IF(AK13="x","x",IF(AK13="-","-",""))</f>
        <v>-</v>
      </c>
      <c r="DV13" s="2" t="str">
        <f aca="false">IF(AL13="x","x",IF(AL13="-","-",""))</f>
        <v>-</v>
      </c>
      <c r="DW13" s="2" t="str">
        <f aca="false">IF(AM13="x","x",IF(AM13="-","-",""))</f>
        <v>-</v>
      </c>
      <c r="DX13" s="2" t="str">
        <f aca="false">IF(AN13="x","x",IF(AN13="-","-",""))</f>
        <v>-</v>
      </c>
    </row>
    <row r="14" customFormat="false" ht="13.8" hidden="false" customHeight="false" outlineLevel="0" collapsed="false">
      <c r="A14" s="10" t="s">
        <v>73</v>
      </c>
      <c r="B14" s="2" t="n">
        <v>13</v>
      </c>
      <c r="C14" s="11" t="s">
        <v>90</v>
      </c>
      <c r="D14" s="10" t="s">
        <v>75</v>
      </c>
      <c r="E14" s="10" t="s">
        <v>76</v>
      </c>
      <c r="F14" s="10" t="n">
        <v>13</v>
      </c>
      <c r="G14" s="10" t="s">
        <v>77</v>
      </c>
      <c r="H14" s="10" t="s">
        <v>77</v>
      </c>
      <c r="I14" s="10" t="s">
        <v>77</v>
      </c>
      <c r="J14" s="10" t="s">
        <v>77</v>
      </c>
      <c r="K14" s="10" t="s">
        <v>77</v>
      </c>
      <c r="L14" s="10" t="s">
        <v>77</v>
      </c>
      <c r="M14" s="2" t="n">
        <v>20</v>
      </c>
      <c r="N14" s="10" t="s">
        <v>77</v>
      </c>
      <c r="O14" s="10"/>
      <c r="P14" s="10" t="s">
        <v>77</v>
      </c>
      <c r="Q14" s="10" t="s">
        <v>77</v>
      </c>
      <c r="R14" s="10" t="s">
        <v>77</v>
      </c>
      <c r="S14" s="10" t="s">
        <v>77</v>
      </c>
      <c r="T14" s="10" t="s">
        <v>77</v>
      </c>
      <c r="U14" s="10" t="s">
        <v>77</v>
      </c>
      <c r="V14" s="10" t="s">
        <v>77</v>
      </c>
      <c r="W14" s="10" t="s">
        <v>77</v>
      </c>
      <c r="X14" s="10" t="s">
        <v>77</v>
      </c>
      <c r="Y14" s="10" t="s">
        <v>77</v>
      </c>
      <c r="Z14" s="10" t="s">
        <v>77</v>
      </c>
      <c r="AA14" s="10" t="s">
        <v>77</v>
      </c>
      <c r="AB14" s="10"/>
      <c r="AC14" s="10" t="s">
        <v>77</v>
      </c>
      <c r="AD14" s="10" t="s">
        <v>77</v>
      </c>
      <c r="AE14" s="10" t="s">
        <v>77</v>
      </c>
      <c r="AF14" s="10" t="s">
        <v>77</v>
      </c>
      <c r="AG14" s="10" t="s">
        <v>77</v>
      </c>
      <c r="AH14" s="10" t="s">
        <v>77</v>
      </c>
      <c r="AI14" s="10" t="s">
        <v>77</v>
      </c>
      <c r="AJ14" s="10" t="s">
        <v>77</v>
      </c>
      <c r="AK14" s="10" t="s">
        <v>77</v>
      </c>
      <c r="AL14" s="10" t="s">
        <v>77</v>
      </c>
      <c r="AM14" s="10" t="s">
        <v>77</v>
      </c>
      <c r="AN14" s="10" t="s">
        <v>77</v>
      </c>
      <c r="AO14" s="10"/>
      <c r="AP14" s="10" t="s">
        <v>73</v>
      </c>
      <c r="AQ14" s="10" t="s">
        <v>73</v>
      </c>
      <c r="AS14" s="10"/>
      <c r="AT14" s="10" t="s">
        <v>78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R14" s="10" t="s">
        <v>78</v>
      </c>
      <c r="BS14" s="10"/>
      <c r="BT14" s="10"/>
      <c r="BU14" s="10"/>
      <c r="BV14" s="10"/>
      <c r="BW14" s="10"/>
      <c r="BX14" s="10"/>
      <c r="BY14" s="10"/>
      <c r="CA14" s="2" t="str">
        <f aca="false">IF(AS14="x","x",IF(AS14="-","-",""))</f>
        <v/>
      </c>
      <c r="CB14" s="2" t="str">
        <f aca="false">IF(AT14="x","x",IF(AT14="-","-",""))</f>
        <v>x</v>
      </c>
      <c r="CC14" s="2" t="str">
        <f aca="false">IF(AU14="x","x",IF(AU14="-","-",""))</f>
        <v/>
      </c>
      <c r="CD14" s="2" t="str">
        <f aca="false">IF(AV14="x","x",IF(AV14="-","-",""))</f>
        <v/>
      </c>
      <c r="CE14" s="2" t="str">
        <f aca="false">IF(AW14="x","x",IF(AW14="-","-",""))</f>
        <v/>
      </c>
      <c r="CF14" s="2" t="str">
        <f aca="false">IF(AX14="x","x",IF(AX14="-","-",""))</f>
        <v/>
      </c>
      <c r="CG14" s="2" t="str">
        <f aca="false">IF(AY14="x","x",IF(AY14="-","-",""))</f>
        <v/>
      </c>
      <c r="CH14" s="2" t="str">
        <f aca="false">IF(AZ14="x","x",IF(AZ14="-","-",""))</f>
        <v/>
      </c>
      <c r="CI14" s="2" t="str">
        <f aca="false">IF(BA14="x","x",IF(BA14="-","-",""))</f>
        <v/>
      </c>
      <c r="CJ14" s="2" t="str">
        <f aca="false">IF(BB14="x","x",IF(BB14="-","-",""))</f>
        <v/>
      </c>
      <c r="CK14" s="2" t="str">
        <f aca="false">IF(BC14="x","x",IF(BC14="-","-",""))</f>
        <v/>
      </c>
      <c r="CL14" s="2" t="str">
        <f aca="false">IF(BD14="x","x",IF(BD14="-","-",""))</f>
        <v/>
      </c>
      <c r="CM14" s="2" t="str">
        <f aca="false">IF(BE14="x","x",IF(BE14="-","-",""))</f>
        <v/>
      </c>
      <c r="CN14" s="2" t="str">
        <f aca="false">IF(BF14="x","x",IF(BF14="-","-",""))</f>
        <v/>
      </c>
      <c r="CO14" s="2" t="str">
        <f aca="false">IF(BG14="x","x",IF(BG14="-","-",""))</f>
        <v/>
      </c>
      <c r="CP14" s="2" t="str">
        <f aca="false">IF(BH14="x","x",IF(BH14="-","-",""))</f>
        <v/>
      </c>
      <c r="CQ14" s="2" t="str">
        <f aca="false">IF(BI14="x","x",IF(BI14="-","-",""))</f>
        <v/>
      </c>
      <c r="CR14" s="2" t="str">
        <f aca="false">IF(BJ14="x","x",IF(BJ14="-","-",""))</f>
        <v/>
      </c>
      <c r="CS14" s="2" t="str">
        <f aca="false">IF(BK14="x","x",IF(BK14="-","-",""))</f>
        <v/>
      </c>
      <c r="CT14" s="2" t="str">
        <f aca="false">IF(BL14="x","x",IF(BL14="-","-",""))</f>
        <v/>
      </c>
      <c r="CU14" s="2" t="str">
        <f aca="false">IF(BM14="x","x",IF(BM14="-","-",""))</f>
        <v/>
      </c>
      <c r="CV14" s="2" t="str">
        <f aca="false">IF(BN14="x","x",IF(BN14="-","-",""))</f>
        <v/>
      </c>
      <c r="CW14" s="2" t="str">
        <f aca="false">IF(BO14="x","x",IF(BO14="-","-",""))</f>
        <v/>
      </c>
      <c r="CX14" s="2" t="str">
        <f aca="false">IF(BP14="x","x",IF(BP14="-","-",""))</f>
        <v/>
      </c>
      <c r="CZ14" s="2" t="str">
        <f aca="false">IF(P14="x","x",IF(P14="-","-",""))</f>
        <v>-</v>
      </c>
      <c r="DA14" s="2" t="str">
        <f aca="false">IF(Q14="x","x",IF(Q14="-","-",""))</f>
        <v>-</v>
      </c>
      <c r="DB14" s="2" t="str">
        <f aca="false">IF(R14="x","x",IF(R14="-","-",""))</f>
        <v>-</v>
      </c>
      <c r="DC14" s="2" t="str">
        <f aca="false">IF(S14="x","x",IF(S14="-","-",""))</f>
        <v>-</v>
      </c>
      <c r="DD14" s="2" t="str">
        <f aca="false">IF(T14="x","x",IF(T14="-","-",""))</f>
        <v>-</v>
      </c>
      <c r="DE14" s="2" t="str">
        <f aca="false">IF(U14="x","x",IF(U14="-","-",""))</f>
        <v>-</v>
      </c>
      <c r="DF14" s="2" t="str">
        <f aca="false">IF(V14="x","x",IF(V14="-","-",""))</f>
        <v>-</v>
      </c>
      <c r="DG14" s="2" t="str">
        <f aca="false">IF(W14="x","x",IF(W14="-","-",""))</f>
        <v>-</v>
      </c>
      <c r="DH14" s="2" t="str">
        <f aca="false">IF(X14="x","x",IF(X14="-","-",""))</f>
        <v>-</v>
      </c>
      <c r="DI14" s="2" t="str">
        <f aca="false">IF(Y14="x","x",IF(Y14="-","-",""))</f>
        <v>-</v>
      </c>
      <c r="DJ14" s="2" t="str">
        <f aca="false">IF(Z14="x","x",IF(Z14="-","-",""))</f>
        <v>-</v>
      </c>
      <c r="DK14" s="2" t="str">
        <f aca="false">IF(AA14="x","x",IF(AA14="-","-",""))</f>
        <v>-</v>
      </c>
      <c r="DL14" s="10"/>
      <c r="DM14" s="2" t="str">
        <f aca="false">IF(AC14="x","x",IF(AC14="-","-",""))</f>
        <v>-</v>
      </c>
      <c r="DN14" s="2" t="str">
        <f aca="false">IF(AD14="x","x",IF(AD14="-","-",""))</f>
        <v>-</v>
      </c>
      <c r="DO14" s="2" t="str">
        <f aca="false">IF(AE14="x","x",IF(AE14="-","-",""))</f>
        <v>-</v>
      </c>
      <c r="DP14" s="2" t="str">
        <f aca="false">IF(AF14="x","x",IF(AF14="-","-",""))</f>
        <v>-</v>
      </c>
      <c r="DQ14" s="2" t="str">
        <f aca="false">IF(AG14="x","x",IF(AG14="-","-",""))</f>
        <v>-</v>
      </c>
      <c r="DR14" s="2" t="str">
        <f aca="false">IF(AH14="x","x",IF(AH14="-","-",""))</f>
        <v>-</v>
      </c>
      <c r="DS14" s="2" t="str">
        <f aca="false">IF(AI14="x","x",IF(AI14="-","-",""))</f>
        <v>-</v>
      </c>
      <c r="DT14" s="2" t="str">
        <f aca="false">IF(AJ14="x","x",IF(AJ14="-","-",""))</f>
        <v>-</v>
      </c>
      <c r="DU14" s="2" t="str">
        <f aca="false">IF(AK14="x","x",IF(AK14="-","-",""))</f>
        <v>-</v>
      </c>
      <c r="DV14" s="2" t="str">
        <f aca="false">IF(AL14="x","x",IF(AL14="-","-",""))</f>
        <v>-</v>
      </c>
      <c r="DW14" s="2" t="str">
        <f aca="false">IF(AM14="x","x",IF(AM14="-","-",""))</f>
        <v>-</v>
      </c>
      <c r="DX14" s="2" t="str">
        <f aca="false">IF(AN14="x","x",IF(AN14="-","-",""))</f>
        <v>-</v>
      </c>
    </row>
    <row r="15" customFormat="false" ht="13.8" hidden="false" customHeight="false" outlineLevel="0" collapsed="false">
      <c r="A15" s="10" t="s">
        <v>73</v>
      </c>
      <c r="B15" s="2" t="n">
        <v>14</v>
      </c>
      <c r="C15" s="1" t="s">
        <v>91</v>
      </c>
      <c r="D15" s="10" t="s">
        <v>92</v>
      </c>
      <c r="E15" s="10" t="s">
        <v>76</v>
      </c>
      <c r="F15" s="10" t="n">
        <v>14</v>
      </c>
      <c r="G15" s="10" t="s">
        <v>77</v>
      </c>
      <c r="H15" s="10" t="s">
        <v>77</v>
      </c>
      <c r="I15" s="10" t="s">
        <v>77</v>
      </c>
      <c r="J15" s="10" t="s">
        <v>77</v>
      </c>
      <c r="K15" s="10" t="s">
        <v>77</v>
      </c>
      <c r="L15" s="10" t="s">
        <v>77</v>
      </c>
      <c r="M15" s="2" t="n">
        <v>20</v>
      </c>
      <c r="N15" s="10" t="s">
        <v>77</v>
      </c>
      <c r="O15" s="10"/>
      <c r="P15" s="10" t="s">
        <v>77</v>
      </c>
      <c r="Q15" s="10" t="s">
        <v>77</v>
      </c>
      <c r="R15" s="10" t="s">
        <v>77</v>
      </c>
      <c r="S15" s="10" t="s">
        <v>77</v>
      </c>
      <c r="T15" s="10" t="s">
        <v>77</v>
      </c>
      <c r="U15" s="10" t="s">
        <v>77</v>
      </c>
      <c r="V15" s="10" t="s">
        <v>77</v>
      </c>
      <c r="W15" s="10" t="s">
        <v>77</v>
      </c>
      <c r="X15" s="10" t="s">
        <v>77</v>
      </c>
      <c r="Y15" s="10" t="s">
        <v>77</v>
      </c>
      <c r="Z15" s="10" t="s">
        <v>77</v>
      </c>
      <c r="AA15" s="10" t="s">
        <v>77</v>
      </c>
      <c r="AB15" s="10"/>
      <c r="AC15" s="10" t="s">
        <v>77</v>
      </c>
      <c r="AD15" s="10" t="s">
        <v>77</v>
      </c>
      <c r="AE15" s="10" t="s">
        <v>77</v>
      </c>
      <c r="AF15" s="10" t="s">
        <v>77</v>
      </c>
      <c r="AG15" s="10" t="s">
        <v>77</v>
      </c>
      <c r="AH15" s="10" t="s">
        <v>77</v>
      </c>
      <c r="AI15" s="10" t="s">
        <v>77</v>
      </c>
      <c r="AJ15" s="10" t="s">
        <v>77</v>
      </c>
      <c r="AK15" s="10" t="s">
        <v>77</v>
      </c>
      <c r="AL15" s="10" t="s">
        <v>77</v>
      </c>
      <c r="AM15" s="10" t="s">
        <v>77</v>
      </c>
      <c r="AN15" s="10" t="s">
        <v>77</v>
      </c>
      <c r="AO15" s="10"/>
      <c r="AP15" s="10" t="s">
        <v>73</v>
      </c>
      <c r="AQ15" s="10" t="s">
        <v>73</v>
      </c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R15" s="10" t="s">
        <v>78</v>
      </c>
      <c r="BS15" s="10"/>
      <c r="BT15" s="10"/>
      <c r="BU15" s="10"/>
      <c r="BV15" s="10"/>
      <c r="BW15" s="10"/>
      <c r="BX15" s="10"/>
      <c r="BY15" s="10"/>
      <c r="CA15" s="2" t="str">
        <f aca="false">IF(AS15="x","x",IF(AS15="-","-",""))</f>
        <v/>
      </c>
      <c r="CB15" s="2" t="str">
        <f aca="false">IF(AT15="x","x",IF(AT15="-","-",""))</f>
        <v/>
      </c>
      <c r="CC15" s="2" t="str">
        <f aca="false">IF(AU15="x","x",IF(AU15="-","-",""))</f>
        <v/>
      </c>
      <c r="CD15" s="2" t="str">
        <f aca="false">IF(AV15="x","x",IF(AV15="-","-",""))</f>
        <v/>
      </c>
      <c r="CE15" s="2" t="str">
        <f aca="false">IF(AW15="x","x",IF(AW15="-","-",""))</f>
        <v/>
      </c>
      <c r="CF15" s="2" t="str">
        <f aca="false">IF(AX15="x","x",IF(AX15="-","-",""))</f>
        <v/>
      </c>
      <c r="CG15" s="2" t="str">
        <f aca="false">IF(AY15="x","x",IF(AY15="-","-",""))</f>
        <v/>
      </c>
      <c r="CH15" s="2" t="str">
        <f aca="false">IF(AZ15="x","x",IF(AZ15="-","-",""))</f>
        <v/>
      </c>
      <c r="CI15" s="2" t="str">
        <f aca="false">IF(BA15="x","x",IF(BA15="-","-",""))</f>
        <v/>
      </c>
      <c r="CJ15" s="2" t="str">
        <f aca="false">IF(BB15="x","x",IF(BB15="-","-",""))</f>
        <v/>
      </c>
      <c r="CK15" s="2" t="str">
        <f aca="false">IF(BC15="x","x",IF(BC15="-","-",""))</f>
        <v/>
      </c>
      <c r="CL15" s="2" t="str">
        <f aca="false">IF(BD15="x","x",IF(BD15="-","-",""))</f>
        <v/>
      </c>
      <c r="CM15" s="2" t="str">
        <f aca="false">IF(BE15="x","x",IF(BE15="-","-",""))</f>
        <v/>
      </c>
      <c r="CN15" s="2" t="str">
        <f aca="false">IF(BF15="x","x",IF(BF15="-","-",""))</f>
        <v/>
      </c>
      <c r="CO15" s="2" t="str">
        <f aca="false">IF(BG15="x","x",IF(BG15="-","-",""))</f>
        <v/>
      </c>
      <c r="CP15" s="2" t="str">
        <f aca="false">IF(BH15="x","x",IF(BH15="-","-",""))</f>
        <v/>
      </c>
      <c r="CQ15" s="2" t="str">
        <f aca="false">IF(BI15="x","x",IF(BI15="-","-",""))</f>
        <v/>
      </c>
      <c r="CR15" s="2" t="str">
        <f aca="false">IF(BJ15="x","x",IF(BJ15="-","-",""))</f>
        <v/>
      </c>
      <c r="CS15" s="2" t="str">
        <f aca="false">IF(BK15="x","x",IF(BK15="-","-",""))</f>
        <v/>
      </c>
      <c r="CT15" s="2" t="str">
        <f aca="false">IF(BL15="x","x",IF(BL15="-","-",""))</f>
        <v/>
      </c>
      <c r="CU15" s="2" t="str">
        <f aca="false">IF(BM15="x","x",IF(BM15="-","-",""))</f>
        <v/>
      </c>
      <c r="CV15" s="2" t="str">
        <f aca="false">IF(BN15="x","x",IF(BN15="-","-",""))</f>
        <v/>
      </c>
      <c r="CW15" s="2" t="str">
        <f aca="false">IF(BO15="x","x",IF(BO15="-","-",""))</f>
        <v/>
      </c>
      <c r="CX15" s="2" t="str">
        <f aca="false">IF(BP15="x","x",IF(BP15="-","-",""))</f>
        <v/>
      </c>
      <c r="CZ15" s="2" t="str">
        <f aca="false">IF(P15="x","x",IF(P15="-","-",""))</f>
        <v>-</v>
      </c>
      <c r="DA15" s="2" t="str">
        <f aca="false">IF(Q15="x","x",IF(Q15="-","-",""))</f>
        <v>-</v>
      </c>
      <c r="DB15" s="2" t="str">
        <f aca="false">IF(R15="x","x",IF(R15="-","-",""))</f>
        <v>-</v>
      </c>
      <c r="DC15" s="2" t="str">
        <f aca="false">IF(S15="x","x",IF(S15="-","-",""))</f>
        <v>-</v>
      </c>
      <c r="DD15" s="2" t="str">
        <f aca="false">IF(T15="x","x",IF(T15="-","-",""))</f>
        <v>-</v>
      </c>
      <c r="DE15" s="2" t="str">
        <f aca="false">IF(U15="x","x",IF(U15="-","-",""))</f>
        <v>-</v>
      </c>
      <c r="DF15" s="2" t="str">
        <f aca="false">IF(V15="x","x",IF(V15="-","-",""))</f>
        <v>-</v>
      </c>
      <c r="DG15" s="2" t="str">
        <f aca="false">IF(W15="x","x",IF(W15="-","-",""))</f>
        <v>-</v>
      </c>
      <c r="DH15" s="2" t="str">
        <f aca="false">IF(X15="x","x",IF(X15="-","-",""))</f>
        <v>-</v>
      </c>
      <c r="DI15" s="2" t="str">
        <f aca="false">IF(Y15="x","x",IF(Y15="-","-",""))</f>
        <v>-</v>
      </c>
      <c r="DJ15" s="2" t="str">
        <f aca="false">IF(Z15="x","x",IF(Z15="-","-",""))</f>
        <v>-</v>
      </c>
      <c r="DK15" s="2" t="str">
        <f aca="false">IF(AA15="x","x",IF(AA15="-","-",""))</f>
        <v>-</v>
      </c>
      <c r="DL15" s="10"/>
      <c r="DM15" s="2" t="str">
        <f aca="false">IF(AC15="x","x",IF(AC15="-","-",""))</f>
        <v>-</v>
      </c>
      <c r="DN15" s="2" t="str">
        <f aca="false">IF(AD15="x","x",IF(AD15="-","-",""))</f>
        <v>-</v>
      </c>
      <c r="DO15" s="2" t="str">
        <f aca="false">IF(AE15="x","x",IF(AE15="-","-",""))</f>
        <v>-</v>
      </c>
      <c r="DP15" s="2" t="str">
        <f aca="false">IF(AF15="x","x",IF(AF15="-","-",""))</f>
        <v>-</v>
      </c>
      <c r="DQ15" s="2" t="str">
        <f aca="false">IF(AG15="x","x",IF(AG15="-","-",""))</f>
        <v>-</v>
      </c>
      <c r="DR15" s="2" t="str">
        <f aca="false">IF(AH15="x","x",IF(AH15="-","-",""))</f>
        <v>-</v>
      </c>
      <c r="DS15" s="2" t="str">
        <f aca="false">IF(AI15="x","x",IF(AI15="-","-",""))</f>
        <v>-</v>
      </c>
      <c r="DT15" s="2" t="str">
        <f aca="false">IF(AJ15="x","x",IF(AJ15="-","-",""))</f>
        <v>-</v>
      </c>
      <c r="DU15" s="2" t="str">
        <f aca="false">IF(AK15="x","x",IF(AK15="-","-",""))</f>
        <v>-</v>
      </c>
      <c r="DV15" s="2" t="str">
        <f aca="false">IF(AL15="x","x",IF(AL15="-","-",""))</f>
        <v>-</v>
      </c>
      <c r="DW15" s="2" t="str">
        <f aca="false">IF(AM15="x","x",IF(AM15="-","-",""))</f>
        <v>-</v>
      </c>
      <c r="DX15" s="2" t="str">
        <f aca="false">IF(AN15="x","x",IF(AN15="-","-",""))</f>
        <v>-</v>
      </c>
    </row>
    <row r="16" customFormat="false" ht="13.8" hidden="false" customHeight="false" outlineLevel="0" collapsed="false">
      <c r="A16" s="10" t="s">
        <v>73</v>
      </c>
      <c r="B16" s="2" t="n">
        <v>15</v>
      </c>
      <c r="C16" s="11" t="s">
        <v>91</v>
      </c>
      <c r="D16" s="10" t="s">
        <v>92</v>
      </c>
      <c r="E16" s="10" t="s">
        <v>76</v>
      </c>
      <c r="F16" s="10" t="n">
        <v>15</v>
      </c>
      <c r="G16" s="10" t="s">
        <v>77</v>
      </c>
      <c r="H16" s="10" t="s">
        <v>77</v>
      </c>
      <c r="I16" s="10" t="s">
        <v>77</v>
      </c>
      <c r="J16" s="10" t="s">
        <v>77</v>
      </c>
      <c r="K16" s="10" t="s">
        <v>77</v>
      </c>
      <c r="L16" s="10" t="s">
        <v>77</v>
      </c>
      <c r="M16" s="2" t="n">
        <v>20</v>
      </c>
      <c r="N16" s="10" t="s">
        <v>77</v>
      </c>
      <c r="O16" s="10"/>
      <c r="P16" s="10" t="s">
        <v>77</v>
      </c>
      <c r="Q16" s="10" t="s">
        <v>77</v>
      </c>
      <c r="R16" s="10" t="s">
        <v>77</v>
      </c>
      <c r="S16" s="10" t="s">
        <v>77</v>
      </c>
      <c r="T16" s="10" t="s">
        <v>77</v>
      </c>
      <c r="U16" s="10" t="s">
        <v>77</v>
      </c>
      <c r="V16" s="10" t="s">
        <v>77</v>
      </c>
      <c r="W16" s="10" t="s">
        <v>77</v>
      </c>
      <c r="X16" s="10" t="s">
        <v>77</v>
      </c>
      <c r="Y16" s="10" t="s">
        <v>77</v>
      </c>
      <c r="Z16" s="10" t="s">
        <v>77</v>
      </c>
      <c r="AA16" s="10" t="s">
        <v>77</v>
      </c>
      <c r="AB16" s="10"/>
      <c r="AC16" s="10" t="s">
        <v>77</v>
      </c>
      <c r="AD16" s="10" t="s">
        <v>77</v>
      </c>
      <c r="AE16" s="10" t="s">
        <v>77</v>
      </c>
      <c r="AF16" s="10" t="s">
        <v>77</v>
      </c>
      <c r="AG16" s="10" t="s">
        <v>77</v>
      </c>
      <c r="AH16" s="10" t="s">
        <v>77</v>
      </c>
      <c r="AI16" s="10" t="s">
        <v>77</v>
      </c>
      <c r="AJ16" s="10" t="s">
        <v>77</v>
      </c>
      <c r="AK16" s="10" t="s">
        <v>77</v>
      </c>
      <c r="AL16" s="10" t="s">
        <v>77</v>
      </c>
      <c r="AM16" s="10" t="s">
        <v>77</v>
      </c>
      <c r="AN16" s="10" t="s">
        <v>77</v>
      </c>
      <c r="AO16" s="10"/>
      <c r="AP16" s="10" t="s">
        <v>73</v>
      </c>
      <c r="AQ16" s="10" t="s">
        <v>73</v>
      </c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R16" s="10" t="s">
        <v>78</v>
      </c>
      <c r="BS16" s="10"/>
      <c r="BT16" s="10"/>
      <c r="BU16" s="10"/>
      <c r="BV16" s="10"/>
      <c r="BW16" s="10"/>
      <c r="BX16" s="10"/>
      <c r="BY16" s="10"/>
      <c r="CA16" s="2" t="str">
        <f aca="false">IF(AS16="x","x",IF(AS16="-","-",""))</f>
        <v/>
      </c>
      <c r="CB16" s="2" t="str">
        <f aca="false">IF(AT16="x","x",IF(AT16="-","-",""))</f>
        <v/>
      </c>
      <c r="CC16" s="2" t="str">
        <f aca="false">IF(AU16="x","x",IF(AU16="-","-",""))</f>
        <v/>
      </c>
      <c r="CD16" s="2" t="str">
        <f aca="false">IF(AV16="x","x",IF(AV16="-","-",""))</f>
        <v/>
      </c>
      <c r="CE16" s="2" t="str">
        <f aca="false">IF(AW16="x","x",IF(AW16="-","-",""))</f>
        <v/>
      </c>
      <c r="CF16" s="2" t="str">
        <f aca="false">IF(AX16="x","x",IF(AX16="-","-",""))</f>
        <v/>
      </c>
      <c r="CG16" s="2" t="str">
        <f aca="false">IF(AY16="x","x",IF(AY16="-","-",""))</f>
        <v/>
      </c>
      <c r="CH16" s="2" t="str">
        <f aca="false">IF(AZ16="x","x",IF(AZ16="-","-",""))</f>
        <v/>
      </c>
      <c r="CI16" s="2" t="str">
        <f aca="false">IF(BA16="x","x",IF(BA16="-","-",""))</f>
        <v/>
      </c>
      <c r="CJ16" s="2" t="str">
        <f aca="false">IF(BB16="x","x",IF(BB16="-","-",""))</f>
        <v/>
      </c>
      <c r="CK16" s="2" t="str">
        <f aca="false">IF(BC16="x","x",IF(BC16="-","-",""))</f>
        <v/>
      </c>
      <c r="CL16" s="2" t="str">
        <f aca="false">IF(BD16="x","x",IF(BD16="-","-",""))</f>
        <v/>
      </c>
      <c r="CM16" s="2" t="str">
        <f aca="false">IF(BE16="x","x",IF(BE16="-","-",""))</f>
        <v/>
      </c>
      <c r="CN16" s="2" t="str">
        <f aca="false">IF(BF16="x","x",IF(BF16="-","-",""))</f>
        <v/>
      </c>
      <c r="CO16" s="2" t="str">
        <f aca="false">IF(BG16="x","x",IF(BG16="-","-",""))</f>
        <v/>
      </c>
      <c r="CP16" s="2" t="str">
        <f aca="false">IF(BH16="x","x",IF(BH16="-","-",""))</f>
        <v/>
      </c>
      <c r="CQ16" s="2" t="str">
        <f aca="false">IF(BI16="x","x",IF(BI16="-","-",""))</f>
        <v/>
      </c>
      <c r="CR16" s="2" t="str">
        <f aca="false">IF(BJ16="x","x",IF(BJ16="-","-",""))</f>
        <v/>
      </c>
      <c r="CS16" s="2" t="str">
        <f aca="false">IF(BK16="x","x",IF(BK16="-","-",""))</f>
        <v/>
      </c>
      <c r="CT16" s="2" t="str">
        <f aca="false">IF(BL16="x","x",IF(BL16="-","-",""))</f>
        <v/>
      </c>
      <c r="CU16" s="2" t="str">
        <f aca="false">IF(BM16="x","x",IF(BM16="-","-",""))</f>
        <v/>
      </c>
      <c r="CV16" s="2" t="str">
        <f aca="false">IF(BN16="x","x",IF(BN16="-","-",""))</f>
        <v/>
      </c>
      <c r="CW16" s="2" t="str">
        <f aca="false">IF(BO16="x","x",IF(BO16="-","-",""))</f>
        <v/>
      </c>
      <c r="CX16" s="2" t="str">
        <f aca="false">IF(BP16="x","x",IF(BP16="-","-",""))</f>
        <v/>
      </c>
      <c r="CZ16" s="2" t="str">
        <f aca="false">IF(P16="x","x",IF(P16="-","-",""))</f>
        <v>-</v>
      </c>
      <c r="DA16" s="2" t="str">
        <f aca="false">IF(Q16="x","x",IF(Q16="-","-",""))</f>
        <v>-</v>
      </c>
      <c r="DB16" s="2" t="str">
        <f aca="false">IF(R16="x","x",IF(R16="-","-",""))</f>
        <v>-</v>
      </c>
      <c r="DC16" s="2" t="str">
        <f aca="false">IF(S16="x","x",IF(S16="-","-",""))</f>
        <v>-</v>
      </c>
      <c r="DD16" s="2" t="str">
        <f aca="false">IF(T16="x","x",IF(T16="-","-",""))</f>
        <v>-</v>
      </c>
      <c r="DE16" s="2" t="str">
        <f aca="false">IF(U16="x","x",IF(U16="-","-",""))</f>
        <v>-</v>
      </c>
      <c r="DF16" s="2" t="str">
        <f aca="false">IF(V16="x","x",IF(V16="-","-",""))</f>
        <v>-</v>
      </c>
      <c r="DG16" s="2" t="str">
        <f aca="false">IF(W16="x","x",IF(W16="-","-",""))</f>
        <v>-</v>
      </c>
      <c r="DH16" s="2" t="str">
        <f aca="false">IF(X16="x","x",IF(X16="-","-",""))</f>
        <v>-</v>
      </c>
      <c r="DI16" s="2" t="str">
        <f aca="false">IF(Y16="x","x",IF(Y16="-","-",""))</f>
        <v>-</v>
      </c>
      <c r="DJ16" s="2" t="str">
        <f aca="false">IF(Z16="x","x",IF(Z16="-","-",""))</f>
        <v>-</v>
      </c>
      <c r="DK16" s="2" t="str">
        <f aca="false">IF(AA16="x","x",IF(AA16="-","-",""))</f>
        <v>-</v>
      </c>
      <c r="DL16" s="10"/>
      <c r="DM16" s="2" t="str">
        <f aca="false">IF(AC16="x","x",IF(AC16="-","-",""))</f>
        <v>-</v>
      </c>
      <c r="DN16" s="2" t="str">
        <f aca="false">IF(AD16="x","x",IF(AD16="-","-",""))</f>
        <v>-</v>
      </c>
      <c r="DO16" s="2" t="str">
        <f aca="false">IF(AE16="x","x",IF(AE16="-","-",""))</f>
        <v>-</v>
      </c>
      <c r="DP16" s="2" t="str">
        <f aca="false">IF(AF16="x","x",IF(AF16="-","-",""))</f>
        <v>-</v>
      </c>
      <c r="DQ16" s="2" t="str">
        <f aca="false">IF(AG16="x","x",IF(AG16="-","-",""))</f>
        <v>-</v>
      </c>
      <c r="DR16" s="2" t="str">
        <f aca="false">IF(AH16="x","x",IF(AH16="-","-",""))</f>
        <v>-</v>
      </c>
      <c r="DS16" s="2" t="str">
        <f aca="false">IF(AI16="x","x",IF(AI16="-","-",""))</f>
        <v>-</v>
      </c>
      <c r="DT16" s="2" t="str">
        <f aca="false">IF(AJ16="x","x",IF(AJ16="-","-",""))</f>
        <v>-</v>
      </c>
      <c r="DU16" s="2" t="str">
        <f aca="false">IF(AK16="x","x",IF(AK16="-","-",""))</f>
        <v>-</v>
      </c>
      <c r="DV16" s="2" t="str">
        <f aca="false">IF(AL16="x","x",IF(AL16="-","-",""))</f>
        <v>-</v>
      </c>
      <c r="DW16" s="2" t="str">
        <f aca="false">IF(AM16="x","x",IF(AM16="-","-",""))</f>
        <v>-</v>
      </c>
      <c r="DX16" s="2" t="str">
        <f aca="false">IF(AN16="x","x",IF(AN16="-","-",""))</f>
        <v>-</v>
      </c>
    </row>
    <row r="17" customFormat="false" ht="13.8" hidden="false" customHeight="false" outlineLevel="0" collapsed="false">
      <c r="A17" s="10" t="s">
        <v>73</v>
      </c>
      <c r="B17" s="2" t="n">
        <v>16</v>
      </c>
      <c r="C17" s="11" t="s">
        <v>91</v>
      </c>
      <c r="D17" s="10" t="s">
        <v>92</v>
      </c>
      <c r="E17" s="10" t="s">
        <v>76</v>
      </c>
      <c r="F17" s="10" t="n">
        <v>16</v>
      </c>
      <c r="G17" s="10" t="s">
        <v>77</v>
      </c>
      <c r="H17" s="10" t="s">
        <v>77</v>
      </c>
      <c r="I17" s="10" t="s">
        <v>77</v>
      </c>
      <c r="J17" s="10" t="s">
        <v>77</v>
      </c>
      <c r="K17" s="10" t="s">
        <v>77</v>
      </c>
      <c r="L17" s="10" t="s">
        <v>77</v>
      </c>
      <c r="M17" s="2" t="n">
        <v>20</v>
      </c>
      <c r="N17" s="10" t="s">
        <v>77</v>
      </c>
      <c r="O17" s="10"/>
      <c r="P17" s="10" t="s">
        <v>77</v>
      </c>
      <c r="Q17" s="10" t="s">
        <v>77</v>
      </c>
      <c r="R17" s="10" t="s">
        <v>77</v>
      </c>
      <c r="S17" s="10" t="s">
        <v>77</v>
      </c>
      <c r="T17" s="10" t="s">
        <v>77</v>
      </c>
      <c r="U17" s="10" t="s">
        <v>77</v>
      </c>
      <c r="V17" s="10" t="s">
        <v>77</v>
      </c>
      <c r="W17" s="10" t="s">
        <v>77</v>
      </c>
      <c r="X17" s="10" t="s">
        <v>77</v>
      </c>
      <c r="Y17" s="10" t="s">
        <v>77</v>
      </c>
      <c r="Z17" s="10" t="s">
        <v>77</v>
      </c>
      <c r="AA17" s="10" t="s">
        <v>77</v>
      </c>
      <c r="AB17" s="10"/>
      <c r="AC17" s="10" t="s">
        <v>77</v>
      </c>
      <c r="AD17" s="10" t="s">
        <v>77</v>
      </c>
      <c r="AE17" s="10" t="s">
        <v>77</v>
      </c>
      <c r="AF17" s="10" t="s">
        <v>77</v>
      </c>
      <c r="AG17" s="10" t="s">
        <v>77</v>
      </c>
      <c r="AH17" s="10" t="s">
        <v>77</v>
      </c>
      <c r="AI17" s="10" t="s">
        <v>77</v>
      </c>
      <c r="AJ17" s="10" t="s">
        <v>77</v>
      </c>
      <c r="AK17" s="10" t="s">
        <v>77</v>
      </c>
      <c r="AL17" s="10" t="s">
        <v>77</v>
      </c>
      <c r="AM17" s="10" t="s">
        <v>77</v>
      </c>
      <c r="AN17" s="10" t="s">
        <v>77</v>
      </c>
      <c r="AO17" s="10"/>
      <c r="AP17" s="10" t="s">
        <v>73</v>
      </c>
      <c r="AQ17" s="10" t="s">
        <v>73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R17" s="10" t="s">
        <v>78</v>
      </c>
      <c r="BS17" s="10"/>
      <c r="BT17" s="10"/>
      <c r="BU17" s="10"/>
      <c r="BV17" s="10"/>
      <c r="BW17" s="10"/>
      <c r="BX17" s="10"/>
      <c r="BY17" s="10"/>
      <c r="CA17" s="2" t="str">
        <f aca="false">IF(AS17="x","x",IF(AS17="-","-",""))</f>
        <v/>
      </c>
      <c r="CB17" s="2" t="str">
        <f aca="false">IF(AT17="x","x",IF(AT17="-","-",""))</f>
        <v/>
      </c>
      <c r="CC17" s="2" t="str">
        <f aca="false">IF(AU17="x","x",IF(AU17="-","-",""))</f>
        <v/>
      </c>
      <c r="CD17" s="2" t="str">
        <f aca="false">IF(AV17="x","x",IF(AV17="-","-",""))</f>
        <v/>
      </c>
      <c r="CE17" s="2" t="str">
        <f aca="false">IF(AW17="x","x",IF(AW17="-","-",""))</f>
        <v/>
      </c>
      <c r="CF17" s="2" t="str">
        <f aca="false">IF(AX17="x","x",IF(AX17="-","-",""))</f>
        <v/>
      </c>
      <c r="CG17" s="2" t="str">
        <f aca="false">IF(AY17="x","x",IF(AY17="-","-",""))</f>
        <v/>
      </c>
      <c r="CH17" s="2" t="str">
        <f aca="false">IF(AZ17="x","x",IF(AZ17="-","-",""))</f>
        <v/>
      </c>
      <c r="CI17" s="2" t="str">
        <f aca="false">IF(BA17="x","x",IF(BA17="-","-",""))</f>
        <v/>
      </c>
      <c r="CJ17" s="2" t="str">
        <f aca="false">IF(BB17="x","x",IF(BB17="-","-",""))</f>
        <v/>
      </c>
      <c r="CK17" s="2" t="str">
        <f aca="false">IF(BC17="x","x",IF(BC17="-","-",""))</f>
        <v/>
      </c>
      <c r="CL17" s="2" t="str">
        <f aca="false">IF(BD17="x","x",IF(BD17="-","-",""))</f>
        <v/>
      </c>
      <c r="CM17" s="2" t="str">
        <f aca="false">IF(BE17="x","x",IF(BE17="-","-",""))</f>
        <v/>
      </c>
      <c r="CN17" s="2" t="str">
        <f aca="false">IF(BF17="x","x",IF(BF17="-","-",""))</f>
        <v/>
      </c>
      <c r="CO17" s="2" t="str">
        <f aca="false">IF(BG17="x","x",IF(BG17="-","-",""))</f>
        <v/>
      </c>
      <c r="CP17" s="2" t="str">
        <f aca="false">IF(BH17="x","x",IF(BH17="-","-",""))</f>
        <v/>
      </c>
      <c r="CQ17" s="2" t="str">
        <f aca="false">IF(BI17="x","x",IF(BI17="-","-",""))</f>
        <v/>
      </c>
      <c r="CR17" s="2" t="str">
        <f aca="false">IF(BJ17="x","x",IF(BJ17="-","-",""))</f>
        <v/>
      </c>
      <c r="CS17" s="2" t="str">
        <f aca="false">IF(BK17="x","x",IF(BK17="-","-",""))</f>
        <v/>
      </c>
      <c r="CT17" s="2" t="str">
        <f aca="false">IF(BL17="x","x",IF(BL17="-","-",""))</f>
        <v/>
      </c>
      <c r="CU17" s="2" t="str">
        <f aca="false">IF(BM17="x","x",IF(BM17="-","-",""))</f>
        <v/>
      </c>
      <c r="CV17" s="2" t="str">
        <f aca="false">IF(BN17="x","x",IF(BN17="-","-",""))</f>
        <v/>
      </c>
      <c r="CW17" s="2" t="str">
        <f aca="false">IF(BO17="x","x",IF(BO17="-","-",""))</f>
        <v/>
      </c>
      <c r="CX17" s="2" t="str">
        <f aca="false">IF(BP17="x","x",IF(BP17="-","-",""))</f>
        <v/>
      </c>
      <c r="CZ17" s="2" t="str">
        <f aca="false">IF(P17="x","x",IF(P17="-","-",""))</f>
        <v>-</v>
      </c>
      <c r="DA17" s="2" t="str">
        <f aca="false">IF(Q17="x","x",IF(Q17="-","-",""))</f>
        <v>-</v>
      </c>
      <c r="DB17" s="2" t="str">
        <f aca="false">IF(R17="x","x",IF(R17="-","-",""))</f>
        <v>-</v>
      </c>
      <c r="DC17" s="2" t="str">
        <f aca="false">IF(S17="x","x",IF(S17="-","-",""))</f>
        <v>-</v>
      </c>
      <c r="DD17" s="2" t="str">
        <f aca="false">IF(T17="x","x",IF(T17="-","-",""))</f>
        <v>-</v>
      </c>
      <c r="DE17" s="2" t="str">
        <f aca="false">IF(U17="x","x",IF(U17="-","-",""))</f>
        <v>-</v>
      </c>
      <c r="DF17" s="2" t="str">
        <f aca="false">IF(V17="x","x",IF(V17="-","-",""))</f>
        <v>-</v>
      </c>
      <c r="DG17" s="2" t="str">
        <f aca="false">IF(W17="x","x",IF(W17="-","-",""))</f>
        <v>-</v>
      </c>
      <c r="DH17" s="2" t="str">
        <f aca="false">IF(X17="x","x",IF(X17="-","-",""))</f>
        <v>-</v>
      </c>
      <c r="DI17" s="2" t="str">
        <f aca="false">IF(Y17="x","x",IF(Y17="-","-",""))</f>
        <v>-</v>
      </c>
      <c r="DJ17" s="2" t="str">
        <f aca="false">IF(Z17="x","x",IF(Z17="-","-",""))</f>
        <v>-</v>
      </c>
      <c r="DK17" s="2" t="str">
        <f aca="false">IF(AA17="x","x",IF(AA17="-","-",""))</f>
        <v>-</v>
      </c>
      <c r="DL17" s="10"/>
      <c r="DM17" s="2" t="str">
        <f aca="false">IF(AC17="x","x",IF(AC17="-","-",""))</f>
        <v>-</v>
      </c>
      <c r="DN17" s="2" t="str">
        <f aca="false">IF(AD17="x","x",IF(AD17="-","-",""))</f>
        <v>-</v>
      </c>
      <c r="DO17" s="2" t="str">
        <f aca="false">IF(AE17="x","x",IF(AE17="-","-",""))</f>
        <v>-</v>
      </c>
      <c r="DP17" s="2" t="str">
        <f aca="false">IF(AF17="x","x",IF(AF17="-","-",""))</f>
        <v>-</v>
      </c>
      <c r="DQ17" s="2" t="str">
        <f aca="false">IF(AG17="x","x",IF(AG17="-","-",""))</f>
        <v>-</v>
      </c>
      <c r="DR17" s="2" t="str">
        <f aca="false">IF(AH17="x","x",IF(AH17="-","-",""))</f>
        <v>-</v>
      </c>
      <c r="DS17" s="2" t="str">
        <f aca="false">IF(AI17="x","x",IF(AI17="-","-",""))</f>
        <v>-</v>
      </c>
      <c r="DT17" s="2" t="str">
        <f aca="false">IF(AJ17="x","x",IF(AJ17="-","-",""))</f>
        <v>-</v>
      </c>
      <c r="DU17" s="2" t="str">
        <f aca="false">IF(AK17="x","x",IF(AK17="-","-",""))</f>
        <v>-</v>
      </c>
      <c r="DV17" s="2" t="str">
        <f aca="false">IF(AL17="x","x",IF(AL17="-","-",""))</f>
        <v>-</v>
      </c>
      <c r="DW17" s="2" t="str">
        <f aca="false">IF(AM17="x","x",IF(AM17="-","-",""))</f>
        <v>-</v>
      </c>
      <c r="DX17" s="2" t="str">
        <f aca="false">IF(AN17="x","x",IF(AN17="-","-",""))</f>
        <v>-</v>
      </c>
    </row>
    <row r="18" customFormat="false" ht="13.8" hidden="false" customHeight="false" outlineLevel="0" collapsed="false">
      <c r="A18" s="10" t="s">
        <v>73</v>
      </c>
      <c r="B18" s="2" t="n">
        <v>17</v>
      </c>
      <c r="C18" s="11" t="s">
        <v>93</v>
      </c>
      <c r="D18" s="10" t="s">
        <v>94</v>
      </c>
      <c r="E18" s="10" t="s">
        <v>76</v>
      </c>
      <c r="F18" s="10" t="n">
        <v>17</v>
      </c>
      <c r="G18" s="10" t="s">
        <v>77</v>
      </c>
      <c r="H18" s="10" t="s">
        <v>77</v>
      </c>
      <c r="I18" s="10" t="s">
        <v>77</v>
      </c>
      <c r="J18" s="10" t="s">
        <v>77</v>
      </c>
      <c r="K18" s="10" t="s">
        <v>77</v>
      </c>
      <c r="L18" s="10" t="s">
        <v>77</v>
      </c>
      <c r="M18" s="2" t="n">
        <v>20</v>
      </c>
      <c r="N18" s="10" t="s">
        <v>77</v>
      </c>
      <c r="O18" s="10"/>
      <c r="P18" s="10" t="s">
        <v>77</v>
      </c>
      <c r="Q18" s="10" t="s">
        <v>77</v>
      </c>
      <c r="R18" s="10" t="s">
        <v>77</v>
      </c>
      <c r="S18" s="10" t="s">
        <v>77</v>
      </c>
      <c r="T18" s="10" t="s">
        <v>77</v>
      </c>
      <c r="U18" s="10" t="s">
        <v>77</v>
      </c>
      <c r="V18" s="10" t="s">
        <v>77</v>
      </c>
      <c r="W18" s="10" t="s">
        <v>77</v>
      </c>
      <c r="X18" s="10" t="s">
        <v>77</v>
      </c>
      <c r="Y18" s="10" t="s">
        <v>77</v>
      </c>
      <c r="Z18" s="10" t="s">
        <v>77</v>
      </c>
      <c r="AA18" s="10" t="s">
        <v>77</v>
      </c>
      <c r="AB18" s="10"/>
      <c r="AC18" s="10" t="s">
        <v>77</v>
      </c>
      <c r="AD18" s="10" t="s">
        <v>77</v>
      </c>
      <c r="AE18" s="10" t="s">
        <v>77</v>
      </c>
      <c r="AF18" s="10" t="s">
        <v>77</v>
      </c>
      <c r="AG18" s="10" t="s">
        <v>77</v>
      </c>
      <c r="AH18" s="10" t="s">
        <v>77</v>
      </c>
      <c r="AI18" s="10" t="s">
        <v>77</v>
      </c>
      <c r="AJ18" s="10" t="s">
        <v>77</v>
      </c>
      <c r="AK18" s="10" t="s">
        <v>77</v>
      </c>
      <c r="AL18" s="10" t="s">
        <v>77</v>
      </c>
      <c r="AM18" s="10" t="s">
        <v>77</v>
      </c>
      <c r="AN18" s="10" t="s">
        <v>77</v>
      </c>
      <c r="AO18" s="10"/>
      <c r="AP18" s="10" t="s">
        <v>73</v>
      </c>
      <c r="AQ18" s="10" t="s">
        <v>73</v>
      </c>
      <c r="AS18" s="10"/>
      <c r="AT18" s="10"/>
      <c r="AU18" s="10" t="s">
        <v>78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R18" s="10" t="s">
        <v>78</v>
      </c>
      <c r="BS18" s="10"/>
      <c r="BT18" s="10"/>
      <c r="BU18" s="10"/>
      <c r="BV18" s="10"/>
      <c r="BW18" s="10"/>
      <c r="BX18" s="10"/>
      <c r="BY18" s="10"/>
      <c r="CA18" s="2" t="str">
        <f aca="false">IF(AS18="x","x",IF(AS18="-","-",""))</f>
        <v/>
      </c>
      <c r="CB18" s="2" t="str">
        <f aca="false">IF(AT18="x","x",IF(AT18="-","-",""))</f>
        <v/>
      </c>
      <c r="CC18" s="2" t="str">
        <f aca="false">IF(AU18="x","x",IF(AU18="-","-",""))</f>
        <v>x</v>
      </c>
      <c r="CD18" s="2" t="str">
        <f aca="false">IF(AV18="x","x",IF(AV18="-","-",""))</f>
        <v/>
      </c>
      <c r="CE18" s="2" t="str">
        <f aca="false">IF(AW18="x","x",IF(AW18="-","-",""))</f>
        <v/>
      </c>
      <c r="CF18" s="2" t="str">
        <f aca="false">IF(AX18="x","x",IF(AX18="-","-",""))</f>
        <v/>
      </c>
      <c r="CG18" s="2" t="str">
        <f aca="false">IF(AY18="x","x",IF(AY18="-","-",""))</f>
        <v/>
      </c>
      <c r="CH18" s="2" t="str">
        <f aca="false">IF(AZ18="x","x",IF(AZ18="-","-",""))</f>
        <v/>
      </c>
      <c r="CI18" s="2" t="str">
        <f aca="false">IF(BA18="x","x",IF(BA18="-","-",""))</f>
        <v/>
      </c>
      <c r="CJ18" s="2" t="str">
        <f aca="false">IF(BB18="x","x",IF(BB18="-","-",""))</f>
        <v/>
      </c>
      <c r="CK18" s="2" t="str">
        <f aca="false">IF(BC18="x","x",IF(BC18="-","-",""))</f>
        <v/>
      </c>
      <c r="CL18" s="2" t="str">
        <f aca="false">IF(BD18="x","x",IF(BD18="-","-",""))</f>
        <v/>
      </c>
      <c r="CM18" s="2" t="str">
        <f aca="false">IF(BE18="x","x",IF(BE18="-","-",""))</f>
        <v/>
      </c>
      <c r="CN18" s="2" t="str">
        <f aca="false">IF(BF18="x","x",IF(BF18="-","-",""))</f>
        <v/>
      </c>
      <c r="CO18" s="2" t="str">
        <f aca="false">IF(BG18="x","x",IF(BG18="-","-",""))</f>
        <v/>
      </c>
      <c r="CP18" s="2" t="str">
        <f aca="false">IF(BH18="x","x",IF(BH18="-","-",""))</f>
        <v/>
      </c>
      <c r="CQ18" s="2" t="str">
        <f aca="false">IF(BI18="x","x",IF(BI18="-","-",""))</f>
        <v/>
      </c>
      <c r="CR18" s="2" t="str">
        <f aca="false">IF(BJ18="x","x",IF(BJ18="-","-",""))</f>
        <v/>
      </c>
      <c r="CS18" s="2" t="str">
        <f aca="false">IF(BK18="x","x",IF(BK18="-","-",""))</f>
        <v/>
      </c>
      <c r="CT18" s="2" t="str">
        <f aca="false">IF(BL18="x","x",IF(BL18="-","-",""))</f>
        <v/>
      </c>
      <c r="CU18" s="2" t="str">
        <f aca="false">IF(BM18="x","x",IF(BM18="-","-",""))</f>
        <v/>
      </c>
      <c r="CV18" s="2" t="str">
        <f aca="false">IF(BN18="x","x",IF(BN18="-","-",""))</f>
        <v/>
      </c>
      <c r="CW18" s="2" t="str">
        <f aca="false">IF(BO18="x","x",IF(BO18="-","-",""))</f>
        <v/>
      </c>
      <c r="CX18" s="2" t="str">
        <f aca="false">IF(BP18="x","x",IF(BP18="-","-",""))</f>
        <v/>
      </c>
      <c r="CZ18" s="2" t="str">
        <f aca="false">IF(P18="x","x",IF(P18="-","-",""))</f>
        <v>-</v>
      </c>
      <c r="DA18" s="2" t="str">
        <f aca="false">IF(Q18="x","x",IF(Q18="-","-",""))</f>
        <v>-</v>
      </c>
      <c r="DB18" s="2" t="str">
        <f aca="false">IF(R18="x","x",IF(R18="-","-",""))</f>
        <v>-</v>
      </c>
      <c r="DC18" s="2" t="str">
        <f aca="false">IF(S18="x","x",IF(S18="-","-",""))</f>
        <v>-</v>
      </c>
      <c r="DD18" s="2" t="str">
        <f aca="false">IF(T18="x","x",IF(T18="-","-",""))</f>
        <v>-</v>
      </c>
      <c r="DE18" s="2" t="str">
        <f aca="false">IF(U18="x","x",IF(U18="-","-",""))</f>
        <v>-</v>
      </c>
      <c r="DF18" s="2" t="str">
        <f aca="false">IF(V18="x","x",IF(V18="-","-",""))</f>
        <v>-</v>
      </c>
      <c r="DG18" s="2" t="str">
        <f aca="false">IF(W18="x","x",IF(W18="-","-",""))</f>
        <v>-</v>
      </c>
      <c r="DH18" s="2" t="str">
        <f aca="false">IF(X18="x","x",IF(X18="-","-",""))</f>
        <v>-</v>
      </c>
      <c r="DI18" s="2" t="str">
        <f aca="false">IF(Y18="x","x",IF(Y18="-","-",""))</f>
        <v>-</v>
      </c>
      <c r="DJ18" s="2" t="str">
        <f aca="false">IF(Z18="x","x",IF(Z18="-","-",""))</f>
        <v>-</v>
      </c>
      <c r="DK18" s="2" t="str">
        <f aca="false">IF(AA18="x","x",IF(AA18="-","-",""))</f>
        <v>-</v>
      </c>
      <c r="DL18" s="10"/>
      <c r="DM18" s="2" t="str">
        <f aca="false">IF(AC18="x","x",IF(AC18="-","-",""))</f>
        <v>-</v>
      </c>
      <c r="DN18" s="2" t="str">
        <f aca="false">IF(AD18="x","x",IF(AD18="-","-",""))</f>
        <v>-</v>
      </c>
      <c r="DO18" s="2" t="str">
        <f aca="false">IF(AE18="x","x",IF(AE18="-","-",""))</f>
        <v>-</v>
      </c>
      <c r="DP18" s="2" t="str">
        <f aca="false">IF(AF18="x","x",IF(AF18="-","-",""))</f>
        <v>-</v>
      </c>
      <c r="DQ18" s="2" t="str">
        <f aca="false">IF(AG18="x","x",IF(AG18="-","-",""))</f>
        <v>-</v>
      </c>
      <c r="DR18" s="2" t="str">
        <f aca="false">IF(AH18="x","x",IF(AH18="-","-",""))</f>
        <v>-</v>
      </c>
      <c r="DS18" s="2" t="str">
        <f aca="false">IF(AI18="x","x",IF(AI18="-","-",""))</f>
        <v>-</v>
      </c>
      <c r="DT18" s="2" t="str">
        <f aca="false">IF(AJ18="x","x",IF(AJ18="-","-",""))</f>
        <v>-</v>
      </c>
      <c r="DU18" s="2" t="str">
        <f aca="false">IF(AK18="x","x",IF(AK18="-","-",""))</f>
        <v>-</v>
      </c>
      <c r="DV18" s="2" t="str">
        <f aca="false">IF(AL18="x","x",IF(AL18="-","-",""))</f>
        <v>-</v>
      </c>
      <c r="DW18" s="2" t="str">
        <f aca="false">IF(AM18="x","x",IF(AM18="-","-",""))</f>
        <v>-</v>
      </c>
      <c r="DX18" s="2" t="str">
        <f aca="false">IF(AN18="x","x",IF(AN18="-","-",""))</f>
        <v>-</v>
      </c>
    </row>
    <row r="19" customFormat="false" ht="13.8" hidden="false" customHeight="false" outlineLevel="0" collapsed="false">
      <c r="A19" s="10" t="s">
        <v>73</v>
      </c>
      <c r="B19" s="2" t="n">
        <v>18</v>
      </c>
      <c r="C19" s="11" t="s">
        <v>95</v>
      </c>
      <c r="D19" s="10" t="s">
        <v>94</v>
      </c>
      <c r="E19" s="10" t="s">
        <v>76</v>
      </c>
      <c r="F19" s="10" t="n">
        <v>18</v>
      </c>
      <c r="G19" s="10" t="s">
        <v>77</v>
      </c>
      <c r="H19" s="10" t="s">
        <v>77</v>
      </c>
      <c r="I19" s="10" t="s">
        <v>77</v>
      </c>
      <c r="J19" s="10" t="s">
        <v>77</v>
      </c>
      <c r="K19" s="10" t="s">
        <v>77</v>
      </c>
      <c r="L19" s="10" t="s">
        <v>77</v>
      </c>
      <c r="M19" s="2" t="n">
        <v>20</v>
      </c>
      <c r="N19" s="10" t="s">
        <v>77</v>
      </c>
      <c r="O19" s="10"/>
      <c r="P19" s="10" t="s">
        <v>77</v>
      </c>
      <c r="Q19" s="10" t="s">
        <v>77</v>
      </c>
      <c r="R19" s="10" t="s">
        <v>77</v>
      </c>
      <c r="S19" s="10" t="s">
        <v>77</v>
      </c>
      <c r="T19" s="10" t="s">
        <v>77</v>
      </c>
      <c r="U19" s="10" t="s">
        <v>77</v>
      </c>
      <c r="V19" s="10" t="s">
        <v>77</v>
      </c>
      <c r="W19" s="10" t="s">
        <v>77</v>
      </c>
      <c r="X19" s="10" t="s">
        <v>77</v>
      </c>
      <c r="Y19" s="10" t="s">
        <v>77</v>
      </c>
      <c r="Z19" s="10" t="s">
        <v>77</v>
      </c>
      <c r="AA19" s="10" t="s">
        <v>77</v>
      </c>
      <c r="AB19" s="10"/>
      <c r="AC19" s="10" t="s">
        <v>77</v>
      </c>
      <c r="AD19" s="10" t="s">
        <v>77</v>
      </c>
      <c r="AE19" s="10" t="s">
        <v>77</v>
      </c>
      <c r="AF19" s="10" t="s">
        <v>77</v>
      </c>
      <c r="AG19" s="10" t="s">
        <v>77</v>
      </c>
      <c r="AH19" s="10" t="s">
        <v>77</v>
      </c>
      <c r="AI19" s="10" t="s">
        <v>77</v>
      </c>
      <c r="AJ19" s="10" t="s">
        <v>77</v>
      </c>
      <c r="AK19" s="10" t="s">
        <v>77</v>
      </c>
      <c r="AL19" s="10" t="s">
        <v>77</v>
      </c>
      <c r="AM19" s="10" t="s">
        <v>77</v>
      </c>
      <c r="AN19" s="10" t="s">
        <v>77</v>
      </c>
      <c r="AO19" s="10"/>
      <c r="AP19" s="10" t="s">
        <v>73</v>
      </c>
      <c r="AQ19" s="10" t="s">
        <v>73</v>
      </c>
      <c r="AS19" s="10"/>
      <c r="AT19" s="10"/>
      <c r="AU19" s="10" t="s">
        <v>78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R19" s="10" t="s">
        <v>78</v>
      </c>
      <c r="BS19" s="10"/>
      <c r="BT19" s="10"/>
      <c r="BU19" s="10"/>
      <c r="BV19" s="10"/>
      <c r="BW19" s="10"/>
      <c r="BX19" s="10"/>
      <c r="BY19" s="10"/>
      <c r="CA19" s="2" t="str">
        <f aca="false">IF(AS19="x","x",IF(AS19="-","-",""))</f>
        <v/>
      </c>
      <c r="CB19" s="2" t="str">
        <f aca="false">IF(AT19="x","x",IF(AT19="-","-",""))</f>
        <v/>
      </c>
      <c r="CC19" s="2" t="str">
        <f aca="false">IF(AU19="x","x",IF(AU19="-","-",""))</f>
        <v>x</v>
      </c>
      <c r="CD19" s="2" t="str">
        <f aca="false">IF(AV19="x","x",IF(AV19="-","-",""))</f>
        <v/>
      </c>
      <c r="CE19" s="2" t="str">
        <f aca="false">IF(AW19="x","x",IF(AW19="-","-",""))</f>
        <v/>
      </c>
      <c r="CF19" s="2" t="str">
        <f aca="false">IF(AX19="x","x",IF(AX19="-","-",""))</f>
        <v/>
      </c>
      <c r="CG19" s="2" t="str">
        <f aca="false">IF(AY19="x","x",IF(AY19="-","-",""))</f>
        <v/>
      </c>
      <c r="CH19" s="2" t="str">
        <f aca="false">IF(AZ19="x","x",IF(AZ19="-","-",""))</f>
        <v/>
      </c>
      <c r="CI19" s="2" t="str">
        <f aca="false">IF(BA19="x","x",IF(BA19="-","-",""))</f>
        <v/>
      </c>
      <c r="CJ19" s="2" t="str">
        <f aca="false">IF(BB19="x","x",IF(BB19="-","-",""))</f>
        <v/>
      </c>
      <c r="CK19" s="2" t="str">
        <f aca="false">IF(BC19="x","x",IF(BC19="-","-",""))</f>
        <v/>
      </c>
      <c r="CL19" s="2" t="str">
        <f aca="false">IF(BD19="x","x",IF(BD19="-","-",""))</f>
        <v/>
      </c>
      <c r="CM19" s="2" t="str">
        <f aca="false">IF(BE19="x","x",IF(BE19="-","-",""))</f>
        <v/>
      </c>
      <c r="CN19" s="2" t="str">
        <f aca="false">IF(BF19="x","x",IF(BF19="-","-",""))</f>
        <v/>
      </c>
      <c r="CO19" s="2" t="str">
        <f aca="false">IF(BG19="x","x",IF(BG19="-","-",""))</f>
        <v/>
      </c>
      <c r="CP19" s="2" t="str">
        <f aca="false">IF(BH19="x","x",IF(BH19="-","-",""))</f>
        <v/>
      </c>
      <c r="CQ19" s="2" t="str">
        <f aca="false">IF(BI19="x","x",IF(BI19="-","-",""))</f>
        <v/>
      </c>
      <c r="CR19" s="2" t="str">
        <f aca="false">IF(BJ19="x","x",IF(BJ19="-","-",""))</f>
        <v/>
      </c>
      <c r="CS19" s="2" t="str">
        <f aca="false">IF(BK19="x","x",IF(BK19="-","-",""))</f>
        <v/>
      </c>
      <c r="CT19" s="2" t="str">
        <f aca="false">IF(BL19="x","x",IF(BL19="-","-",""))</f>
        <v/>
      </c>
      <c r="CU19" s="2" t="str">
        <f aca="false">IF(BM19="x","x",IF(BM19="-","-",""))</f>
        <v/>
      </c>
      <c r="CV19" s="2" t="str">
        <f aca="false">IF(BN19="x","x",IF(BN19="-","-",""))</f>
        <v/>
      </c>
      <c r="CW19" s="2" t="str">
        <f aca="false">IF(BO19="x","x",IF(BO19="-","-",""))</f>
        <v/>
      </c>
      <c r="CX19" s="2" t="str">
        <f aca="false">IF(BP19="x","x",IF(BP19="-","-",""))</f>
        <v/>
      </c>
      <c r="CZ19" s="2" t="str">
        <f aca="false">IF(P19="x","x",IF(P19="-","-",""))</f>
        <v>-</v>
      </c>
      <c r="DA19" s="2" t="str">
        <f aca="false">IF(Q19="x","x",IF(Q19="-","-",""))</f>
        <v>-</v>
      </c>
      <c r="DB19" s="2" t="str">
        <f aca="false">IF(R19="x","x",IF(R19="-","-",""))</f>
        <v>-</v>
      </c>
      <c r="DC19" s="2" t="str">
        <f aca="false">IF(S19="x","x",IF(S19="-","-",""))</f>
        <v>-</v>
      </c>
      <c r="DD19" s="2" t="str">
        <f aca="false">IF(T19="x","x",IF(T19="-","-",""))</f>
        <v>-</v>
      </c>
      <c r="DE19" s="2" t="str">
        <f aca="false">IF(U19="x","x",IF(U19="-","-",""))</f>
        <v>-</v>
      </c>
      <c r="DF19" s="2" t="str">
        <f aca="false">IF(V19="x","x",IF(V19="-","-",""))</f>
        <v>-</v>
      </c>
      <c r="DG19" s="2" t="str">
        <f aca="false">IF(W19="x","x",IF(W19="-","-",""))</f>
        <v>-</v>
      </c>
      <c r="DH19" s="2" t="str">
        <f aca="false">IF(X19="x","x",IF(X19="-","-",""))</f>
        <v>-</v>
      </c>
      <c r="DI19" s="2" t="str">
        <f aca="false">IF(Y19="x","x",IF(Y19="-","-",""))</f>
        <v>-</v>
      </c>
      <c r="DJ19" s="2" t="str">
        <f aca="false">IF(Z19="x","x",IF(Z19="-","-",""))</f>
        <v>-</v>
      </c>
      <c r="DK19" s="2" t="str">
        <f aca="false">IF(AA19="x","x",IF(AA19="-","-",""))</f>
        <v>-</v>
      </c>
      <c r="DL19" s="10"/>
      <c r="DM19" s="2" t="str">
        <f aca="false">IF(AC19="x","x",IF(AC19="-","-",""))</f>
        <v>-</v>
      </c>
      <c r="DN19" s="2" t="str">
        <f aca="false">IF(AD19="x","x",IF(AD19="-","-",""))</f>
        <v>-</v>
      </c>
      <c r="DO19" s="2" t="str">
        <f aca="false">IF(AE19="x","x",IF(AE19="-","-",""))</f>
        <v>-</v>
      </c>
      <c r="DP19" s="2" t="str">
        <f aca="false">IF(AF19="x","x",IF(AF19="-","-",""))</f>
        <v>-</v>
      </c>
      <c r="DQ19" s="2" t="str">
        <f aca="false">IF(AG19="x","x",IF(AG19="-","-",""))</f>
        <v>-</v>
      </c>
      <c r="DR19" s="2" t="str">
        <f aca="false">IF(AH19="x","x",IF(AH19="-","-",""))</f>
        <v>-</v>
      </c>
      <c r="DS19" s="2" t="str">
        <f aca="false">IF(AI19="x","x",IF(AI19="-","-",""))</f>
        <v>-</v>
      </c>
      <c r="DT19" s="2" t="str">
        <f aca="false">IF(AJ19="x","x",IF(AJ19="-","-",""))</f>
        <v>-</v>
      </c>
      <c r="DU19" s="2" t="str">
        <f aca="false">IF(AK19="x","x",IF(AK19="-","-",""))</f>
        <v>-</v>
      </c>
      <c r="DV19" s="2" t="str">
        <f aca="false">IF(AL19="x","x",IF(AL19="-","-",""))</f>
        <v>-</v>
      </c>
      <c r="DW19" s="2" t="str">
        <f aca="false">IF(AM19="x","x",IF(AM19="-","-",""))</f>
        <v>-</v>
      </c>
      <c r="DX19" s="2" t="str">
        <f aca="false">IF(AN19="x","x",IF(AN19="-","-",""))</f>
        <v>-</v>
      </c>
    </row>
    <row r="20" customFormat="false" ht="13.8" hidden="false" customHeight="false" outlineLevel="0" collapsed="false">
      <c r="A20" s="10" t="s">
        <v>73</v>
      </c>
      <c r="B20" s="2" t="n">
        <v>19</v>
      </c>
      <c r="C20" s="11" t="s">
        <v>96</v>
      </c>
      <c r="D20" s="10" t="s">
        <v>97</v>
      </c>
      <c r="E20" s="10" t="s">
        <v>76</v>
      </c>
      <c r="F20" s="10" t="n">
        <v>19</v>
      </c>
      <c r="G20" s="10" t="s">
        <v>77</v>
      </c>
      <c r="H20" s="10" t="s">
        <v>77</v>
      </c>
      <c r="I20" s="10" t="s">
        <v>77</v>
      </c>
      <c r="J20" s="10" t="s">
        <v>77</v>
      </c>
      <c r="K20" s="10" t="s">
        <v>77</v>
      </c>
      <c r="L20" s="10" t="s">
        <v>77</v>
      </c>
      <c r="M20" s="2" t="n">
        <v>20</v>
      </c>
      <c r="N20" s="10" t="s">
        <v>77</v>
      </c>
      <c r="O20" s="10"/>
      <c r="P20" s="10" t="s">
        <v>77</v>
      </c>
      <c r="Q20" s="10" t="s">
        <v>77</v>
      </c>
      <c r="R20" s="10" t="s">
        <v>77</v>
      </c>
      <c r="S20" s="10" t="s">
        <v>77</v>
      </c>
      <c r="T20" s="10" t="s">
        <v>77</v>
      </c>
      <c r="U20" s="10" t="s">
        <v>77</v>
      </c>
      <c r="V20" s="10" t="s">
        <v>77</v>
      </c>
      <c r="W20" s="10" t="s">
        <v>77</v>
      </c>
      <c r="X20" s="10" t="s">
        <v>77</v>
      </c>
      <c r="Y20" s="10" t="s">
        <v>77</v>
      </c>
      <c r="Z20" s="10" t="s">
        <v>77</v>
      </c>
      <c r="AA20" s="10" t="s">
        <v>77</v>
      </c>
      <c r="AB20" s="10"/>
      <c r="AC20" s="10" t="s">
        <v>77</v>
      </c>
      <c r="AD20" s="10" t="s">
        <v>77</v>
      </c>
      <c r="AE20" s="10" t="s">
        <v>77</v>
      </c>
      <c r="AF20" s="10" t="s">
        <v>77</v>
      </c>
      <c r="AG20" s="10" t="s">
        <v>77</v>
      </c>
      <c r="AH20" s="10" t="s">
        <v>77</v>
      </c>
      <c r="AI20" s="10" t="s">
        <v>77</v>
      </c>
      <c r="AJ20" s="10" t="s">
        <v>77</v>
      </c>
      <c r="AK20" s="10" t="s">
        <v>77</v>
      </c>
      <c r="AL20" s="10" t="s">
        <v>77</v>
      </c>
      <c r="AM20" s="10" t="s">
        <v>77</v>
      </c>
      <c r="AN20" s="10" t="s">
        <v>77</v>
      </c>
      <c r="AO20" s="10"/>
      <c r="AP20" s="10" t="s">
        <v>73</v>
      </c>
      <c r="AQ20" s="10" t="s">
        <v>73</v>
      </c>
      <c r="AS20" s="10"/>
      <c r="AT20" s="10"/>
      <c r="AU20" s="10"/>
      <c r="AV20" s="10" t="s">
        <v>78</v>
      </c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R20" s="10" t="s">
        <v>78</v>
      </c>
      <c r="BS20" s="10"/>
      <c r="BT20" s="10"/>
      <c r="BU20" s="10"/>
      <c r="BV20" s="10"/>
      <c r="BW20" s="10"/>
      <c r="BX20" s="10"/>
      <c r="BY20" s="10"/>
      <c r="CA20" s="2" t="str">
        <f aca="false">IF(AS20="x","x",IF(AS20="-","-",""))</f>
        <v/>
      </c>
      <c r="CB20" s="2" t="str">
        <f aca="false">IF(AT20="x","x",IF(AT20="-","-",""))</f>
        <v/>
      </c>
      <c r="CC20" s="2" t="str">
        <f aca="false">IF(AU20="x","x",IF(AU20="-","-",""))</f>
        <v/>
      </c>
      <c r="CD20" s="2" t="str">
        <f aca="false">IF(AV20="x","x",IF(AV20="-","-",""))</f>
        <v>x</v>
      </c>
      <c r="CE20" s="2" t="str">
        <f aca="false">IF(AW20="x","x",IF(AW20="-","-",""))</f>
        <v/>
      </c>
      <c r="CF20" s="2" t="str">
        <f aca="false">IF(AX20="x","x",IF(AX20="-","-",""))</f>
        <v/>
      </c>
      <c r="CG20" s="2" t="str">
        <f aca="false">IF(AY20="x","x",IF(AY20="-","-",""))</f>
        <v/>
      </c>
      <c r="CH20" s="2" t="str">
        <f aca="false">IF(AZ20="x","x",IF(AZ20="-","-",""))</f>
        <v/>
      </c>
      <c r="CI20" s="2" t="str">
        <f aca="false">IF(BA20="x","x",IF(BA20="-","-",""))</f>
        <v/>
      </c>
      <c r="CJ20" s="2" t="str">
        <f aca="false">IF(BB20="x","x",IF(BB20="-","-",""))</f>
        <v/>
      </c>
      <c r="CK20" s="2" t="str">
        <f aca="false">IF(BC20="x","x",IF(BC20="-","-",""))</f>
        <v/>
      </c>
      <c r="CL20" s="2" t="str">
        <f aca="false">IF(BD20="x","x",IF(BD20="-","-",""))</f>
        <v/>
      </c>
      <c r="CM20" s="2" t="str">
        <f aca="false">IF(BE20="x","x",IF(BE20="-","-",""))</f>
        <v/>
      </c>
      <c r="CN20" s="2" t="str">
        <f aca="false">IF(BF20="x","x",IF(BF20="-","-",""))</f>
        <v/>
      </c>
      <c r="CO20" s="2" t="str">
        <f aca="false">IF(BG20="x","x",IF(BG20="-","-",""))</f>
        <v/>
      </c>
      <c r="CP20" s="2" t="str">
        <f aca="false">IF(BH20="x","x",IF(BH20="-","-",""))</f>
        <v/>
      </c>
      <c r="CQ20" s="2" t="str">
        <f aca="false">IF(BI20="x","x",IF(BI20="-","-",""))</f>
        <v/>
      </c>
      <c r="CR20" s="2" t="str">
        <f aca="false">IF(BJ20="x","x",IF(BJ20="-","-",""))</f>
        <v/>
      </c>
      <c r="CS20" s="2" t="str">
        <f aca="false">IF(BK20="x","x",IF(BK20="-","-",""))</f>
        <v/>
      </c>
      <c r="CT20" s="2" t="str">
        <f aca="false">IF(BL20="x","x",IF(BL20="-","-",""))</f>
        <v/>
      </c>
      <c r="CU20" s="2" t="str">
        <f aca="false">IF(BM20="x","x",IF(BM20="-","-",""))</f>
        <v/>
      </c>
      <c r="CV20" s="2" t="str">
        <f aca="false">IF(BN20="x","x",IF(BN20="-","-",""))</f>
        <v/>
      </c>
      <c r="CW20" s="2" t="str">
        <f aca="false">IF(BO20="x","x",IF(BO20="-","-",""))</f>
        <v/>
      </c>
      <c r="CX20" s="2" t="str">
        <f aca="false">IF(BP20="x","x",IF(BP20="-","-",""))</f>
        <v/>
      </c>
      <c r="CZ20" s="2" t="str">
        <f aca="false">IF(P20="x","x",IF(P20="-","-",""))</f>
        <v>-</v>
      </c>
      <c r="DA20" s="2" t="str">
        <f aca="false">IF(Q20="x","x",IF(Q20="-","-",""))</f>
        <v>-</v>
      </c>
      <c r="DB20" s="2" t="str">
        <f aca="false">IF(R20="x","x",IF(R20="-","-",""))</f>
        <v>-</v>
      </c>
      <c r="DC20" s="2" t="str">
        <f aca="false">IF(S20="x","x",IF(S20="-","-",""))</f>
        <v>-</v>
      </c>
      <c r="DD20" s="2" t="str">
        <f aca="false">IF(T20="x","x",IF(T20="-","-",""))</f>
        <v>-</v>
      </c>
      <c r="DE20" s="2" t="str">
        <f aca="false">IF(U20="x","x",IF(U20="-","-",""))</f>
        <v>-</v>
      </c>
      <c r="DF20" s="2" t="str">
        <f aca="false">IF(V20="x","x",IF(V20="-","-",""))</f>
        <v>-</v>
      </c>
      <c r="DG20" s="2" t="str">
        <f aca="false">IF(W20="x","x",IF(W20="-","-",""))</f>
        <v>-</v>
      </c>
      <c r="DH20" s="2" t="str">
        <f aca="false">IF(X20="x","x",IF(X20="-","-",""))</f>
        <v>-</v>
      </c>
      <c r="DI20" s="2" t="str">
        <f aca="false">IF(Y20="x","x",IF(Y20="-","-",""))</f>
        <v>-</v>
      </c>
      <c r="DJ20" s="2" t="str">
        <f aca="false">IF(Z20="x","x",IF(Z20="-","-",""))</f>
        <v>-</v>
      </c>
      <c r="DK20" s="2" t="str">
        <f aca="false">IF(AA20="x","x",IF(AA20="-","-",""))</f>
        <v>-</v>
      </c>
      <c r="DL20" s="10"/>
      <c r="DM20" s="2" t="str">
        <f aca="false">IF(AC20="x","x",IF(AC20="-","-",""))</f>
        <v>-</v>
      </c>
      <c r="DN20" s="2" t="str">
        <f aca="false">IF(AD20="x","x",IF(AD20="-","-",""))</f>
        <v>-</v>
      </c>
      <c r="DO20" s="2" t="str">
        <f aca="false">IF(AE20="x","x",IF(AE20="-","-",""))</f>
        <v>-</v>
      </c>
      <c r="DP20" s="2" t="str">
        <f aca="false">IF(AF20="x","x",IF(AF20="-","-",""))</f>
        <v>-</v>
      </c>
      <c r="DQ20" s="2" t="str">
        <f aca="false">IF(AG20="x","x",IF(AG20="-","-",""))</f>
        <v>-</v>
      </c>
      <c r="DR20" s="2" t="str">
        <f aca="false">IF(AH20="x","x",IF(AH20="-","-",""))</f>
        <v>-</v>
      </c>
      <c r="DS20" s="2" t="str">
        <f aca="false">IF(AI20="x","x",IF(AI20="-","-",""))</f>
        <v>-</v>
      </c>
      <c r="DT20" s="2" t="str">
        <f aca="false">IF(AJ20="x","x",IF(AJ20="-","-",""))</f>
        <v>-</v>
      </c>
      <c r="DU20" s="2" t="str">
        <f aca="false">IF(AK20="x","x",IF(AK20="-","-",""))</f>
        <v>-</v>
      </c>
      <c r="DV20" s="2" t="str">
        <f aca="false">IF(AL20="x","x",IF(AL20="-","-",""))</f>
        <v>-</v>
      </c>
      <c r="DW20" s="2" t="str">
        <f aca="false">IF(AM20="x","x",IF(AM20="-","-",""))</f>
        <v>-</v>
      </c>
      <c r="DX20" s="2" t="str">
        <f aca="false">IF(AN20="x","x",IF(AN20="-","-",""))</f>
        <v>-</v>
      </c>
    </row>
    <row r="21" customFormat="false" ht="13.8" hidden="false" customHeight="false" outlineLevel="0" collapsed="false">
      <c r="A21" s="10" t="s">
        <v>73</v>
      </c>
      <c r="B21" s="2" t="n">
        <v>20</v>
      </c>
      <c r="C21" s="11" t="s">
        <v>98</v>
      </c>
      <c r="D21" s="10" t="s">
        <v>97</v>
      </c>
      <c r="E21" s="10" t="s">
        <v>76</v>
      </c>
      <c r="F21" s="10" t="n">
        <v>20</v>
      </c>
      <c r="G21" s="10" t="s">
        <v>77</v>
      </c>
      <c r="H21" s="10" t="s">
        <v>77</v>
      </c>
      <c r="I21" s="10" t="s">
        <v>77</v>
      </c>
      <c r="J21" s="10" t="s">
        <v>77</v>
      </c>
      <c r="K21" s="10" t="s">
        <v>77</v>
      </c>
      <c r="L21" s="10" t="s">
        <v>77</v>
      </c>
      <c r="M21" s="2" t="n">
        <v>20</v>
      </c>
      <c r="N21" s="10" t="s">
        <v>77</v>
      </c>
      <c r="O21" s="10"/>
      <c r="P21" s="10" t="s">
        <v>77</v>
      </c>
      <c r="Q21" s="10" t="s">
        <v>77</v>
      </c>
      <c r="R21" s="10" t="s">
        <v>77</v>
      </c>
      <c r="S21" s="10" t="s">
        <v>77</v>
      </c>
      <c r="T21" s="10" t="s">
        <v>77</v>
      </c>
      <c r="U21" s="10" t="s">
        <v>77</v>
      </c>
      <c r="V21" s="10" t="s">
        <v>77</v>
      </c>
      <c r="W21" s="10" t="s">
        <v>77</v>
      </c>
      <c r="X21" s="10" t="s">
        <v>77</v>
      </c>
      <c r="Y21" s="10" t="s">
        <v>77</v>
      </c>
      <c r="Z21" s="10" t="s">
        <v>77</v>
      </c>
      <c r="AA21" s="10" t="s">
        <v>77</v>
      </c>
      <c r="AB21" s="10"/>
      <c r="AC21" s="10" t="s">
        <v>77</v>
      </c>
      <c r="AD21" s="10" t="s">
        <v>77</v>
      </c>
      <c r="AE21" s="10" t="s">
        <v>77</v>
      </c>
      <c r="AF21" s="10" t="s">
        <v>77</v>
      </c>
      <c r="AG21" s="10" t="s">
        <v>77</v>
      </c>
      <c r="AH21" s="10" t="s">
        <v>77</v>
      </c>
      <c r="AI21" s="10" t="s">
        <v>77</v>
      </c>
      <c r="AJ21" s="10" t="s">
        <v>77</v>
      </c>
      <c r="AK21" s="10" t="s">
        <v>77</v>
      </c>
      <c r="AL21" s="10" t="s">
        <v>77</v>
      </c>
      <c r="AM21" s="10" t="s">
        <v>77</v>
      </c>
      <c r="AN21" s="10" t="s">
        <v>77</v>
      </c>
      <c r="AO21" s="10"/>
      <c r="AP21" s="10" t="s">
        <v>73</v>
      </c>
      <c r="AQ21" s="10" t="s">
        <v>73</v>
      </c>
      <c r="AS21" s="10"/>
      <c r="AT21" s="10"/>
      <c r="AU21" s="10"/>
      <c r="AV21" s="10" t="s">
        <v>78</v>
      </c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R21" s="10" t="s">
        <v>78</v>
      </c>
      <c r="BS21" s="10"/>
      <c r="BT21" s="10"/>
      <c r="BU21" s="10"/>
      <c r="BV21" s="10"/>
      <c r="BW21" s="10"/>
      <c r="BX21" s="10"/>
      <c r="BY21" s="10"/>
      <c r="CA21" s="2" t="str">
        <f aca="false">IF(AS21="x","x",IF(AS21="-","-",""))</f>
        <v/>
      </c>
      <c r="CB21" s="2" t="str">
        <f aca="false">IF(AT21="x","x",IF(AT21="-","-",""))</f>
        <v/>
      </c>
      <c r="CC21" s="2" t="str">
        <f aca="false">IF(AU21="x","x",IF(AU21="-","-",""))</f>
        <v/>
      </c>
      <c r="CD21" s="2" t="str">
        <f aca="false">IF(AV21="x","x",IF(AV21="-","-",""))</f>
        <v>x</v>
      </c>
      <c r="CE21" s="2" t="str">
        <f aca="false">IF(AW21="x","x",IF(AW21="-","-",""))</f>
        <v/>
      </c>
      <c r="CF21" s="2" t="str">
        <f aca="false">IF(AX21="x","x",IF(AX21="-","-",""))</f>
        <v/>
      </c>
      <c r="CG21" s="2" t="str">
        <f aca="false">IF(AY21="x","x",IF(AY21="-","-",""))</f>
        <v/>
      </c>
      <c r="CH21" s="2" t="str">
        <f aca="false">IF(AZ21="x","x",IF(AZ21="-","-",""))</f>
        <v/>
      </c>
      <c r="CI21" s="2" t="str">
        <f aca="false">IF(BA21="x","x",IF(BA21="-","-",""))</f>
        <v/>
      </c>
      <c r="CJ21" s="2" t="str">
        <f aca="false">IF(BB21="x","x",IF(BB21="-","-",""))</f>
        <v/>
      </c>
      <c r="CK21" s="2" t="str">
        <f aca="false">IF(BC21="x","x",IF(BC21="-","-",""))</f>
        <v/>
      </c>
      <c r="CL21" s="2" t="str">
        <f aca="false">IF(BD21="x","x",IF(BD21="-","-",""))</f>
        <v/>
      </c>
      <c r="CM21" s="2" t="str">
        <f aca="false">IF(BE21="x","x",IF(BE21="-","-",""))</f>
        <v/>
      </c>
      <c r="CN21" s="2" t="str">
        <f aca="false">IF(BF21="x","x",IF(BF21="-","-",""))</f>
        <v/>
      </c>
      <c r="CO21" s="2" t="str">
        <f aca="false">IF(BG21="x","x",IF(BG21="-","-",""))</f>
        <v/>
      </c>
      <c r="CP21" s="2" t="str">
        <f aca="false">IF(BH21="x","x",IF(BH21="-","-",""))</f>
        <v/>
      </c>
      <c r="CQ21" s="2" t="str">
        <f aca="false">IF(BI21="x","x",IF(BI21="-","-",""))</f>
        <v/>
      </c>
      <c r="CR21" s="2" t="str">
        <f aca="false">IF(BJ21="x","x",IF(BJ21="-","-",""))</f>
        <v/>
      </c>
      <c r="CS21" s="2" t="str">
        <f aca="false">IF(BK21="x","x",IF(BK21="-","-",""))</f>
        <v/>
      </c>
      <c r="CT21" s="2" t="str">
        <f aca="false">IF(BL21="x","x",IF(BL21="-","-",""))</f>
        <v/>
      </c>
      <c r="CU21" s="2" t="str">
        <f aca="false">IF(BM21="x","x",IF(BM21="-","-",""))</f>
        <v/>
      </c>
      <c r="CV21" s="2" t="str">
        <f aca="false">IF(BN21="x","x",IF(BN21="-","-",""))</f>
        <v/>
      </c>
      <c r="CW21" s="2" t="str">
        <f aca="false">IF(BO21="x","x",IF(BO21="-","-",""))</f>
        <v/>
      </c>
      <c r="CX21" s="2" t="str">
        <f aca="false">IF(BP21="x","x",IF(BP21="-","-",""))</f>
        <v/>
      </c>
      <c r="CZ21" s="2" t="str">
        <f aca="false">IF(P21="x","x",IF(P21="-","-",""))</f>
        <v>-</v>
      </c>
      <c r="DA21" s="2" t="str">
        <f aca="false">IF(Q21="x","x",IF(Q21="-","-",""))</f>
        <v>-</v>
      </c>
      <c r="DB21" s="2" t="str">
        <f aca="false">IF(R21="x","x",IF(R21="-","-",""))</f>
        <v>-</v>
      </c>
      <c r="DC21" s="2" t="str">
        <f aca="false">IF(S21="x","x",IF(S21="-","-",""))</f>
        <v>-</v>
      </c>
      <c r="DD21" s="2" t="str">
        <f aca="false">IF(T21="x","x",IF(T21="-","-",""))</f>
        <v>-</v>
      </c>
      <c r="DE21" s="2" t="str">
        <f aca="false">IF(U21="x","x",IF(U21="-","-",""))</f>
        <v>-</v>
      </c>
      <c r="DF21" s="2" t="str">
        <f aca="false">IF(V21="x","x",IF(V21="-","-",""))</f>
        <v>-</v>
      </c>
      <c r="DG21" s="2" t="str">
        <f aca="false">IF(W21="x","x",IF(W21="-","-",""))</f>
        <v>-</v>
      </c>
      <c r="DH21" s="2" t="str">
        <f aca="false">IF(X21="x","x",IF(X21="-","-",""))</f>
        <v>-</v>
      </c>
      <c r="DI21" s="2" t="str">
        <f aca="false">IF(Y21="x","x",IF(Y21="-","-",""))</f>
        <v>-</v>
      </c>
      <c r="DJ21" s="2" t="str">
        <f aca="false">IF(Z21="x","x",IF(Z21="-","-",""))</f>
        <v>-</v>
      </c>
      <c r="DK21" s="2" t="str">
        <f aca="false">IF(AA21="x","x",IF(AA21="-","-",""))</f>
        <v>-</v>
      </c>
      <c r="DL21" s="10"/>
      <c r="DM21" s="2" t="str">
        <f aca="false">IF(AC21="x","x",IF(AC21="-","-",""))</f>
        <v>-</v>
      </c>
      <c r="DN21" s="2" t="str">
        <f aca="false">IF(AD21="x","x",IF(AD21="-","-",""))</f>
        <v>-</v>
      </c>
      <c r="DO21" s="2" t="str">
        <f aca="false">IF(AE21="x","x",IF(AE21="-","-",""))</f>
        <v>-</v>
      </c>
      <c r="DP21" s="2" t="str">
        <f aca="false">IF(AF21="x","x",IF(AF21="-","-",""))</f>
        <v>-</v>
      </c>
      <c r="DQ21" s="2" t="str">
        <f aca="false">IF(AG21="x","x",IF(AG21="-","-",""))</f>
        <v>-</v>
      </c>
      <c r="DR21" s="2" t="str">
        <f aca="false">IF(AH21="x","x",IF(AH21="-","-",""))</f>
        <v>-</v>
      </c>
      <c r="DS21" s="2" t="str">
        <f aca="false">IF(AI21="x","x",IF(AI21="-","-",""))</f>
        <v>-</v>
      </c>
      <c r="DT21" s="2" t="str">
        <f aca="false">IF(AJ21="x","x",IF(AJ21="-","-",""))</f>
        <v>-</v>
      </c>
      <c r="DU21" s="2" t="str">
        <f aca="false">IF(AK21="x","x",IF(AK21="-","-",""))</f>
        <v>-</v>
      </c>
      <c r="DV21" s="2" t="str">
        <f aca="false">IF(AL21="x","x",IF(AL21="-","-",""))</f>
        <v>-</v>
      </c>
      <c r="DW21" s="2" t="str">
        <f aca="false">IF(AM21="x","x",IF(AM21="-","-",""))</f>
        <v>-</v>
      </c>
      <c r="DX21" s="2" t="str">
        <f aca="false">IF(AN21="x","x",IF(AN21="-","-",""))</f>
        <v>-</v>
      </c>
    </row>
    <row r="22" customFormat="false" ht="13.8" hidden="false" customHeight="false" outlineLevel="0" collapsed="false">
      <c r="A22" s="10" t="s">
        <v>73</v>
      </c>
      <c r="B22" s="2" t="n">
        <v>21</v>
      </c>
      <c r="C22" s="11" t="s">
        <v>99</v>
      </c>
      <c r="D22" s="10" t="s">
        <v>97</v>
      </c>
      <c r="E22" s="10" t="s">
        <v>76</v>
      </c>
      <c r="F22" s="10" t="n">
        <v>21</v>
      </c>
      <c r="G22" s="10" t="s">
        <v>77</v>
      </c>
      <c r="H22" s="10" t="s">
        <v>77</v>
      </c>
      <c r="I22" s="10" t="s">
        <v>77</v>
      </c>
      <c r="J22" s="10" t="s">
        <v>77</v>
      </c>
      <c r="K22" s="10" t="s">
        <v>77</v>
      </c>
      <c r="L22" s="10" t="s">
        <v>77</v>
      </c>
      <c r="M22" s="2" t="n">
        <v>20</v>
      </c>
      <c r="N22" s="10" t="s">
        <v>77</v>
      </c>
      <c r="O22" s="10"/>
      <c r="P22" s="10" t="s">
        <v>77</v>
      </c>
      <c r="Q22" s="10" t="s">
        <v>77</v>
      </c>
      <c r="R22" s="10" t="s">
        <v>77</v>
      </c>
      <c r="S22" s="10" t="s">
        <v>77</v>
      </c>
      <c r="T22" s="10" t="s">
        <v>77</v>
      </c>
      <c r="U22" s="10" t="s">
        <v>77</v>
      </c>
      <c r="V22" s="10" t="s">
        <v>77</v>
      </c>
      <c r="W22" s="10" t="s">
        <v>77</v>
      </c>
      <c r="X22" s="10" t="s">
        <v>77</v>
      </c>
      <c r="Y22" s="10" t="s">
        <v>77</v>
      </c>
      <c r="Z22" s="10" t="s">
        <v>77</v>
      </c>
      <c r="AA22" s="10" t="s">
        <v>77</v>
      </c>
      <c r="AB22" s="10"/>
      <c r="AC22" s="10" t="s">
        <v>77</v>
      </c>
      <c r="AD22" s="10" t="s">
        <v>77</v>
      </c>
      <c r="AE22" s="10" t="s">
        <v>77</v>
      </c>
      <c r="AF22" s="10" t="s">
        <v>77</v>
      </c>
      <c r="AG22" s="10" t="s">
        <v>77</v>
      </c>
      <c r="AH22" s="10" t="s">
        <v>77</v>
      </c>
      <c r="AI22" s="10" t="s">
        <v>77</v>
      </c>
      <c r="AJ22" s="10" t="s">
        <v>77</v>
      </c>
      <c r="AK22" s="10" t="s">
        <v>77</v>
      </c>
      <c r="AL22" s="10" t="s">
        <v>77</v>
      </c>
      <c r="AM22" s="10" t="s">
        <v>77</v>
      </c>
      <c r="AN22" s="10" t="s">
        <v>77</v>
      </c>
      <c r="AO22" s="10"/>
      <c r="AP22" s="10" t="s">
        <v>73</v>
      </c>
      <c r="AQ22" s="10" t="s">
        <v>73</v>
      </c>
      <c r="AS22" s="10"/>
      <c r="AT22" s="10"/>
      <c r="AU22" s="10"/>
      <c r="AV22" s="10" t="s">
        <v>78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R22" s="10" t="s">
        <v>78</v>
      </c>
      <c r="BS22" s="10"/>
      <c r="BT22" s="10"/>
      <c r="BU22" s="10"/>
      <c r="BV22" s="10"/>
      <c r="BW22" s="10"/>
      <c r="BX22" s="10"/>
      <c r="BY22" s="10"/>
      <c r="CA22" s="2" t="str">
        <f aca="false">IF(AS22="x","x",IF(AS22="-","-",""))</f>
        <v/>
      </c>
      <c r="CB22" s="2" t="str">
        <f aca="false">IF(AT22="x","x",IF(AT22="-","-",""))</f>
        <v/>
      </c>
      <c r="CC22" s="2" t="str">
        <f aca="false">IF(AU22="x","x",IF(AU22="-","-",""))</f>
        <v/>
      </c>
      <c r="CD22" s="2" t="str">
        <f aca="false">IF(AV22="x","x",IF(AV22="-","-",""))</f>
        <v>x</v>
      </c>
      <c r="CE22" s="2" t="str">
        <f aca="false">IF(AW22="x","x",IF(AW22="-","-",""))</f>
        <v/>
      </c>
      <c r="CF22" s="2" t="str">
        <f aca="false">IF(AX22="x","x",IF(AX22="-","-",""))</f>
        <v/>
      </c>
      <c r="CG22" s="2" t="str">
        <f aca="false">IF(AY22="x","x",IF(AY22="-","-",""))</f>
        <v/>
      </c>
      <c r="CH22" s="2" t="str">
        <f aca="false">IF(AZ22="x","x",IF(AZ22="-","-",""))</f>
        <v/>
      </c>
      <c r="CI22" s="2" t="str">
        <f aca="false">IF(BA22="x","x",IF(BA22="-","-",""))</f>
        <v/>
      </c>
      <c r="CJ22" s="2" t="str">
        <f aca="false">IF(BB22="x","x",IF(BB22="-","-",""))</f>
        <v/>
      </c>
      <c r="CK22" s="2" t="str">
        <f aca="false">IF(BC22="x","x",IF(BC22="-","-",""))</f>
        <v/>
      </c>
      <c r="CL22" s="2" t="str">
        <f aca="false">IF(BD22="x","x",IF(BD22="-","-",""))</f>
        <v/>
      </c>
      <c r="CM22" s="2" t="str">
        <f aca="false">IF(BE22="x","x",IF(BE22="-","-",""))</f>
        <v/>
      </c>
      <c r="CN22" s="2" t="str">
        <f aca="false">IF(BF22="x","x",IF(BF22="-","-",""))</f>
        <v/>
      </c>
      <c r="CO22" s="2" t="str">
        <f aca="false">IF(BG22="x","x",IF(BG22="-","-",""))</f>
        <v/>
      </c>
      <c r="CP22" s="2" t="str">
        <f aca="false">IF(BH22="x","x",IF(BH22="-","-",""))</f>
        <v/>
      </c>
      <c r="CQ22" s="2" t="str">
        <f aca="false">IF(BI22="x","x",IF(BI22="-","-",""))</f>
        <v/>
      </c>
      <c r="CR22" s="2" t="str">
        <f aca="false">IF(BJ22="x","x",IF(BJ22="-","-",""))</f>
        <v/>
      </c>
      <c r="CS22" s="2" t="str">
        <f aca="false">IF(BK22="x","x",IF(BK22="-","-",""))</f>
        <v/>
      </c>
      <c r="CT22" s="2" t="str">
        <f aca="false">IF(BL22="x","x",IF(BL22="-","-",""))</f>
        <v/>
      </c>
      <c r="CU22" s="2" t="str">
        <f aca="false">IF(BM22="x","x",IF(BM22="-","-",""))</f>
        <v/>
      </c>
      <c r="CV22" s="2" t="str">
        <f aca="false">IF(BN22="x","x",IF(BN22="-","-",""))</f>
        <v/>
      </c>
      <c r="CW22" s="2" t="str">
        <f aca="false">IF(BO22="x","x",IF(BO22="-","-",""))</f>
        <v/>
      </c>
      <c r="CX22" s="2" t="str">
        <f aca="false">IF(BP22="x","x",IF(BP22="-","-",""))</f>
        <v/>
      </c>
      <c r="CZ22" s="2" t="str">
        <f aca="false">IF(P22="x","x",IF(P22="-","-",""))</f>
        <v>-</v>
      </c>
      <c r="DA22" s="2" t="str">
        <f aca="false">IF(Q22="x","x",IF(Q22="-","-",""))</f>
        <v>-</v>
      </c>
      <c r="DB22" s="2" t="str">
        <f aca="false">IF(R22="x","x",IF(R22="-","-",""))</f>
        <v>-</v>
      </c>
      <c r="DC22" s="2" t="str">
        <f aca="false">IF(S22="x","x",IF(S22="-","-",""))</f>
        <v>-</v>
      </c>
      <c r="DD22" s="2" t="str">
        <f aca="false">IF(T22="x","x",IF(T22="-","-",""))</f>
        <v>-</v>
      </c>
      <c r="DE22" s="2" t="str">
        <f aca="false">IF(U22="x","x",IF(U22="-","-",""))</f>
        <v>-</v>
      </c>
      <c r="DF22" s="2" t="str">
        <f aca="false">IF(V22="x","x",IF(V22="-","-",""))</f>
        <v>-</v>
      </c>
      <c r="DG22" s="2" t="str">
        <f aca="false">IF(W22="x","x",IF(W22="-","-",""))</f>
        <v>-</v>
      </c>
      <c r="DH22" s="2" t="str">
        <f aca="false">IF(X22="x","x",IF(X22="-","-",""))</f>
        <v>-</v>
      </c>
      <c r="DI22" s="2" t="str">
        <f aca="false">IF(Y22="x","x",IF(Y22="-","-",""))</f>
        <v>-</v>
      </c>
      <c r="DJ22" s="2" t="str">
        <f aca="false">IF(Z22="x","x",IF(Z22="-","-",""))</f>
        <v>-</v>
      </c>
      <c r="DK22" s="2" t="str">
        <f aca="false">IF(AA22="x","x",IF(AA22="-","-",""))</f>
        <v>-</v>
      </c>
      <c r="DL22" s="10"/>
      <c r="DM22" s="2" t="str">
        <f aca="false">IF(AC22="x","x",IF(AC22="-","-",""))</f>
        <v>-</v>
      </c>
      <c r="DN22" s="2" t="str">
        <f aca="false">IF(AD22="x","x",IF(AD22="-","-",""))</f>
        <v>-</v>
      </c>
      <c r="DO22" s="2" t="str">
        <f aca="false">IF(AE22="x","x",IF(AE22="-","-",""))</f>
        <v>-</v>
      </c>
      <c r="DP22" s="2" t="str">
        <f aca="false">IF(AF22="x","x",IF(AF22="-","-",""))</f>
        <v>-</v>
      </c>
      <c r="DQ22" s="2" t="str">
        <f aca="false">IF(AG22="x","x",IF(AG22="-","-",""))</f>
        <v>-</v>
      </c>
      <c r="DR22" s="2" t="str">
        <f aca="false">IF(AH22="x","x",IF(AH22="-","-",""))</f>
        <v>-</v>
      </c>
      <c r="DS22" s="2" t="str">
        <f aca="false">IF(AI22="x","x",IF(AI22="-","-",""))</f>
        <v>-</v>
      </c>
      <c r="DT22" s="2" t="str">
        <f aca="false">IF(AJ22="x","x",IF(AJ22="-","-",""))</f>
        <v>-</v>
      </c>
      <c r="DU22" s="2" t="str">
        <f aca="false">IF(AK22="x","x",IF(AK22="-","-",""))</f>
        <v>-</v>
      </c>
      <c r="DV22" s="2" t="str">
        <f aca="false">IF(AL22="x","x",IF(AL22="-","-",""))</f>
        <v>-</v>
      </c>
      <c r="DW22" s="2" t="str">
        <f aca="false">IF(AM22="x","x",IF(AM22="-","-",""))</f>
        <v>-</v>
      </c>
      <c r="DX22" s="2" t="str">
        <f aca="false">IF(AN22="x","x",IF(AN22="-","-",""))</f>
        <v>-</v>
      </c>
    </row>
    <row r="23" customFormat="false" ht="13.8" hidden="false" customHeight="false" outlineLevel="0" collapsed="false">
      <c r="A23" s="10" t="s">
        <v>73</v>
      </c>
      <c r="B23" s="2" t="n">
        <v>22</v>
      </c>
      <c r="C23" s="11" t="s">
        <v>100</v>
      </c>
      <c r="D23" s="10" t="s">
        <v>97</v>
      </c>
      <c r="E23" s="10" t="s">
        <v>76</v>
      </c>
      <c r="F23" s="10" t="n">
        <v>22</v>
      </c>
      <c r="G23" s="10" t="s">
        <v>77</v>
      </c>
      <c r="H23" s="10" t="s">
        <v>77</v>
      </c>
      <c r="I23" s="10" t="s">
        <v>77</v>
      </c>
      <c r="J23" s="10" t="s">
        <v>77</v>
      </c>
      <c r="K23" s="10" t="s">
        <v>77</v>
      </c>
      <c r="L23" s="10" t="s">
        <v>77</v>
      </c>
      <c r="M23" s="2" t="n">
        <v>20</v>
      </c>
      <c r="N23" s="10" t="s">
        <v>77</v>
      </c>
      <c r="O23" s="10"/>
      <c r="P23" s="10" t="s">
        <v>77</v>
      </c>
      <c r="Q23" s="10" t="s">
        <v>77</v>
      </c>
      <c r="R23" s="10" t="s">
        <v>77</v>
      </c>
      <c r="S23" s="10" t="s">
        <v>77</v>
      </c>
      <c r="T23" s="10" t="s">
        <v>77</v>
      </c>
      <c r="U23" s="10" t="s">
        <v>77</v>
      </c>
      <c r="V23" s="10" t="s">
        <v>77</v>
      </c>
      <c r="W23" s="10" t="s">
        <v>77</v>
      </c>
      <c r="X23" s="10" t="s">
        <v>77</v>
      </c>
      <c r="Y23" s="10" t="s">
        <v>77</v>
      </c>
      <c r="Z23" s="10" t="s">
        <v>77</v>
      </c>
      <c r="AA23" s="10" t="s">
        <v>77</v>
      </c>
      <c r="AB23" s="10"/>
      <c r="AC23" s="10" t="s">
        <v>77</v>
      </c>
      <c r="AD23" s="10" t="s">
        <v>77</v>
      </c>
      <c r="AE23" s="10" t="s">
        <v>77</v>
      </c>
      <c r="AF23" s="10" t="s">
        <v>77</v>
      </c>
      <c r="AG23" s="10" t="s">
        <v>77</v>
      </c>
      <c r="AH23" s="10" t="s">
        <v>77</v>
      </c>
      <c r="AI23" s="10" t="s">
        <v>77</v>
      </c>
      <c r="AJ23" s="10" t="s">
        <v>77</v>
      </c>
      <c r="AK23" s="10" t="s">
        <v>77</v>
      </c>
      <c r="AL23" s="10" t="s">
        <v>77</v>
      </c>
      <c r="AM23" s="10" t="s">
        <v>77</v>
      </c>
      <c r="AN23" s="10" t="s">
        <v>77</v>
      </c>
      <c r="AO23" s="10"/>
      <c r="AP23" s="10" t="s">
        <v>73</v>
      </c>
      <c r="AQ23" s="10" t="s">
        <v>73</v>
      </c>
      <c r="AS23" s="10"/>
      <c r="AT23" s="10"/>
      <c r="AU23" s="10"/>
      <c r="AV23" s="10" t="s">
        <v>78</v>
      </c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R23" s="10" t="s">
        <v>78</v>
      </c>
      <c r="BS23" s="10"/>
      <c r="BT23" s="10"/>
      <c r="BU23" s="10"/>
      <c r="BV23" s="10"/>
      <c r="BW23" s="10"/>
      <c r="BX23" s="10"/>
      <c r="BY23" s="10"/>
      <c r="CA23" s="2" t="str">
        <f aca="false">IF(AS23="x","x",IF(AS23="-","-",""))</f>
        <v/>
      </c>
      <c r="CB23" s="2" t="str">
        <f aca="false">IF(AT23="x","x",IF(AT23="-","-",""))</f>
        <v/>
      </c>
      <c r="CC23" s="2" t="str">
        <f aca="false">IF(AU23="x","x",IF(AU23="-","-",""))</f>
        <v/>
      </c>
      <c r="CD23" s="2" t="str">
        <f aca="false">IF(AV23="x","x",IF(AV23="-","-",""))</f>
        <v>x</v>
      </c>
      <c r="CE23" s="2" t="str">
        <f aca="false">IF(AW23="x","x",IF(AW23="-","-",""))</f>
        <v/>
      </c>
      <c r="CF23" s="2" t="str">
        <f aca="false">IF(AX23="x","x",IF(AX23="-","-",""))</f>
        <v/>
      </c>
      <c r="CG23" s="2" t="str">
        <f aca="false">IF(AY23="x","x",IF(AY23="-","-",""))</f>
        <v/>
      </c>
      <c r="CH23" s="2" t="str">
        <f aca="false">IF(AZ23="x","x",IF(AZ23="-","-",""))</f>
        <v/>
      </c>
      <c r="CI23" s="2" t="str">
        <f aca="false">IF(BA23="x","x",IF(BA23="-","-",""))</f>
        <v/>
      </c>
      <c r="CJ23" s="2" t="str">
        <f aca="false">IF(BB23="x","x",IF(BB23="-","-",""))</f>
        <v/>
      </c>
      <c r="CK23" s="2" t="str">
        <f aca="false">IF(BC23="x","x",IF(BC23="-","-",""))</f>
        <v/>
      </c>
      <c r="CL23" s="2" t="str">
        <f aca="false">IF(BD23="x","x",IF(BD23="-","-",""))</f>
        <v/>
      </c>
      <c r="CM23" s="2" t="str">
        <f aca="false">IF(BE23="x","x",IF(BE23="-","-",""))</f>
        <v/>
      </c>
      <c r="CN23" s="2" t="str">
        <f aca="false">IF(BF23="x","x",IF(BF23="-","-",""))</f>
        <v/>
      </c>
      <c r="CO23" s="2" t="str">
        <f aca="false">IF(BG23="x","x",IF(BG23="-","-",""))</f>
        <v/>
      </c>
      <c r="CP23" s="2" t="str">
        <f aca="false">IF(BH23="x","x",IF(BH23="-","-",""))</f>
        <v/>
      </c>
      <c r="CQ23" s="2" t="str">
        <f aca="false">IF(BI23="x","x",IF(BI23="-","-",""))</f>
        <v/>
      </c>
      <c r="CR23" s="2" t="str">
        <f aca="false">IF(BJ23="x","x",IF(BJ23="-","-",""))</f>
        <v/>
      </c>
      <c r="CS23" s="2" t="str">
        <f aca="false">IF(BK23="x","x",IF(BK23="-","-",""))</f>
        <v/>
      </c>
      <c r="CT23" s="2" t="str">
        <f aca="false">IF(BL23="x","x",IF(BL23="-","-",""))</f>
        <v/>
      </c>
      <c r="CU23" s="2" t="str">
        <f aca="false">IF(BM23="x","x",IF(BM23="-","-",""))</f>
        <v/>
      </c>
      <c r="CV23" s="2" t="str">
        <f aca="false">IF(BN23="x","x",IF(BN23="-","-",""))</f>
        <v/>
      </c>
      <c r="CW23" s="2" t="str">
        <f aca="false">IF(BO23="x","x",IF(BO23="-","-",""))</f>
        <v/>
      </c>
      <c r="CX23" s="2" t="str">
        <f aca="false">IF(BP23="x","x",IF(BP23="-","-",""))</f>
        <v/>
      </c>
      <c r="CZ23" s="2" t="str">
        <f aca="false">IF(P23="x","x",IF(P23="-","-",""))</f>
        <v>-</v>
      </c>
      <c r="DA23" s="2" t="str">
        <f aca="false">IF(Q23="x","x",IF(Q23="-","-",""))</f>
        <v>-</v>
      </c>
      <c r="DB23" s="2" t="str">
        <f aca="false">IF(R23="x","x",IF(R23="-","-",""))</f>
        <v>-</v>
      </c>
      <c r="DC23" s="2" t="str">
        <f aca="false">IF(S23="x","x",IF(S23="-","-",""))</f>
        <v>-</v>
      </c>
      <c r="DD23" s="2" t="str">
        <f aca="false">IF(T23="x","x",IF(T23="-","-",""))</f>
        <v>-</v>
      </c>
      <c r="DE23" s="2" t="str">
        <f aca="false">IF(U23="x","x",IF(U23="-","-",""))</f>
        <v>-</v>
      </c>
      <c r="DF23" s="2" t="str">
        <f aca="false">IF(V23="x","x",IF(V23="-","-",""))</f>
        <v>-</v>
      </c>
      <c r="DG23" s="2" t="str">
        <f aca="false">IF(W23="x","x",IF(W23="-","-",""))</f>
        <v>-</v>
      </c>
      <c r="DH23" s="2" t="str">
        <f aca="false">IF(X23="x","x",IF(X23="-","-",""))</f>
        <v>-</v>
      </c>
      <c r="DI23" s="2" t="str">
        <f aca="false">IF(Y23="x","x",IF(Y23="-","-",""))</f>
        <v>-</v>
      </c>
      <c r="DJ23" s="2" t="str">
        <f aca="false">IF(Z23="x","x",IF(Z23="-","-",""))</f>
        <v>-</v>
      </c>
      <c r="DK23" s="2" t="str">
        <f aca="false">IF(AA23="x","x",IF(AA23="-","-",""))</f>
        <v>-</v>
      </c>
      <c r="DL23" s="10"/>
      <c r="DM23" s="2" t="str">
        <f aca="false">IF(AC23="x","x",IF(AC23="-","-",""))</f>
        <v>-</v>
      </c>
      <c r="DN23" s="2" t="str">
        <f aca="false">IF(AD23="x","x",IF(AD23="-","-",""))</f>
        <v>-</v>
      </c>
      <c r="DO23" s="2" t="str">
        <f aca="false">IF(AE23="x","x",IF(AE23="-","-",""))</f>
        <v>-</v>
      </c>
      <c r="DP23" s="2" t="str">
        <f aca="false">IF(AF23="x","x",IF(AF23="-","-",""))</f>
        <v>-</v>
      </c>
      <c r="DQ23" s="2" t="str">
        <f aca="false">IF(AG23="x","x",IF(AG23="-","-",""))</f>
        <v>-</v>
      </c>
      <c r="DR23" s="2" t="str">
        <f aca="false">IF(AH23="x","x",IF(AH23="-","-",""))</f>
        <v>-</v>
      </c>
      <c r="DS23" s="2" t="str">
        <f aca="false">IF(AI23="x","x",IF(AI23="-","-",""))</f>
        <v>-</v>
      </c>
      <c r="DT23" s="2" t="str">
        <f aca="false">IF(AJ23="x","x",IF(AJ23="-","-",""))</f>
        <v>-</v>
      </c>
      <c r="DU23" s="2" t="str">
        <f aca="false">IF(AK23="x","x",IF(AK23="-","-",""))</f>
        <v>-</v>
      </c>
      <c r="DV23" s="2" t="str">
        <f aca="false">IF(AL23="x","x",IF(AL23="-","-",""))</f>
        <v>-</v>
      </c>
      <c r="DW23" s="2" t="str">
        <f aca="false">IF(AM23="x","x",IF(AM23="-","-",""))</f>
        <v>-</v>
      </c>
      <c r="DX23" s="2" t="str">
        <f aca="false">IF(AN23="x","x",IF(AN23="-","-",""))</f>
        <v>-</v>
      </c>
    </row>
    <row r="24" customFormat="false" ht="13.8" hidden="false" customHeight="false" outlineLevel="0" collapsed="false">
      <c r="A24" s="10" t="s">
        <v>73</v>
      </c>
      <c r="B24" s="2" t="n">
        <v>23</v>
      </c>
      <c r="C24" s="11" t="s">
        <v>101</v>
      </c>
      <c r="D24" s="10" t="s">
        <v>97</v>
      </c>
      <c r="E24" s="10" t="s">
        <v>76</v>
      </c>
      <c r="F24" s="10" t="n">
        <v>23</v>
      </c>
      <c r="G24" s="10" t="s">
        <v>77</v>
      </c>
      <c r="H24" s="10" t="s">
        <v>77</v>
      </c>
      <c r="I24" s="10" t="s">
        <v>77</v>
      </c>
      <c r="J24" s="10" t="s">
        <v>77</v>
      </c>
      <c r="K24" s="10" t="s">
        <v>77</v>
      </c>
      <c r="L24" s="10" t="s">
        <v>77</v>
      </c>
      <c r="M24" s="2" t="n">
        <v>20</v>
      </c>
      <c r="N24" s="10" t="s">
        <v>77</v>
      </c>
      <c r="O24" s="10"/>
      <c r="P24" s="10" t="s">
        <v>77</v>
      </c>
      <c r="Q24" s="10" t="s">
        <v>77</v>
      </c>
      <c r="R24" s="10" t="s">
        <v>77</v>
      </c>
      <c r="S24" s="10" t="s">
        <v>77</v>
      </c>
      <c r="T24" s="10" t="s">
        <v>77</v>
      </c>
      <c r="U24" s="10" t="s">
        <v>77</v>
      </c>
      <c r="V24" s="10" t="s">
        <v>77</v>
      </c>
      <c r="W24" s="10" t="s">
        <v>77</v>
      </c>
      <c r="X24" s="10" t="s">
        <v>77</v>
      </c>
      <c r="Y24" s="10" t="s">
        <v>77</v>
      </c>
      <c r="Z24" s="10" t="s">
        <v>77</v>
      </c>
      <c r="AA24" s="10" t="s">
        <v>77</v>
      </c>
      <c r="AB24" s="10"/>
      <c r="AC24" s="10" t="s">
        <v>77</v>
      </c>
      <c r="AD24" s="10" t="s">
        <v>77</v>
      </c>
      <c r="AE24" s="10" t="s">
        <v>77</v>
      </c>
      <c r="AF24" s="10" t="s">
        <v>77</v>
      </c>
      <c r="AG24" s="10" t="s">
        <v>77</v>
      </c>
      <c r="AH24" s="10" t="s">
        <v>77</v>
      </c>
      <c r="AI24" s="10" t="s">
        <v>77</v>
      </c>
      <c r="AJ24" s="10" t="s">
        <v>77</v>
      </c>
      <c r="AK24" s="10" t="s">
        <v>77</v>
      </c>
      <c r="AL24" s="10" t="s">
        <v>77</v>
      </c>
      <c r="AM24" s="10" t="s">
        <v>77</v>
      </c>
      <c r="AN24" s="10" t="s">
        <v>77</v>
      </c>
      <c r="AO24" s="10"/>
      <c r="AP24" s="10" t="s">
        <v>73</v>
      </c>
      <c r="AQ24" s="10" t="s">
        <v>73</v>
      </c>
      <c r="AS24" s="10"/>
      <c r="AT24" s="10"/>
      <c r="AU24" s="10"/>
      <c r="AV24" s="10" t="s">
        <v>78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R24" s="10" t="s">
        <v>78</v>
      </c>
      <c r="BS24" s="10"/>
      <c r="BT24" s="10"/>
      <c r="BU24" s="10"/>
      <c r="BV24" s="10"/>
      <c r="BW24" s="10"/>
      <c r="BX24" s="10"/>
      <c r="BY24" s="10"/>
      <c r="CA24" s="2" t="str">
        <f aca="false">IF(AS24="x","x",IF(AS24="-","-",""))</f>
        <v/>
      </c>
      <c r="CB24" s="2" t="str">
        <f aca="false">IF(AT24="x","x",IF(AT24="-","-",""))</f>
        <v/>
      </c>
      <c r="CC24" s="2" t="str">
        <f aca="false">IF(AU24="x","x",IF(AU24="-","-",""))</f>
        <v/>
      </c>
      <c r="CD24" s="2" t="str">
        <f aca="false">IF(AV24="x","x",IF(AV24="-","-",""))</f>
        <v>x</v>
      </c>
      <c r="CE24" s="2" t="str">
        <f aca="false">IF(AW24="x","x",IF(AW24="-","-",""))</f>
        <v/>
      </c>
      <c r="CF24" s="2" t="str">
        <f aca="false">IF(AX24="x","x",IF(AX24="-","-",""))</f>
        <v/>
      </c>
      <c r="CG24" s="2" t="str">
        <f aca="false">IF(AY24="x","x",IF(AY24="-","-",""))</f>
        <v/>
      </c>
      <c r="CH24" s="2" t="str">
        <f aca="false">IF(AZ24="x","x",IF(AZ24="-","-",""))</f>
        <v/>
      </c>
      <c r="CI24" s="2" t="str">
        <f aca="false">IF(BA24="x","x",IF(BA24="-","-",""))</f>
        <v/>
      </c>
      <c r="CJ24" s="2" t="str">
        <f aca="false">IF(BB24="x","x",IF(BB24="-","-",""))</f>
        <v/>
      </c>
      <c r="CK24" s="2" t="str">
        <f aca="false">IF(BC24="x","x",IF(BC24="-","-",""))</f>
        <v/>
      </c>
      <c r="CL24" s="2" t="str">
        <f aca="false">IF(BD24="x","x",IF(BD24="-","-",""))</f>
        <v/>
      </c>
      <c r="CM24" s="2" t="str">
        <f aca="false">IF(BE24="x","x",IF(BE24="-","-",""))</f>
        <v/>
      </c>
      <c r="CN24" s="2" t="str">
        <f aca="false">IF(BF24="x","x",IF(BF24="-","-",""))</f>
        <v/>
      </c>
      <c r="CO24" s="2" t="str">
        <f aca="false">IF(BG24="x","x",IF(BG24="-","-",""))</f>
        <v/>
      </c>
      <c r="CP24" s="2" t="str">
        <f aca="false">IF(BH24="x","x",IF(BH24="-","-",""))</f>
        <v/>
      </c>
      <c r="CQ24" s="2" t="str">
        <f aca="false">IF(BI24="x","x",IF(BI24="-","-",""))</f>
        <v/>
      </c>
      <c r="CR24" s="2" t="str">
        <f aca="false">IF(BJ24="x","x",IF(BJ24="-","-",""))</f>
        <v/>
      </c>
      <c r="CS24" s="2" t="str">
        <f aca="false">IF(BK24="x","x",IF(BK24="-","-",""))</f>
        <v/>
      </c>
      <c r="CT24" s="2" t="str">
        <f aca="false">IF(BL24="x","x",IF(BL24="-","-",""))</f>
        <v/>
      </c>
      <c r="CU24" s="2" t="str">
        <f aca="false">IF(BM24="x","x",IF(BM24="-","-",""))</f>
        <v/>
      </c>
      <c r="CV24" s="2" t="str">
        <f aca="false">IF(BN24="x","x",IF(BN24="-","-",""))</f>
        <v/>
      </c>
      <c r="CW24" s="2" t="str">
        <f aca="false">IF(BO24="x","x",IF(BO24="-","-",""))</f>
        <v/>
      </c>
      <c r="CX24" s="2" t="str">
        <f aca="false">IF(BP24="x","x",IF(BP24="-","-",""))</f>
        <v/>
      </c>
      <c r="CZ24" s="2" t="str">
        <f aca="false">IF(P24="x","x",IF(P24="-","-",""))</f>
        <v>-</v>
      </c>
      <c r="DA24" s="2" t="str">
        <f aca="false">IF(Q24="x","x",IF(Q24="-","-",""))</f>
        <v>-</v>
      </c>
      <c r="DB24" s="2" t="str">
        <f aca="false">IF(R24="x","x",IF(R24="-","-",""))</f>
        <v>-</v>
      </c>
      <c r="DC24" s="2" t="str">
        <f aca="false">IF(S24="x","x",IF(S24="-","-",""))</f>
        <v>-</v>
      </c>
      <c r="DD24" s="2" t="str">
        <f aca="false">IF(T24="x","x",IF(T24="-","-",""))</f>
        <v>-</v>
      </c>
      <c r="DE24" s="2" t="str">
        <f aca="false">IF(U24="x","x",IF(U24="-","-",""))</f>
        <v>-</v>
      </c>
      <c r="DF24" s="2" t="str">
        <f aca="false">IF(V24="x","x",IF(V24="-","-",""))</f>
        <v>-</v>
      </c>
      <c r="DG24" s="2" t="str">
        <f aca="false">IF(W24="x","x",IF(W24="-","-",""))</f>
        <v>-</v>
      </c>
      <c r="DH24" s="2" t="str">
        <f aca="false">IF(X24="x","x",IF(X24="-","-",""))</f>
        <v>-</v>
      </c>
      <c r="DI24" s="2" t="str">
        <f aca="false">IF(Y24="x","x",IF(Y24="-","-",""))</f>
        <v>-</v>
      </c>
      <c r="DJ24" s="2" t="str">
        <f aca="false">IF(Z24="x","x",IF(Z24="-","-",""))</f>
        <v>-</v>
      </c>
      <c r="DK24" s="2" t="str">
        <f aca="false">IF(AA24="x","x",IF(AA24="-","-",""))</f>
        <v>-</v>
      </c>
      <c r="DL24" s="10"/>
      <c r="DM24" s="2" t="str">
        <f aca="false">IF(AC24="x","x",IF(AC24="-","-",""))</f>
        <v>-</v>
      </c>
      <c r="DN24" s="2" t="str">
        <f aca="false">IF(AD24="x","x",IF(AD24="-","-",""))</f>
        <v>-</v>
      </c>
      <c r="DO24" s="2" t="str">
        <f aca="false">IF(AE24="x","x",IF(AE24="-","-",""))</f>
        <v>-</v>
      </c>
      <c r="DP24" s="2" t="str">
        <f aca="false">IF(AF24="x","x",IF(AF24="-","-",""))</f>
        <v>-</v>
      </c>
      <c r="DQ24" s="2" t="str">
        <f aca="false">IF(AG24="x","x",IF(AG24="-","-",""))</f>
        <v>-</v>
      </c>
      <c r="DR24" s="2" t="str">
        <f aca="false">IF(AH24="x","x",IF(AH24="-","-",""))</f>
        <v>-</v>
      </c>
      <c r="DS24" s="2" t="str">
        <f aca="false">IF(AI24="x","x",IF(AI24="-","-",""))</f>
        <v>-</v>
      </c>
      <c r="DT24" s="2" t="str">
        <f aca="false">IF(AJ24="x","x",IF(AJ24="-","-",""))</f>
        <v>-</v>
      </c>
      <c r="DU24" s="2" t="str">
        <f aca="false">IF(AK24="x","x",IF(AK24="-","-",""))</f>
        <v>-</v>
      </c>
      <c r="DV24" s="2" t="str">
        <f aca="false">IF(AL24="x","x",IF(AL24="-","-",""))</f>
        <v>-</v>
      </c>
      <c r="DW24" s="2" t="str">
        <f aca="false">IF(AM24="x","x",IF(AM24="-","-",""))</f>
        <v>-</v>
      </c>
      <c r="DX24" s="2" t="str">
        <f aca="false">IF(AN24="x","x",IF(AN24="-","-",""))</f>
        <v>-</v>
      </c>
    </row>
    <row r="25" customFormat="false" ht="13.8" hidden="false" customHeight="false" outlineLevel="0" collapsed="false">
      <c r="A25" s="10" t="s">
        <v>73</v>
      </c>
      <c r="B25" s="2" t="n">
        <v>24</v>
      </c>
      <c r="C25" s="11" t="s">
        <v>102</v>
      </c>
      <c r="D25" s="10" t="s">
        <v>97</v>
      </c>
      <c r="E25" s="10" t="s">
        <v>76</v>
      </c>
      <c r="F25" s="10" t="n">
        <v>24</v>
      </c>
      <c r="G25" s="10" t="s">
        <v>77</v>
      </c>
      <c r="H25" s="10" t="s">
        <v>77</v>
      </c>
      <c r="I25" s="10" t="s">
        <v>77</v>
      </c>
      <c r="J25" s="10" t="s">
        <v>77</v>
      </c>
      <c r="K25" s="10" t="s">
        <v>77</v>
      </c>
      <c r="L25" s="10" t="s">
        <v>77</v>
      </c>
      <c r="M25" s="2" t="n">
        <v>20</v>
      </c>
      <c r="N25" s="10" t="s">
        <v>77</v>
      </c>
      <c r="O25" s="10"/>
      <c r="P25" s="10" t="s">
        <v>77</v>
      </c>
      <c r="Q25" s="10" t="s">
        <v>77</v>
      </c>
      <c r="R25" s="10" t="s">
        <v>77</v>
      </c>
      <c r="S25" s="10" t="s">
        <v>77</v>
      </c>
      <c r="T25" s="10" t="s">
        <v>77</v>
      </c>
      <c r="U25" s="10" t="s">
        <v>77</v>
      </c>
      <c r="V25" s="10" t="s">
        <v>77</v>
      </c>
      <c r="W25" s="10" t="s">
        <v>77</v>
      </c>
      <c r="X25" s="10" t="s">
        <v>77</v>
      </c>
      <c r="Y25" s="10" t="s">
        <v>77</v>
      </c>
      <c r="Z25" s="10" t="s">
        <v>77</v>
      </c>
      <c r="AA25" s="10" t="s">
        <v>77</v>
      </c>
      <c r="AB25" s="10"/>
      <c r="AC25" s="10" t="s">
        <v>77</v>
      </c>
      <c r="AD25" s="10" t="s">
        <v>77</v>
      </c>
      <c r="AE25" s="10" t="s">
        <v>77</v>
      </c>
      <c r="AF25" s="10" t="s">
        <v>77</v>
      </c>
      <c r="AG25" s="10" t="s">
        <v>77</v>
      </c>
      <c r="AH25" s="10" t="s">
        <v>77</v>
      </c>
      <c r="AI25" s="10" t="s">
        <v>77</v>
      </c>
      <c r="AJ25" s="10" t="s">
        <v>77</v>
      </c>
      <c r="AK25" s="10" t="s">
        <v>77</v>
      </c>
      <c r="AL25" s="10" t="s">
        <v>77</v>
      </c>
      <c r="AM25" s="10" t="s">
        <v>77</v>
      </c>
      <c r="AN25" s="10" t="s">
        <v>77</v>
      </c>
      <c r="AO25" s="10"/>
      <c r="AP25" s="10" t="s">
        <v>73</v>
      </c>
      <c r="AQ25" s="10" t="s">
        <v>73</v>
      </c>
      <c r="AS25" s="10"/>
      <c r="AT25" s="10"/>
      <c r="AU25" s="10"/>
      <c r="AV25" s="10" t="s">
        <v>78</v>
      </c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R25" s="10" t="s">
        <v>78</v>
      </c>
      <c r="BS25" s="10"/>
      <c r="BT25" s="10"/>
      <c r="BU25" s="10"/>
      <c r="BV25" s="10"/>
      <c r="BW25" s="10"/>
      <c r="BX25" s="10"/>
      <c r="BY25" s="10"/>
      <c r="CA25" s="2" t="str">
        <f aca="false">IF(AS25="x","x",IF(AS25="-","-",""))</f>
        <v/>
      </c>
      <c r="CB25" s="2" t="str">
        <f aca="false">IF(AT25="x","x",IF(AT25="-","-",""))</f>
        <v/>
      </c>
      <c r="CC25" s="2" t="str">
        <f aca="false">IF(AU25="x","x",IF(AU25="-","-",""))</f>
        <v/>
      </c>
      <c r="CD25" s="2" t="str">
        <f aca="false">IF(AV25="x","x",IF(AV25="-","-",""))</f>
        <v>x</v>
      </c>
      <c r="CE25" s="2" t="str">
        <f aca="false">IF(AW25="x","x",IF(AW25="-","-",""))</f>
        <v/>
      </c>
      <c r="CF25" s="2" t="str">
        <f aca="false">IF(AX25="x","x",IF(AX25="-","-",""))</f>
        <v/>
      </c>
      <c r="CG25" s="2" t="str">
        <f aca="false">IF(AY25="x","x",IF(AY25="-","-",""))</f>
        <v/>
      </c>
      <c r="CH25" s="2" t="str">
        <f aca="false">IF(AZ25="x","x",IF(AZ25="-","-",""))</f>
        <v/>
      </c>
      <c r="CI25" s="2" t="str">
        <f aca="false">IF(BA25="x","x",IF(BA25="-","-",""))</f>
        <v/>
      </c>
      <c r="CJ25" s="2" t="str">
        <f aca="false">IF(BB25="x","x",IF(BB25="-","-",""))</f>
        <v/>
      </c>
      <c r="CK25" s="2" t="str">
        <f aca="false">IF(BC25="x","x",IF(BC25="-","-",""))</f>
        <v/>
      </c>
      <c r="CL25" s="2" t="str">
        <f aca="false">IF(BD25="x","x",IF(BD25="-","-",""))</f>
        <v/>
      </c>
      <c r="CM25" s="2" t="str">
        <f aca="false">IF(BE25="x","x",IF(BE25="-","-",""))</f>
        <v/>
      </c>
      <c r="CN25" s="2" t="str">
        <f aca="false">IF(BF25="x","x",IF(BF25="-","-",""))</f>
        <v/>
      </c>
      <c r="CO25" s="2" t="str">
        <f aca="false">IF(BG25="x","x",IF(BG25="-","-",""))</f>
        <v/>
      </c>
      <c r="CP25" s="2" t="str">
        <f aca="false">IF(BH25="x","x",IF(BH25="-","-",""))</f>
        <v/>
      </c>
      <c r="CQ25" s="2" t="str">
        <f aca="false">IF(BI25="x","x",IF(BI25="-","-",""))</f>
        <v/>
      </c>
      <c r="CR25" s="2" t="str">
        <f aca="false">IF(BJ25="x","x",IF(BJ25="-","-",""))</f>
        <v/>
      </c>
      <c r="CS25" s="2" t="str">
        <f aca="false">IF(BK25="x","x",IF(BK25="-","-",""))</f>
        <v/>
      </c>
      <c r="CT25" s="2" t="str">
        <f aca="false">IF(BL25="x","x",IF(BL25="-","-",""))</f>
        <v/>
      </c>
      <c r="CU25" s="2" t="str">
        <f aca="false">IF(BM25="x","x",IF(BM25="-","-",""))</f>
        <v/>
      </c>
      <c r="CV25" s="2" t="str">
        <f aca="false">IF(BN25="x","x",IF(BN25="-","-",""))</f>
        <v/>
      </c>
      <c r="CW25" s="2" t="str">
        <f aca="false">IF(BO25="x","x",IF(BO25="-","-",""))</f>
        <v/>
      </c>
      <c r="CX25" s="2" t="str">
        <f aca="false">IF(BP25="x","x",IF(BP25="-","-",""))</f>
        <v/>
      </c>
      <c r="CZ25" s="2" t="str">
        <f aca="false">IF(P25="x","x",IF(P25="-","-",""))</f>
        <v>-</v>
      </c>
      <c r="DA25" s="2" t="str">
        <f aca="false">IF(Q25="x","x",IF(Q25="-","-",""))</f>
        <v>-</v>
      </c>
      <c r="DB25" s="2" t="str">
        <f aca="false">IF(R25="x","x",IF(R25="-","-",""))</f>
        <v>-</v>
      </c>
      <c r="DC25" s="2" t="str">
        <f aca="false">IF(S25="x","x",IF(S25="-","-",""))</f>
        <v>-</v>
      </c>
      <c r="DD25" s="2" t="str">
        <f aca="false">IF(T25="x","x",IF(T25="-","-",""))</f>
        <v>-</v>
      </c>
      <c r="DE25" s="2" t="str">
        <f aca="false">IF(U25="x","x",IF(U25="-","-",""))</f>
        <v>-</v>
      </c>
      <c r="DF25" s="2" t="str">
        <f aca="false">IF(V25="x","x",IF(V25="-","-",""))</f>
        <v>-</v>
      </c>
      <c r="DG25" s="2" t="str">
        <f aca="false">IF(W25="x","x",IF(W25="-","-",""))</f>
        <v>-</v>
      </c>
      <c r="DH25" s="2" t="str">
        <f aca="false">IF(X25="x","x",IF(X25="-","-",""))</f>
        <v>-</v>
      </c>
      <c r="DI25" s="2" t="str">
        <f aca="false">IF(Y25="x","x",IF(Y25="-","-",""))</f>
        <v>-</v>
      </c>
      <c r="DJ25" s="2" t="str">
        <f aca="false">IF(Z25="x","x",IF(Z25="-","-",""))</f>
        <v>-</v>
      </c>
      <c r="DK25" s="2" t="str">
        <f aca="false">IF(AA25="x","x",IF(AA25="-","-",""))</f>
        <v>-</v>
      </c>
      <c r="DL25" s="10"/>
      <c r="DM25" s="2" t="str">
        <f aca="false">IF(AC25="x","x",IF(AC25="-","-",""))</f>
        <v>-</v>
      </c>
      <c r="DN25" s="2" t="str">
        <f aca="false">IF(AD25="x","x",IF(AD25="-","-",""))</f>
        <v>-</v>
      </c>
      <c r="DO25" s="2" t="str">
        <f aca="false">IF(AE25="x","x",IF(AE25="-","-",""))</f>
        <v>-</v>
      </c>
      <c r="DP25" s="2" t="str">
        <f aca="false">IF(AF25="x","x",IF(AF25="-","-",""))</f>
        <v>-</v>
      </c>
      <c r="DQ25" s="2" t="str">
        <f aca="false">IF(AG25="x","x",IF(AG25="-","-",""))</f>
        <v>-</v>
      </c>
      <c r="DR25" s="2" t="str">
        <f aca="false">IF(AH25="x","x",IF(AH25="-","-",""))</f>
        <v>-</v>
      </c>
      <c r="DS25" s="2" t="str">
        <f aca="false">IF(AI25="x","x",IF(AI25="-","-",""))</f>
        <v>-</v>
      </c>
      <c r="DT25" s="2" t="str">
        <f aca="false">IF(AJ25="x","x",IF(AJ25="-","-",""))</f>
        <v>-</v>
      </c>
      <c r="DU25" s="2" t="str">
        <f aca="false">IF(AK25="x","x",IF(AK25="-","-",""))</f>
        <v>-</v>
      </c>
      <c r="DV25" s="2" t="str">
        <f aca="false">IF(AL25="x","x",IF(AL25="-","-",""))</f>
        <v>-</v>
      </c>
      <c r="DW25" s="2" t="str">
        <f aca="false">IF(AM25="x","x",IF(AM25="-","-",""))</f>
        <v>-</v>
      </c>
      <c r="DX25" s="2" t="str">
        <f aca="false">IF(AN25="x","x",IF(AN25="-","-",""))</f>
        <v>-</v>
      </c>
    </row>
    <row r="26" customFormat="false" ht="13.8" hidden="false" customHeight="false" outlineLevel="0" collapsed="false">
      <c r="A26" s="10" t="s">
        <v>73</v>
      </c>
      <c r="B26" s="2" t="n">
        <v>25</v>
      </c>
      <c r="C26" s="11" t="s">
        <v>103</v>
      </c>
      <c r="D26" s="10" t="s">
        <v>104</v>
      </c>
      <c r="E26" s="10" t="s">
        <v>76</v>
      </c>
      <c r="F26" s="10" t="n">
        <v>25</v>
      </c>
      <c r="G26" s="10" t="s">
        <v>77</v>
      </c>
      <c r="H26" s="10" t="s">
        <v>77</v>
      </c>
      <c r="I26" s="10" t="s">
        <v>77</v>
      </c>
      <c r="J26" s="10" t="s">
        <v>77</v>
      </c>
      <c r="K26" s="10" t="s">
        <v>77</v>
      </c>
      <c r="L26" s="10" t="s">
        <v>77</v>
      </c>
      <c r="M26" s="2" t="n">
        <v>20</v>
      </c>
      <c r="N26" s="10" t="s">
        <v>77</v>
      </c>
      <c r="O26" s="10"/>
      <c r="P26" s="10" t="s">
        <v>77</v>
      </c>
      <c r="Q26" s="10" t="s">
        <v>77</v>
      </c>
      <c r="R26" s="10" t="s">
        <v>77</v>
      </c>
      <c r="S26" s="10" t="s">
        <v>77</v>
      </c>
      <c r="T26" s="10" t="s">
        <v>77</v>
      </c>
      <c r="U26" s="10" t="s">
        <v>77</v>
      </c>
      <c r="V26" s="10" t="s">
        <v>77</v>
      </c>
      <c r="W26" s="10" t="s">
        <v>77</v>
      </c>
      <c r="X26" s="10" t="s">
        <v>77</v>
      </c>
      <c r="Y26" s="10" t="s">
        <v>77</v>
      </c>
      <c r="Z26" s="10" t="s">
        <v>77</v>
      </c>
      <c r="AA26" s="10" t="s">
        <v>77</v>
      </c>
      <c r="AB26" s="10"/>
      <c r="AC26" s="10" t="s">
        <v>77</v>
      </c>
      <c r="AD26" s="10" t="s">
        <v>77</v>
      </c>
      <c r="AE26" s="10" t="s">
        <v>77</v>
      </c>
      <c r="AF26" s="10" t="s">
        <v>77</v>
      </c>
      <c r="AG26" s="10" t="s">
        <v>77</v>
      </c>
      <c r="AH26" s="10" t="s">
        <v>77</v>
      </c>
      <c r="AI26" s="10" t="s">
        <v>77</v>
      </c>
      <c r="AJ26" s="10" t="s">
        <v>77</v>
      </c>
      <c r="AK26" s="10" t="s">
        <v>77</v>
      </c>
      <c r="AL26" s="10" t="s">
        <v>77</v>
      </c>
      <c r="AM26" s="10" t="s">
        <v>77</v>
      </c>
      <c r="AN26" s="10" t="s">
        <v>77</v>
      </c>
      <c r="AO26" s="10"/>
      <c r="AP26" s="10" t="s">
        <v>73</v>
      </c>
      <c r="AQ26" s="10" t="s">
        <v>73</v>
      </c>
      <c r="AS26" s="10"/>
      <c r="AT26" s="10"/>
      <c r="AU26" s="10"/>
      <c r="AV26" s="10"/>
      <c r="AW26" s="10" t="s">
        <v>78</v>
      </c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R26" s="10" t="s">
        <v>78</v>
      </c>
      <c r="BS26" s="10"/>
      <c r="BT26" s="10"/>
      <c r="BU26" s="10"/>
      <c r="BV26" s="10"/>
      <c r="BW26" s="10"/>
      <c r="BX26" s="10"/>
      <c r="BY26" s="10"/>
      <c r="CA26" s="2" t="str">
        <f aca="false">IF(AS26="x","x",IF(AS26="-","-",""))</f>
        <v/>
      </c>
      <c r="CB26" s="2" t="str">
        <f aca="false">IF(AT26="x","x",IF(AT26="-","-",""))</f>
        <v/>
      </c>
      <c r="CC26" s="2" t="str">
        <f aca="false">IF(AU26="x","x",IF(AU26="-","-",""))</f>
        <v/>
      </c>
      <c r="CD26" s="2" t="str">
        <f aca="false">IF(AV26="x","x",IF(AV26="-","-",""))</f>
        <v/>
      </c>
      <c r="CE26" s="2" t="str">
        <f aca="false">IF(AW26="x","x",IF(AW26="-","-",""))</f>
        <v>x</v>
      </c>
      <c r="CF26" s="2" t="str">
        <f aca="false">IF(AX26="x","x",IF(AX26="-","-",""))</f>
        <v/>
      </c>
      <c r="CG26" s="2" t="str">
        <f aca="false">IF(AY26="x","x",IF(AY26="-","-",""))</f>
        <v/>
      </c>
      <c r="CH26" s="2" t="str">
        <f aca="false">IF(AZ26="x","x",IF(AZ26="-","-",""))</f>
        <v/>
      </c>
      <c r="CI26" s="2" t="str">
        <f aca="false">IF(BA26="x","x",IF(BA26="-","-",""))</f>
        <v/>
      </c>
      <c r="CJ26" s="2" t="str">
        <f aca="false">IF(BB26="x","x",IF(BB26="-","-",""))</f>
        <v/>
      </c>
      <c r="CK26" s="2" t="str">
        <f aca="false">IF(BC26="x","x",IF(BC26="-","-",""))</f>
        <v/>
      </c>
      <c r="CL26" s="2" t="str">
        <f aca="false">IF(BD26="x","x",IF(BD26="-","-",""))</f>
        <v/>
      </c>
      <c r="CM26" s="2" t="str">
        <f aca="false">IF(BE26="x","x",IF(BE26="-","-",""))</f>
        <v/>
      </c>
      <c r="CN26" s="2" t="str">
        <f aca="false">IF(BF26="x","x",IF(BF26="-","-",""))</f>
        <v/>
      </c>
      <c r="CO26" s="2" t="str">
        <f aca="false">IF(BG26="x","x",IF(BG26="-","-",""))</f>
        <v/>
      </c>
      <c r="CP26" s="2" t="str">
        <f aca="false">IF(BH26="x","x",IF(BH26="-","-",""))</f>
        <v/>
      </c>
      <c r="CQ26" s="2" t="str">
        <f aca="false">IF(BI26="x","x",IF(BI26="-","-",""))</f>
        <v/>
      </c>
      <c r="CR26" s="2" t="str">
        <f aca="false">IF(BJ26="x","x",IF(BJ26="-","-",""))</f>
        <v/>
      </c>
      <c r="CS26" s="2" t="str">
        <f aca="false">IF(BK26="x","x",IF(BK26="-","-",""))</f>
        <v/>
      </c>
      <c r="CT26" s="2" t="str">
        <f aca="false">IF(BL26="x","x",IF(BL26="-","-",""))</f>
        <v/>
      </c>
      <c r="CU26" s="2" t="str">
        <f aca="false">IF(BM26="x","x",IF(BM26="-","-",""))</f>
        <v/>
      </c>
      <c r="CV26" s="2" t="str">
        <f aca="false">IF(BN26="x","x",IF(BN26="-","-",""))</f>
        <v/>
      </c>
      <c r="CW26" s="2" t="str">
        <f aca="false">IF(BO26="x","x",IF(BO26="-","-",""))</f>
        <v/>
      </c>
      <c r="CX26" s="2" t="str">
        <f aca="false">IF(BP26="x","x",IF(BP26="-","-",""))</f>
        <v/>
      </c>
      <c r="CZ26" s="2" t="str">
        <f aca="false">IF(P26="x","x",IF(P26="-","-",""))</f>
        <v>-</v>
      </c>
      <c r="DA26" s="2" t="str">
        <f aca="false">IF(Q26="x","x",IF(Q26="-","-",""))</f>
        <v>-</v>
      </c>
      <c r="DB26" s="2" t="str">
        <f aca="false">IF(R26="x","x",IF(R26="-","-",""))</f>
        <v>-</v>
      </c>
      <c r="DC26" s="2" t="str">
        <f aca="false">IF(S26="x","x",IF(S26="-","-",""))</f>
        <v>-</v>
      </c>
      <c r="DD26" s="2" t="str">
        <f aca="false">IF(T26="x","x",IF(T26="-","-",""))</f>
        <v>-</v>
      </c>
      <c r="DE26" s="2" t="str">
        <f aca="false">IF(U26="x","x",IF(U26="-","-",""))</f>
        <v>-</v>
      </c>
      <c r="DF26" s="2" t="str">
        <f aca="false">IF(V26="x","x",IF(V26="-","-",""))</f>
        <v>-</v>
      </c>
      <c r="DG26" s="2" t="str">
        <f aca="false">IF(W26="x","x",IF(W26="-","-",""))</f>
        <v>-</v>
      </c>
      <c r="DH26" s="2" t="str">
        <f aca="false">IF(X26="x","x",IF(X26="-","-",""))</f>
        <v>-</v>
      </c>
      <c r="DI26" s="2" t="str">
        <f aca="false">IF(Y26="x","x",IF(Y26="-","-",""))</f>
        <v>-</v>
      </c>
      <c r="DJ26" s="2" t="str">
        <f aca="false">IF(Z26="x","x",IF(Z26="-","-",""))</f>
        <v>-</v>
      </c>
      <c r="DK26" s="2" t="str">
        <f aca="false">IF(AA26="x","x",IF(AA26="-","-",""))</f>
        <v>-</v>
      </c>
      <c r="DL26" s="10"/>
      <c r="DM26" s="2" t="str">
        <f aca="false">IF(AC26="x","x",IF(AC26="-","-",""))</f>
        <v>-</v>
      </c>
      <c r="DN26" s="2" t="str">
        <f aca="false">IF(AD26="x","x",IF(AD26="-","-",""))</f>
        <v>-</v>
      </c>
      <c r="DO26" s="2" t="str">
        <f aca="false">IF(AE26="x","x",IF(AE26="-","-",""))</f>
        <v>-</v>
      </c>
      <c r="DP26" s="2" t="str">
        <f aca="false">IF(AF26="x","x",IF(AF26="-","-",""))</f>
        <v>-</v>
      </c>
      <c r="DQ26" s="2" t="str">
        <f aca="false">IF(AG26="x","x",IF(AG26="-","-",""))</f>
        <v>-</v>
      </c>
      <c r="DR26" s="2" t="str">
        <f aca="false">IF(AH26="x","x",IF(AH26="-","-",""))</f>
        <v>-</v>
      </c>
      <c r="DS26" s="2" t="str">
        <f aca="false">IF(AI26="x","x",IF(AI26="-","-",""))</f>
        <v>-</v>
      </c>
      <c r="DT26" s="2" t="str">
        <f aca="false">IF(AJ26="x","x",IF(AJ26="-","-",""))</f>
        <v>-</v>
      </c>
      <c r="DU26" s="2" t="str">
        <f aca="false">IF(AK26="x","x",IF(AK26="-","-",""))</f>
        <v>-</v>
      </c>
      <c r="DV26" s="2" t="str">
        <f aca="false">IF(AL26="x","x",IF(AL26="-","-",""))</f>
        <v>-</v>
      </c>
      <c r="DW26" s="2" t="str">
        <f aca="false">IF(AM26="x","x",IF(AM26="-","-",""))</f>
        <v>-</v>
      </c>
      <c r="DX26" s="2" t="str">
        <f aca="false">IF(AN26="x","x",IF(AN26="-","-",""))</f>
        <v>-</v>
      </c>
    </row>
    <row r="27" customFormat="false" ht="13.8" hidden="false" customHeight="false" outlineLevel="0" collapsed="false">
      <c r="A27" s="10" t="s">
        <v>73</v>
      </c>
      <c r="B27" s="2" t="n">
        <v>26</v>
      </c>
      <c r="C27" s="11" t="s">
        <v>105</v>
      </c>
      <c r="D27" s="10" t="s">
        <v>104</v>
      </c>
      <c r="E27" s="10" t="s">
        <v>76</v>
      </c>
      <c r="F27" s="10" t="n">
        <v>26</v>
      </c>
      <c r="G27" s="10" t="s">
        <v>77</v>
      </c>
      <c r="H27" s="10" t="s">
        <v>77</v>
      </c>
      <c r="I27" s="10" t="s">
        <v>77</v>
      </c>
      <c r="J27" s="10" t="s">
        <v>77</v>
      </c>
      <c r="K27" s="10" t="s">
        <v>77</v>
      </c>
      <c r="L27" s="10" t="s">
        <v>77</v>
      </c>
      <c r="M27" s="2" t="n">
        <v>20</v>
      </c>
      <c r="N27" s="10" t="s">
        <v>77</v>
      </c>
      <c r="O27" s="10"/>
      <c r="P27" s="10" t="s">
        <v>77</v>
      </c>
      <c r="Q27" s="10" t="s">
        <v>77</v>
      </c>
      <c r="R27" s="10" t="s">
        <v>77</v>
      </c>
      <c r="S27" s="10" t="s">
        <v>77</v>
      </c>
      <c r="T27" s="10" t="s">
        <v>77</v>
      </c>
      <c r="U27" s="10" t="s">
        <v>77</v>
      </c>
      <c r="V27" s="10" t="s">
        <v>77</v>
      </c>
      <c r="W27" s="10" t="s">
        <v>77</v>
      </c>
      <c r="X27" s="10" t="s">
        <v>77</v>
      </c>
      <c r="Y27" s="10" t="s">
        <v>77</v>
      </c>
      <c r="Z27" s="10" t="s">
        <v>77</v>
      </c>
      <c r="AA27" s="10" t="s">
        <v>77</v>
      </c>
      <c r="AB27" s="10"/>
      <c r="AC27" s="10" t="s">
        <v>77</v>
      </c>
      <c r="AD27" s="10" t="s">
        <v>77</v>
      </c>
      <c r="AE27" s="10" t="s">
        <v>77</v>
      </c>
      <c r="AF27" s="10" t="s">
        <v>77</v>
      </c>
      <c r="AG27" s="10" t="s">
        <v>77</v>
      </c>
      <c r="AH27" s="10" t="s">
        <v>77</v>
      </c>
      <c r="AI27" s="10" t="s">
        <v>77</v>
      </c>
      <c r="AJ27" s="10" t="s">
        <v>77</v>
      </c>
      <c r="AK27" s="10" t="s">
        <v>77</v>
      </c>
      <c r="AL27" s="10" t="s">
        <v>77</v>
      </c>
      <c r="AM27" s="10" t="s">
        <v>77</v>
      </c>
      <c r="AN27" s="10" t="s">
        <v>77</v>
      </c>
      <c r="AO27" s="10"/>
      <c r="AP27" s="10" t="s">
        <v>73</v>
      </c>
      <c r="AQ27" s="10" t="s">
        <v>73</v>
      </c>
      <c r="AS27" s="10"/>
      <c r="AT27" s="10"/>
      <c r="AU27" s="10"/>
      <c r="AV27" s="10"/>
      <c r="AW27" s="10" t="s">
        <v>78</v>
      </c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R27" s="10" t="s">
        <v>78</v>
      </c>
      <c r="BS27" s="10"/>
      <c r="BT27" s="10"/>
      <c r="BU27" s="10"/>
      <c r="BV27" s="10"/>
      <c r="BW27" s="10"/>
      <c r="BX27" s="10"/>
      <c r="BY27" s="10"/>
      <c r="CA27" s="2" t="str">
        <f aca="false">IF(AS27="x","x",IF(AS27="-","-",""))</f>
        <v/>
      </c>
      <c r="CB27" s="2" t="str">
        <f aca="false">IF(AT27="x","x",IF(AT27="-","-",""))</f>
        <v/>
      </c>
      <c r="CC27" s="2" t="str">
        <f aca="false">IF(AU27="x","x",IF(AU27="-","-",""))</f>
        <v/>
      </c>
      <c r="CD27" s="2" t="str">
        <f aca="false">IF(AV27="x","x",IF(AV27="-","-",""))</f>
        <v/>
      </c>
      <c r="CE27" s="2" t="str">
        <f aca="false">IF(AW27="x","x",IF(AW27="-","-",""))</f>
        <v>x</v>
      </c>
      <c r="CF27" s="2" t="str">
        <f aca="false">IF(AX27="x","x",IF(AX27="-","-",""))</f>
        <v/>
      </c>
      <c r="CG27" s="2" t="str">
        <f aca="false">IF(AY27="x","x",IF(AY27="-","-",""))</f>
        <v/>
      </c>
      <c r="CH27" s="2" t="str">
        <f aca="false">IF(AZ27="x","x",IF(AZ27="-","-",""))</f>
        <v/>
      </c>
      <c r="CI27" s="2" t="str">
        <f aca="false">IF(BA27="x","x",IF(BA27="-","-",""))</f>
        <v/>
      </c>
      <c r="CJ27" s="2" t="str">
        <f aca="false">IF(BB27="x","x",IF(BB27="-","-",""))</f>
        <v/>
      </c>
      <c r="CK27" s="2" t="str">
        <f aca="false">IF(BC27="x","x",IF(BC27="-","-",""))</f>
        <v/>
      </c>
      <c r="CL27" s="2" t="str">
        <f aca="false">IF(BD27="x","x",IF(BD27="-","-",""))</f>
        <v/>
      </c>
      <c r="CM27" s="2" t="str">
        <f aca="false">IF(BE27="x","x",IF(BE27="-","-",""))</f>
        <v/>
      </c>
      <c r="CN27" s="2" t="str">
        <f aca="false">IF(BF27="x","x",IF(BF27="-","-",""))</f>
        <v/>
      </c>
      <c r="CO27" s="2" t="str">
        <f aca="false">IF(BG27="x","x",IF(BG27="-","-",""))</f>
        <v/>
      </c>
      <c r="CP27" s="2" t="str">
        <f aca="false">IF(BH27="x","x",IF(BH27="-","-",""))</f>
        <v/>
      </c>
      <c r="CQ27" s="2" t="str">
        <f aca="false">IF(BI27="x","x",IF(BI27="-","-",""))</f>
        <v/>
      </c>
      <c r="CR27" s="2" t="str">
        <f aca="false">IF(BJ27="x","x",IF(BJ27="-","-",""))</f>
        <v/>
      </c>
      <c r="CS27" s="2" t="str">
        <f aca="false">IF(BK27="x","x",IF(BK27="-","-",""))</f>
        <v/>
      </c>
      <c r="CT27" s="2" t="str">
        <f aca="false">IF(BL27="x","x",IF(BL27="-","-",""))</f>
        <v/>
      </c>
      <c r="CU27" s="2" t="str">
        <f aca="false">IF(BM27="x","x",IF(BM27="-","-",""))</f>
        <v/>
      </c>
      <c r="CV27" s="2" t="str">
        <f aca="false">IF(BN27="x","x",IF(BN27="-","-",""))</f>
        <v/>
      </c>
      <c r="CW27" s="2" t="str">
        <f aca="false">IF(BO27="x","x",IF(BO27="-","-",""))</f>
        <v/>
      </c>
      <c r="CX27" s="2" t="str">
        <f aca="false">IF(BP27="x","x",IF(BP27="-","-",""))</f>
        <v/>
      </c>
      <c r="CZ27" s="2" t="str">
        <f aca="false">IF(P27="x","x",IF(P27="-","-",""))</f>
        <v>-</v>
      </c>
      <c r="DA27" s="2" t="str">
        <f aca="false">IF(Q27="x","x",IF(Q27="-","-",""))</f>
        <v>-</v>
      </c>
      <c r="DB27" s="2" t="str">
        <f aca="false">IF(R27="x","x",IF(R27="-","-",""))</f>
        <v>-</v>
      </c>
      <c r="DC27" s="2" t="str">
        <f aca="false">IF(S27="x","x",IF(S27="-","-",""))</f>
        <v>-</v>
      </c>
      <c r="DD27" s="2" t="str">
        <f aca="false">IF(T27="x","x",IF(T27="-","-",""))</f>
        <v>-</v>
      </c>
      <c r="DE27" s="2" t="str">
        <f aca="false">IF(U27="x","x",IF(U27="-","-",""))</f>
        <v>-</v>
      </c>
      <c r="DF27" s="2" t="str">
        <f aca="false">IF(V27="x","x",IF(V27="-","-",""))</f>
        <v>-</v>
      </c>
      <c r="DG27" s="2" t="str">
        <f aca="false">IF(W27="x","x",IF(W27="-","-",""))</f>
        <v>-</v>
      </c>
      <c r="DH27" s="2" t="str">
        <f aca="false">IF(X27="x","x",IF(X27="-","-",""))</f>
        <v>-</v>
      </c>
      <c r="DI27" s="2" t="str">
        <f aca="false">IF(Y27="x","x",IF(Y27="-","-",""))</f>
        <v>-</v>
      </c>
      <c r="DJ27" s="2" t="str">
        <f aca="false">IF(Z27="x","x",IF(Z27="-","-",""))</f>
        <v>-</v>
      </c>
      <c r="DK27" s="2" t="str">
        <f aca="false">IF(AA27="x","x",IF(AA27="-","-",""))</f>
        <v>-</v>
      </c>
      <c r="DL27" s="10"/>
      <c r="DM27" s="2" t="str">
        <f aca="false">IF(AC27="x","x",IF(AC27="-","-",""))</f>
        <v>-</v>
      </c>
      <c r="DN27" s="2" t="str">
        <f aca="false">IF(AD27="x","x",IF(AD27="-","-",""))</f>
        <v>-</v>
      </c>
      <c r="DO27" s="2" t="str">
        <f aca="false">IF(AE27="x","x",IF(AE27="-","-",""))</f>
        <v>-</v>
      </c>
      <c r="DP27" s="2" t="str">
        <f aca="false">IF(AF27="x","x",IF(AF27="-","-",""))</f>
        <v>-</v>
      </c>
      <c r="DQ27" s="2" t="str">
        <f aca="false">IF(AG27="x","x",IF(AG27="-","-",""))</f>
        <v>-</v>
      </c>
      <c r="DR27" s="2" t="str">
        <f aca="false">IF(AH27="x","x",IF(AH27="-","-",""))</f>
        <v>-</v>
      </c>
      <c r="DS27" s="2" t="str">
        <f aca="false">IF(AI27="x","x",IF(AI27="-","-",""))</f>
        <v>-</v>
      </c>
      <c r="DT27" s="2" t="str">
        <f aca="false">IF(AJ27="x","x",IF(AJ27="-","-",""))</f>
        <v>-</v>
      </c>
      <c r="DU27" s="2" t="str">
        <f aca="false">IF(AK27="x","x",IF(AK27="-","-",""))</f>
        <v>-</v>
      </c>
      <c r="DV27" s="2" t="str">
        <f aca="false">IF(AL27="x","x",IF(AL27="-","-",""))</f>
        <v>-</v>
      </c>
      <c r="DW27" s="2" t="str">
        <f aca="false">IF(AM27="x","x",IF(AM27="-","-",""))</f>
        <v>-</v>
      </c>
      <c r="DX27" s="2" t="str">
        <f aca="false">IF(AN27="x","x",IF(AN27="-","-",""))</f>
        <v>-</v>
      </c>
    </row>
    <row r="28" customFormat="false" ht="13.8" hidden="false" customHeight="false" outlineLevel="0" collapsed="false">
      <c r="A28" s="10" t="s">
        <v>73</v>
      </c>
      <c r="B28" s="2" t="n">
        <v>27</v>
      </c>
      <c r="C28" s="11" t="s">
        <v>106</v>
      </c>
      <c r="D28" s="10" t="s">
        <v>104</v>
      </c>
      <c r="E28" s="10" t="s">
        <v>76</v>
      </c>
      <c r="F28" s="10" t="n">
        <v>27</v>
      </c>
      <c r="G28" s="3"/>
      <c r="H28" s="3"/>
      <c r="I28" s="3"/>
      <c r="J28" s="10" t="s">
        <v>77</v>
      </c>
      <c r="K28" s="10" t="s">
        <v>77</v>
      </c>
      <c r="L28" s="10" t="s">
        <v>77</v>
      </c>
      <c r="M28" s="2" t="n">
        <v>20</v>
      </c>
      <c r="N28" s="10" t="s">
        <v>77</v>
      </c>
      <c r="O28" s="10"/>
      <c r="P28" s="10" t="s">
        <v>77</v>
      </c>
      <c r="Q28" s="10" t="s">
        <v>77</v>
      </c>
      <c r="R28" s="10" t="s">
        <v>77</v>
      </c>
      <c r="S28" s="10" t="s">
        <v>77</v>
      </c>
      <c r="T28" s="10" t="s">
        <v>77</v>
      </c>
      <c r="U28" s="10" t="s">
        <v>77</v>
      </c>
      <c r="V28" s="10" t="s">
        <v>77</v>
      </c>
      <c r="W28" s="10" t="s">
        <v>77</v>
      </c>
      <c r="X28" s="10" t="s">
        <v>77</v>
      </c>
      <c r="Y28" s="10" t="s">
        <v>77</v>
      </c>
      <c r="Z28" s="10" t="s">
        <v>77</v>
      </c>
      <c r="AA28" s="10" t="s">
        <v>77</v>
      </c>
      <c r="AB28" s="10"/>
      <c r="AC28" s="10" t="s">
        <v>77</v>
      </c>
      <c r="AD28" s="10" t="s">
        <v>77</v>
      </c>
      <c r="AE28" s="10" t="s">
        <v>77</v>
      </c>
      <c r="AF28" s="10" t="s">
        <v>77</v>
      </c>
      <c r="AG28" s="10" t="s">
        <v>77</v>
      </c>
      <c r="AH28" s="10" t="s">
        <v>77</v>
      </c>
      <c r="AI28" s="10" t="s">
        <v>77</v>
      </c>
      <c r="AJ28" s="10" t="s">
        <v>77</v>
      </c>
      <c r="AK28" s="10" t="s">
        <v>77</v>
      </c>
      <c r="AL28" s="10" t="s">
        <v>77</v>
      </c>
      <c r="AM28" s="10" t="s">
        <v>77</v>
      </c>
      <c r="AN28" s="10" t="s">
        <v>77</v>
      </c>
      <c r="AO28" s="10"/>
      <c r="AP28" s="10" t="s">
        <v>73</v>
      </c>
      <c r="AQ28" s="10" t="s">
        <v>73</v>
      </c>
      <c r="AS28" s="10"/>
      <c r="AT28" s="10"/>
      <c r="AU28" s="10"/>
      <c r="AV28" s="10"/>
      <c r="AW28" s="10" t="s">
        <v>78</v>
      </c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R28" s="10" t="s">
        <v>78</v>
      </c>
      <c r="BS28" s="10"/>
      <c r="BT28" s="10"/>
      <c r="BU28" s="10"/>
      <c r="BV28" s="10"/>
      <c r="BW28" s="10"/>
      <c r="BX28" s="10"/>
      <c r="BY28" s="10"/>
      <c r="CA28" s="2" t="str">
        <f aca="false">IF(AS28="x","x",IF(AS28="-","-",""))</f>
        <v/>
      </c>
      <c r="CB28" s="2" t="str">
        <f aca="false">IF(AT28="x","x",IF(AT28="-","-",""))</f>
        <v/>
      </c>
      <c r="CC28" s="2" t="str">
        <f aca="false">IF(AU28="x","x",IF(AU28="-","-",""))</f>
        <v/>
      </c>
      <c r="CD28" s="2" t="str">
        <f aca="false">IF(AV28="x","x",IF(AV28="-","-",""))</f>
        <v/>
      </c>
      <c r="CE28" s="2" t="str">
        <f aca="false">IF(AW28="x","x",IF(AW28="-","-",""))</f>
        <v>x</v>
      </c>
      <c r="CF28" s="2" t="str">
        <f aca="false">IF(AX28="x","x",IF(AX28="-","-",""))</f>
        <v/>
      </c>
      <c r="CG28" s="2" t="str">
        <f aca="false">IF(AY28="x","x",IF(AY28="-","-",""))</f>
        <v/>
      </c>
      <c r="CH28" s="2" t="str">
        <f aca="false">IF(AZ28="x","x",IF(AZ28="-","-",""))</f>
        <v/>
      </c>
      <c r="CI28" s="2" t="str">
        <f aca="false">IF(BA28="x","x",IF(BA28="-","-",""))</f>
        <v/>
      </c>
      <c r="CJ28" s="2" t="str">
        <f aca="false">IF(BB28="x","x",IF(BB28="-","-",""))</f>
        <v/>
      </c>
      <c r="CK28" s="2" t="str">
        <f aca="false">IF(BC28="x","x",IF(BC28="-","-",""))</f>
        <v/>
      </c>
      <c r="CL28" s="2" t="str">
        <f aca="false">IF(BD28="x","x",IF(BD28="-","-",""))</f>
        <v/>
      </c>
      <c r="CM28" s="2" t="str">
        <f aca="false">IF(BE28="x","x",IF(BE28="-","-",""))</f>
        <v/>
      </c>
      <c r="CN28" s="2" t="str">
        <f aca="false">IF(BF28="x","x",IF(BF28="-","-",""))</f>
        <v/>
      </c>
      <c r="CO28" s="2" t="str">
        <f aca="false">IF(BG28="x","x",IF(BG28="-","-",""))</f>
        <v/>
      </c>
      <c r="CP28" s="2" t="str">
        <f aca="false">IF(BH28="x","x",IF(BH28="-","-",""))</f>
        <v/>
      </c>
      <c r="CQ28" s="2" t="str">
        <f aca="false">IF(BI28="x","x",IF(BI28="-","-",""))</f>
        <v/>
      </c>
      <c r="CR28" s="2" t="str">
        <f aca="false">IF(BJ28="x","x",IF(BJ28="-","-",""))</f>
        <v/>
      </c>
      <c r="CS28" s="2" t="str">
        <f aca="false">IF(BK28="x","x",IF(BK28="-","-",""))</f>
        <v/>
      </c>
      <c r="CT28" s="2" t="str">
        <f aca="false">IF(BL28="x","x",IF(BL28="-","-",""))</f>
        <v/>
      </c>
      <c r="CU28" s="2" t="str">
        <f aca="false">IF(BM28="x","x",IF(BM28="-","-",""))</f>
        <v/>
      </c>
      <c r="CV28" s="2" t="str">
        <f aca="false">IF(BN28="x","x",IF(BN28="-","-",""))</f>
        <v/>
      </c>
      <c r="CW28" s="2" t="str">
        <f aca="false">IF(BO28="x","x",IF(BO28="-","-",""))</f>
        <v/>
      </c>
      <c r="CX28" s="2" t="str">
        <f aca="false">IF(BP28="x","x",IF(BP28="-","-",""))</f>
        <v/>
      </c>
      <c r="CZ28" s="2" t="str">
        <f aca="false">IF(P28="x","x",IF(P28="-","-",""))</f>
        <v>-</v>
      </c>
      <c r="DA28" s="2" t="str">
        <f aca="false">IF(Q28="x","x",IF(Q28="-","-",""))</f>
        <v>-</v>
      </c>
      <c r="DB28" s="2" t="str">
        <f aca="false">IF(R28="x","x",IF(R28="-","-",""))</f>
        <v>-</v>
      </c>
      <c r="DC28" s="2" t="str">
        <f aca="false">IF(S28="x","x",IF(S28="-","-",""))</f>
        <v>-</v>
      </c>
      <c r="DD28" s="2" t="str">
        <f aca="false">IF(T28="x","x",IF(T28="-","-",""))</f>
        <v>-</v>
      </c>
      <c r="DE28" s="2" t="str">
        <f aca="false">IF(U28="x","x",IF(U28="-","-",""))</f>
        <v>-</v>
      </c>
      <c r="DF28" s="2" t="str">
        <f aca="false">IF(V28="x","x",IF(V28="-","-",""))</f>
        <v>-</v>
      </c>
      <c r="DG28" s="2" t="str">
        <f aca="false">IF(W28="x","x",IF(W28="-","-",""))</f>
        <v>-</v>
      </c>
      <c r="DH28" s="2" t="str">
        <f aca="false">IF(X28="x","x",IF(X28="-","-",""))</f>
        <v>-</v>
      </c>
      <c r="DI28" s="2" t="str">
        <f aca="false">IF(Y28="x","x",IF(Y28="-","-",""))</f>
        <v>-</v>
      </c>
      <c r="DJ28" s="2" t="str">
        <f aca="false">IF(Z28="x","x",IF(Z28="-","-",""))</f>
        <v>-</v>
      </c>
      <c r="DK28" s="2" t="str">
        <f aca="false">IF(AA28="x","x",IF(AA28="-","-",""))</f>
        <v>-</v>
      </c>
      <c r="DL28" s="10"/>
      <c r="DM28" s="2" t="str">
        <f aca="false">IF(AC28="x","x",IF(AC28="-","-",""))</f>
        <v>-</v>
      </c>
      <c r="DN28" s="2" t="str">
        <f aca="false">IF(AD28="x","x",IF(AD28="-","-",""))</f>
        <v>-</v>
      </c>
      <c r="DO28" s="2" t="str">
        <f aca="false">IF(AE28="x","x",IF(AE28="-","-",""))</f>
        <v>-</v>
      </c>
      <c r="DP28" s="2" t="str">
        <f aca="false">IF(AF28="x","x",IF(AF28="-","-",""))</f>
        <v>-</v>
      </c>
      <c r="DQ28" s="2" t="str">
        <f aca="false">IF(AG28="x","x",IF(AG28="-","-",""))</f>
        <v>-</v>
      </c>
      <c r="DR28" s="2" t="str">
        <f aca="false">IF(AH28="x","x",IF(AH28="-","-",""))</f>
        <v>-</v>
      </c>
      <c r="DS28" s="2" t="str">
        <f aca="false">IF(AI28="x","x",IF(AI28="-","-",""))</f>
        <v>-</v>
      </c>
      <c r="DT28" s="2" t="str">
        <f aca="false">IF(AJ28="x","x",IF(AJ28="-","-",""))</f>
        <v>-</v>
      </c>
      <c r="DU28" s="2" t="str">
        <f aca="false">IF(AK28="x","x",IF(AK28="-","-",""))</f>
        <v>-</v>
      </c>
      <c r="DV28" s="2" t="str">
        <f aca="false">IF(AL28="x","x",IF(AL28="-","-",""))</f>
        <v>-</v>
      </c>
      <c r="DW28" s="2" t="str">
        <f aca="false">IF(AM28="x","x",IF(AM28="-","-",""))</f>
        <v>-</v>
      </c>
      <c r="DX28" s="2" t="str">
        <f aca="false">IF(AN28="x","x",IF(AN28="-","-",""))</f>
        <v>-</v>
      </c>
    </row>
    <row r="29" customFormat="false" ht="13.8" hidden="false" customHeight="false" outlineLevel="0" collapsed="false">
      <c r="A29" s="10" t="s">
        <v>73</v>
      </c>
      <c r="B29" s="2" t="n">
        <v>28</v>
      </c>
      <c r="C29" s="11" t="s">
        <v>107</v>
      </c>
      <c r="D29" s="10" t="s">
        <v>104</v>
      </c>
      <c r="E29" s="10" t="s">
        <v>76</v>
      </c>
      <c r="F29" s="10" t="n">
        <v>28</v>
      </c>
      <c r="G29" s="10" t="s">
        <v>77</v>
      </c>
      <c r="H29" s="10" t="s">
        <v>77</v>
      </c>
      <c r="I29" s="10" t="s">
        <v>77</v>
      </c>
      <c r="J29" s="10" t="s">
        <v>77</v>
      </c>
      <c r="K29" s="10" t="s">
        <v>77</v>
      </c>
      <c r="L29" s="10" t="s">
        <v>77</v>
      </c>
      <c r="M29" s="2" t="n">
        <v>20</v>
      </c>
      <c r="N29" s="10" t="s">
        <v>77</v>
      </c>
      <c r="O29" s="10"/>
      <c r="P29" s="10" t="s">
        <v>77</v>
      </c>
      <c r="Q29" s="10" t="s">
        <v>77</v>
      </c>
      <c r="R29" s="10" t="s">
        <v>77</v>
      </c>
      <c r="S29" s="10" t="s">
        <v>77</v>
      </c>
      <c r="T29" s="10" t="s">
        <v>77</v>
      </c>
      <c r="U29" s="10" t="s">
        <v>77</v>
      </c>
      <c r="V29" s="10" t="s">
        <v>77</v>
      </c>
      <c r="W29" s="10" t="s">
        <v>77</v>
      </c>
      <c r="X29" s="10" t="s">
        <v>77</v>
      </c>
      <c r="Y29" s="10" t="s">
        <v>77</v>
      </c>
      <c r="Z29" s="10" t="s">
        <v>77</v>
      </c>
      <c r="AA29" s="10" t="s">
        <v>77</v>
      </c>
      <c r="AB29" s="10"/>
      <c r="AC29" s="10" t="s">
        <v>77</v>
      </c>
      <c r="AD29" s="10" t="s">
        <v>77</v>
      </c>
      <c r="AE29" s="10" t="s">
        <v>77</v>
      </c>
      <c r="AF29" s="10" t="s">
        <v>77</v>
      </c>
      <c r="AG29" s="10" t="s">
        <v>77</v>
      </c>
      <c r="AH29" s="10" t="s">
        <v>77</v>
      </c>
      <c r="AI29" s="10" t="s">
        <v>77</v>
      </c>
      <c r="AJ29" s="10" t="s">
        <v>77</v>
      </c>
      <c r="AK29" s="10" t="s">
        <v>77</v>
      </c>
      <c r="AL29" s="10" t="s">
        <v>77</v>
      </c>
      <c r="AM29" s="10" t="s">
        <v>77</v>
      </c>
      <c r="AN29" s="10" t="s">
        <v>77</v>
      </c>
      <c r="AO29" s="10"/>
      <c r="AP29" s="10" t="s">
        <v>73</v>
      </c>
      <c r="AQ29" s="10" t="s">
        <v>73</v>
      </c>
      <c r="AS29" s="10"/>
      <c r="AT29" s="10"/>
      <c r="AU29" s="10"/>
      <c r="AV29" s="10"/>
      <c r="AW29" s="10" t="s">
        <v>78</v>
      </c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R29" s="10" t="s">
        <v>78</v>
      </c>
      <c r="BS29" s="10"/>
      <c r="BT29" s="10"/>
      <c r="BU29" s="10"/>
      <c r="BV29" s="10"/>
      <c r="BW29" s="10"/>
      <c r="BX29" s="10"/>
      <c r="BY29" s="10"/>
      <c r="CA29" s="2" t="str">
        <f aca="false">IF(AS29="x","x",IF(AS29="-","-",""))</f>
        <v/>
      </c>
      <c r="CB29" s="2" t="str">
        <f aca="false">IF(AT29="x","x",IF(AT29="-","-",""))</f>
        <v/>
      </c>
      <c r="CC29" s="2" t="str">
        <f aca="false">IF(AU29="x","x",IF(AU29="-","-",""))</f>
        <v/>
      </c>
      <c r="CD29" s="2" t="str">
        <f aca="false">IF(AV29="x","x",IF(AV29="-","-",""))</f>
        <v/>
      </c>
      <c r="CE29" s="2" t="str">
        <f aca="false">IF(AW29="x","x",IF(AW29="-","-",""))</f>
        <v>x</v>
      </c>
      <c r="CF29" s="2" t="str">
        <f aca="false">IF(AX29="x","x",IF(AX29="-","-",""))</f>
        <v/>
      </c>
      <c r="CG29" s="2" t="str">
        <f aca="false">IF(AY29="x","x",IF(AY29="-","-",""))</f>
        <v/>
      </c>
      <c r="CH29" s="2" t="str">
        <f aca="false">IF(AZ29="x","x",IF(AZ29="-","-",""))</f>
        <v/>
      </c>
      <c r="CI29" s="2" t="str">
        <f aca="false">IF(BA29="x","x",IF(BA29="-","-",""))</f>
        <v/>
      </c>
      <c r="CJ29" s="2" t="str">
        <f aca="false">IF(BB29="x","x",IF(BB29="-","-",""))</f>
        <v/>
      </c>
      <c r="CK29" s="2" t="str">
        <f aca="false">IF(BC29="x","x",IF(BC29="-","-",""))</f>
        <v/>
      </c>
      <c r="CL29" s="2" t="str">
        <f aca="false">IF(BD29="x","x",IF(BD29="-","-",""))</f>
        <v/>
      </c>
      <c r="CM29" s="2" t="str">
        <f aca="false">IF(BE29="x","x",IF(BE29="-","-",""))</f>
        <v/>
      </c>
      <c r="CN29" s="2" t="str">
        <f aca="false">IF(BF29="x","x",IF(BF29="-","-",""))</f>
        <v/>
      </c>
      <c r="CO29" s="2" t="str">
        <f aca="false">IF(BG29="x","x",IF(BG29="-","-",""))</f>
        <v/>
      </c>
      <c r="CP29" s="2" t="str">
        <f aca="false">IF(BH29="x","x",IF(BH29="-","-",""))</f>
        <v/>
      </c>
      <c r="CQ29" s="2" t="str">
        <f aca="false">IF(BI29="x","x",IF(BI29="-","-",""))</f>
        <v/>
      </c>
      <c r="CR29" s="2" t="str">
        <f aca="false">IF(BJ29="x","x",IF(BJ29="-","-",""))</f>
        <v/>
      </c>
      <c r="CS29" s="2" t="str">
        <f aca="false">IF(BK29="x","x",IF(BK29="-","-",""))</f>
        <v/>
      </c>
      <c r="CT29" s="2" t="str">
        <f aca="false">IF(BL29="x","x",IF(BL29="-","-",""))</f>
        <v/>
      </c>
      <c r="CU29" s="2" t="str">
        <f aca="false">IF(BM29="x","x",IF(BM29="-","-",""))</f>
        <v/>
      </c>
      <c r="CV29" s="2" t="str">
        <f aca="false">IF(BN29="x","x",IF(BN29="-","-",""))</f>
        <v/>
      </c>
      <c r="CW29" s="2" t="str">
        <f aca="false">IF(BO29="x","x",IF(BO29="-","-",""))</f>
        <v/>
      </c>
      <c r="CX29" s="2" t="str">
        <f aca="false">IF(BP29="x","x",IF(BP29="-","-",""))</f>
        <v/>
      </c>
      <c r="CZ29" s="2" t="str">
        <f aca="false">IF(P29="x","x",IF(P29="-","-",""))</f>
        <v>-</v>
      </c>
      <c r="DA29" s="2" t="str">
        <f aca="false">IF(Q29="x","x",IF(Q29="-","-",""))</f>
        <v>-</v>
      </c>
      <c r="DB29" s="2" t="str">
        <f aca="false">IF(R29="x","x",IF(R29="-","-",""))</f>
        <v>-</v>
      </c>
      <c r="DC29" s="2" t="str">
        <f aca="false">IF(S29="x","x",IF(S29="-","-",""))</f>
        <v>-</v>
      </c>
      <c r="DD29" s="2" t="str">
        <f aca="false">IF(T29="x","x",IF(T29="-","-",""))</f>
        <v>-</v>
      </c>
      <c r="DE29" s="2" t="str">
        <f aca="false">IF(U29="x","x",IF(U29="-","-",""))</f>
        <v>-</v>
      </c>
      <c r="DF29" s="2" t="str">
        <f aca="false">IF(V29="x","x",IF(V29="-","-",""))</f>
        <v>-</v>
      </c>
      <c r="DG29" s="2" t="str">
        <f aca="false">IF(W29="x","x",IF(W29="-","-",""))</f>
        <v>-</v>
      </c>
      <c r="DH29" s="2" t="str">
        <f aca="false">IF(X29="x","x",IF(X29="-","-",""))</f>
        <v>-</v>
      </c>
      <c r="DI29" s="2" t="str">
        <f aca="false">IF(Y29="x","x",IF(Y29="-","-",""))</f>
        <v>-</v>
      </c>
      <c r="DJ29" s="2" t="str">
        <f aca="false">IF(Z29="x","x",IF(Z29="-","-",""))</f>
        <v>-</v>
      </c>
      <c r="DK29" s="2" t="str">
        <f aca="false">IF(AA29="x","x",IF(AA29="-","-",""))</f>
        <v>-</v>
      </c>
      <c r="DL29" s="10"/>
      <c r="DM29" s="2" t="str">
        <f aca="false">IF(AC29="x","x",IF(AC29="-","-",""))</f>
        <v>-</v>
      </c>
      <c r="DN29" s="2" t="str">
        <f aca="false">IF(AD29="x","x",IF(AD29="-","-",""))</f>
        <v>-</v>
      </c>
      <c r="DO29" s="2" t="str">
        <f aca="false">IF(AE29="x","x",IF(AE29="-","-",""))</f>
        <v>-</v>
      </c>
      <c r="DP29" s="2" t="str">
        <f aca="false">IF(AF29="x","x",IF(AF29="-","-",""))</f>
        <v>-</v>
      </c>
      <c r="DQ29" s="2" t="str">
        <f aca="false">IF(AG29="x","x",IF(AG29="-","-",""))</f>
        <v>-</v>
      </c>
      <c r="DR29" s="2" t="str">
        <f aca="false">IF(AH29="x","x",IF(AH29="-","-",""))</f>
        <v>-</v>
      </c>
      <c r="DS29" s="2" t="str">
        <f aca="false">IF(AI29="x","x",IF(AI29="-","-",""))</f>
        <v>-</v>
      </c>
      <c r="DT29" s="2" t="str">
        <f aca="false">IF(AJ29="x","x",IF(AJ29="-","-",""))</f>
        <v>-</v>
      </c>
      <c r="DU29" s="2" t="str">
        <f aca="false">IF(AK29="x","x",IF(AK29="-","-",""))</f>
        <v>-</v>
      </c>
      <c r="DV29" s="2" t="str">
        <f aca="false">IF(AL29="x","x",IF(AL29="-","-",""))</f>
        <v>-</v>
      </c>
      <c r="DW29" s="2" t="str">
        <f aca="false">IF(AM29="x","x",IF(AM29="-","-",""))</f>
        <v>-</v>
      </c>
      <c r="DX29" s="2" t="str">
        <f aca="false">IF(AN29="x","x",IF(AN29="-","-",""))</f>
        <v>-</v>
      </c>
    </row>
    <row r="30" customFormat="false" ht="13.8" hidden="false" customHeight="false" outlineLevel="0" collapsed="false">
      <c r="A30" s="10" t="s">
        <v>73</v>
      </c>
      <c r="B30" s="2" t="n">
        <v>29</v>
      </c>
      <c r="C30" s="11" t="s">
        <v>108</v>
      </c>
      <c r="D30" s="10" t="s">
        <v>109</v>
      </c>
      <c r="E30" s="10" t="s">
        <v>76</v>
      </c>
      <c r="F30" s="10" t="n">
        <v>29</v>
      </c>
      <c r="G30" s="10" t="s">
        <v>77</v>
      </c>
      <c r="H30" s="10" t="s">
        <v>77</v>
      </c>
      <c r="I30" s="10" t="s">
        <v>77</v>
      </c>
      <c r="J30" s="10" t="s">
        <v>77</v>
      </c>
      <c r="K30" s="10" t="s">
        <v>77</v>
      </c>
      <c r="L30" s="10" t="s">
        <v>77</v>
      </c>
      <c r="M30" s="2" t="n">
        <v>20</v>
      </c>
      <c r="N30" s="10" t="s">
        <v>77</v>
      </c>
      <c r="O30" s="10"/>
      <c r="P30" s="10" t="s">
        <v>77</v>
      </c>
      <c r="Q30" s="10" t="s">
        <v>77</v>
      </c>
      <c r="R30" s="10" t="s">
        <v>77</v>
      </c>
      <c r="S30" s="10" t="s">
        <v>77</v>
      </c>
      <c r="T30" s="10" t="s">
        <v>77</v>
      </c>
      <c r="U30" s="10" t="s">
        <v>77</v>
      </c>
      <c r="V30" s="10" t="s">
        <v>77</v>
      </c>
      <c r="W30" s="10" t="s">
        <v>77</v>
      </c>
      <c r="X30" s="10" t="s">
        <v>77</v>
      </c>
      <c r="Y30" s="10" t="s">
        <v>77</v>
      </c>
      <c r="Z30" s="10" t="s">
        <v>77</v>
      </c>
      <c r="AA30" s="10" t="s">
        <v>77</v>
      </c>
      <c r="AB30" s="10"/>
      <c r="AC30" s="10" t="s">
        <v>77</v>
      </c>
      <c r="AD30" s="10" t="s">
        <v>77</v>
      </c>
      <c r="AE30" s="10" t="s">
        <v>77</v>
      </c>
      <c r="AF30" s="10" t="s">
        <v>77</v>
      </c>
      <c r="AG30" s="10" t="s">
        <v>77</v>
      </c>
      <c r="AH30" s="10" t="s">
        <v>77</v>
      </c>
      <c r="AI30" s="10" t="s">
        <v>77</v>
      </c>
      <c r="AJ30" s="10" t="s">
        <v>77</v>
      </c>
      <c r="AK30" s="10" t="s">
        <v>77</v>
      </c>
      <c r="AL30" s="10" t="s">
        <v>77</v>
      </c>
      <c r="AM30" s="10" t="s">
        <v>77</v>
      </c>
      <c r="AN30" s="10" t="s">
        <v>77</v>
      </c>
      <c r="AO30" s="10"/>
      <c r="AP30" s="10" t="s">
        <v>73</v>
      </c>
      <c r="AQ30" s="10" t="s">
        <v>73</v>
      </c>
      <c r="AS30" s="10"/>
      <c r="AT30" s="10"/>
      <c r="AU30" s="10"/>
      <c r="AV30" s="10"/>
      <c r="AW30" s="10"/>
      <c r="AX30" s="10" t="s">
        <v>78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R30" s="10" t="s">
        <v>78</v>
      </c>
      <c r="BS30" s="10"/>
      <c r="BT30" s="10"/>
      <c r="BU30" s="10"/>
      <c r="BV30" s="10"/>
      <c r="BW30" s="10"/>
      <c r="BX30" s="10"/>
      <c r="BY30" s="10"/>
      <c r="CA30" s="2" t="str">
        <f aca="false">IF(AS30="x","x",IF(AS30="-","-",""))</f>
        <v/>
      </c>
      <c r="CB30" s="2" t="str">
        <f aca="false">IF(AT30="x","x",IF(AT30="-","-",""))</f>
        <v/>
      </c>
      <c r="CC30" s="2" t="str">
        <f aca="false">IF(AU30="x","x",IF(AU30="-","-",""))</f>
        <v/>
      </c>
      <c r="CD30" s="2" t="str">
        <f aca="false">IF(AV30="x","x",IF(AV30="-","-",""))</f>
        <v/>
      </c>
      <c r="CE30" s="2" t="str">
        <f aca="false">IF(AW30="x","x",IF(AW30="-","-",""))</f>
        <v/>
      </c>
      <c r="CF30" s="2" t="str">
        <f aca="false">IF(AX30="x","x",IF(AX30="-","-",""))</f>
        <v>x</v>
      </c>
      <c r="CG30" s="2" t="str">
        <f aca="false">IF(AY30="x","x",IF(AY30="-","-",""))</f>
        <v/>
      </c>
      <c r="CH30" s="2" t="str">
        <f aca="false">IF(AZ30="x","x",IF(AZ30="-","-",""))</f>
        <v/>
      </c>
      <c r="CI30" s="2" t="str">
        <f aca="false">IF(BA30="x","x",IF(BA30="-","-",""))</f>
        <v/>
      </c>
      <c r="CJ30" s="2" t="str">
        <f aca="false">IF(BB30="x","x",IF(BB30="-","-",""))</f>
        <v/>
      </c>
      <c r="CK30" s="2" t="str">
        <f aca="false">IF(BC30="x","x",IF(BC30="-","-",""))</f>
        <v/>
      </c>
      <c r="CL30" s="2" t="str">
        <f aca="false">IF(BD30="x","x",IF(BD30="-","-",""))</f>
        <v/>
      </c>
      <c r="CM30" s="2" t="str">
        <f aca="false">IF(BE30="x","x",IF(BE30="-","-",""))</f>
        <v/>
      </c>
      <c r="CN30" s="2" t="str">
        <f aca="false">IF(BF30="x","x",IF(BF30="-","-",""))</f>
        <v/>
      </c>
      <c r="CO30" s="2" t="str">
        <f aca="false">IF(BG30="x","x",IF(BG30="-","-",""))</f>
        <v/>
      </c>
      <c r="CP30" s="2" t="str">
        <f aca="false">IF(BH30="x","x",IF(BH30="-","-",""))</f>
        <v/>
      </c>
      <c r="CQ30" s="2" t="str">
        <f aca="false">IF(BI30="x","x",IF(BI30="-","-",""))</f>
        <v/>
      </c>
      <c r="CR30" s="2" t="str">
        <f aca="false">IF(BJ30="x","x",IF(BJ30="-","-",""))</f>
        <v/>
      </c>
      <c r="CS30" s="2" t="str">
        <f aca="false">IF(BK30="x","x",IF(BK30="-","-",""))</f>
        <v/>
      </c>
      <c r="CT30" s="2" t="str">
        <f aca="false">IF(BL30="x","x",IF(BL30="-","-",""))</f>
        <v/>
      </c>
      <c r="CU30" s="2" t="str">
        <f aca="false">IF(BM30="x","x",IF(BM30="-","-",""))</f>
        <v/>
      </c>
      <c r="CV30" s="2" t="str">
        <f aca="false">IF(BN30="x","x",IF(BN30="-","-",""))</f>
        <v/>
      </c>
      <c r="CW30" s="2" t="str">
        <f aca="false">IF(BO30="x","x",IF(BO30="-","-",""))</f>
        <v/>
      </c>
      <c r="CX30" s="2" t="str">
        <f aca="false">IF(BP30="x","x",IF(BP30="-","-",""))</f>
        <v/>
      </c>
      <c r="CZ30" s="2" t="str">
        <f aca="false">IF(P30="x","x",IF(P30="-","-",""))</f>
        <v>-</v>
      </c>
      <c r="DA30" s="2" t="str">
        <f aca="false">IF(Q30="x","x",IF(Q30="-","-",""))</f>
        <v>-</v>
      </c>
      <c r="DB30" s="2" t="str">
        <f aca="false">IF(R30="x","x",IF(R30="-","-",""))</f>
        <v>-</v>
      </c>
      <c r="DC30" s="2" t="str">
        <f aca="false">IF(S30="x","x",IF(S30="-","-",""))</f>
        <v>-</v>
      </c>
      <c r="DD30" s="2" t="str">
        <f aca="false">IF(T30="x","x",IF(T30="-","-",""))</f>
        <v>-</v>
      </c>
      <c r="DE30" s="2" t="str">
        <f aca="false">IF(U30="x","x",IF(U30="-","-",""))</f>
        <v>-</v>
      </c>
      <c r="DF30" s="2" t="str">
        <f aca="false">IF(V30="x","x",IF(V30="-","-",""))</f>
        <v>-</v>
      </c>
      <c r="DG30" s="2" t="str">
        <f aca="false">IF(W30="x","x",IF(W30="-","-",""))</f>
        <v>-</v>
      </c>
      <c r="DH30" s="2" t="str">
        <f aca="false">IF(X30="x","x",IF(X30="-","-",""))</f>
        <v>-</v>
      </c>
      <c r="DI30" s="2" t="str">
        <f aca="false">IF(Y30="x","x",IF(Y30="-","-",""))</f>
        <v>-</v>
      </c>
      <c r="DJ30" s="2" t="str">
        <f aca="false">IF(Z30="x","x",IF(Z30="-","-",""))</f>
        <v>-</v>
      </c>
      <c r="DK30" s="2" t="str">
        <f aca="false">IF(AA30="x","x",IF(AA30="-","-",""))</f>
        <v>-</v>
      </c>
      <c r="DL30" s="10"/>
      <c r="DM30" s="2" t="str">
        <f aca="false">IF(AC30="x","x",IF(AC30="-","-",""))</f>
        <v>-</v>
      </c>
      <c r="DN30" s="2" t="str">
        <f aca="false">IF(AD30="x","x",IF(AD30="-","-",""))</f>
        <v>-</v>
      </c>
      <c r="DO30" s="2" t="str">
        <f aca="false">IF(AE30="x","x",IF(AE30="-","-",""))</f>
        <v>-</v>
      </c>
      <c r="DP30" s="2" t="str">
        <f aca="false">IF(AF30="x","x",IF(AF30="-","-",""))</f>
        <v>-</v>
      </c>
      <c r="DQ30" s="2" t="str">
        <f aca="false">IF(AG30="x","x",IF(AG30="-","-",""))</f>
        <v>-</v>
      </c>
      <c r="DR30" s="2" t="str">
        <f aca="false">IF(AH30="x","x",IF(AH30="-","-",""))</f>
        <v>-</v>
      </c>
      <c r="DS30" s="2" t="str">
        <f aca="false">IF(AI30="x","x",IF(AI30="-","-",""))</f>
        <v>-</v>
      </c>
      <c r="DT30" s="2" t="str">
        <f aca="false">IF(AJ30="x","x",IF(AJ30="-","-",""))</f>
        <v>-</v>
      </c>
      <c r="DU30" s="2" t="str">
        <f aca="false">IF(AK30="x","x",IF(AK30="-","-",""))</f>
        <v>-</v>
      </c>
      <c r="DV30" s="2" t="str">
        <f aca="false">IF(AL30="x","x",IF(AL30="-","-",""))</f>
        <v>-</v>
      </c>
      <c r="DW30" s="2" t="str">
        <f aca="false">IF(AM30="x","x",IF(AM30="-","-",""))</f>
        <v>-</v>
      </c>
      <c r="DX30" s="2" t="str">
        <f aca="false">IF(AN30="x","x",IF(AN30="-","-",""))</f>
        <v>-</v>
      </c>
    </row>
    <row r="31" customFormat="false" ht="13.8" hidden="false" customHeight="false" outlineLevel="0" collapsed="false">
      <c r="A31" s="10" t="s">
        <v>73</v>
      </c>
      <c r="B31" s="2" t="n">
        <v>30</v>
      </c>
      <c r="C31" s="11" t="s">
        <v>110</v>
      </c>
      <c r="D31" s="10" t="s">
        <v>109</v>
      </c>
      <c r="E31" s="10" t="s">
        <v>76</v>
      </c>
      <c r="F31" s="10" t="n">
        <v>30</v>
      </c>
      <c r="G31" s="10" t="s">
        <v>77</v>
      </c>
      <c r="H31" s="10" t="s">
        <v>77</v>
      </c>
      <c r="I31" s="10" t="s">
        <v>77</v>
      </c>
      <c r="J31" s="10" t="s">
        <v>77</v>
      </c>
      <c r="K31" s="10" t="s">
        <v>77</v>
      </c>
      <c r="L31" s="10" t="s">
        <v>77</v>
      </c>
      <c r="M31" s="2" t="n">
        <v>20</v>
      </c>
      <c r="N31" s="10" t="s">
        <v>77</v>
      </c>
      <c r="O31" s="10"/>
      <c r="P31" s="10" t="s">
        <v>77</v>
      </c>
      <c r="Q31" s="10" t="s">
        <v>77</v>
      </c>
      <c r="R31" s="10" t="s">
        <v>77</v>
      </c>
      <c r="S31" s="10" t="s">
        <v>77</v>
      </c>
      <c r="T31" s="10" t="s">
        <v>77</v>
      </c>
      <c r="U31" s="10" t="s">
        <v>77</v>
      </c>
      <c r="V31" s="10" t="s">
        <v>77</v>
      </c>
      <c r="W31" s="10" t="s">
        <v>77</v>
      </c>
      <c r="X31" s="10" t="s">
        <v>77</v>
      </c>
      <c r="Y31" s="10" t="s">
        <v>77</v>
      </c>
      <c r="Z31" s="10" t="s">
        <v>77</v>
      </c>
      <c r="AA31" s="10" t="s">
        <v>77</v>
      </c>
      <c r="AB31" s="10"/>
      <c r="AC31" s="10" t="s">
        <v>77</v>
      </c>
      <c r="AD31" s="10" t="s">
        <v>77</v>
      </c>
      <c r="AE31" s="10" t="s">
        <v>77</v>
      </c>
      <c r="AF31" s="10" t="s">
        <v>77</v>
      </c>
      <c r="AG31" s="10" t="s">
        <v>77</v>
      </c>
      <c r="AH31" s="10" t="s">
        <v>77</v>
      </c>
      <c r="AI31" s="10" t="s">
        <v>77</v>
      </c>
      <c r="AJ31" s="10" t="s">
        <v>77</v>
      </c>
      <c r="AK31" s="10" t="s">
        <v>77</v>
      </c>
      <c r="AL31" s="10" t="s">
        <v>77</v>
      </c>
      <c r="AM31" s="10" t="s">
        <v>77</v>
      </c>
      <c r="AN31" s="10" t="s">
        <v>77</v>
      </c>
      <c r="AO31" s="10"/>
      <c r="AP31" s="10" t="s">
        <v>73</v>
      </c>
      <c r="AQ31" s="10" t="s">
        <v>73</v>
      </c>
      <c r="AS31" s="10"/>
      <c r="AT31" s="10"/>
      <c r="AU31" s="10"/>
      <c r="AV31" s="10"/>
      <c r="AW31" s="10"/>
      <c r="AX31" s="10" t="s">
        <v>78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R31" s="10" t="s">
        <v>78</v>
      </c>
      <c r="BS31" s="10"/>
      <c r="BT31" s="10"/>
      <c r="BU31" s="10"/>
      <c r="BV31" s="10"/>
      <c r="BW31" s="10"/>
      <c r="BX31" s="10"/>
      <c r="BY31" s="10"/>
      <c r="CA31" s="2" t="str">
        <f aca="false">IF(AS31="x","x",IF(AS31="-","-",""))</f>
        <v/>
      </c>
      <c r="CB31" s="2" t="str">
        <f aca="false">IF(AT31="x","x",IF(AT31="-","-",""))</f>
        <v/>
      </c>
      <c r="CC31" s="2" t="str">
        <f aca="false">IF(AU31="x","x",IF(AU31="-","-",""))</f>
        <v/>
      </c>
      <c r="CD31" s="2" t="str">
        <f aca="false">IF(AV31="x","x",IF(AV31="-","-",""))</f>
        <v/>
      </c>
      <c r="CE31" s="2" t="str">
        <f aca="false">IF(AW31="x","x",IF(AW31="-","-",""))</f>
        <v/>
      </c>
      <c r="CF31" s="2" t="str">
        <f aca="false">IF(AX31="x","x",IF(AX31="-","-",""))</f>
        <v>x</v>
      </c>
      <c r="CG31" s="2" t="str">
        <f aca="false">IF(AY31="x","x",IF(AY31="-","-",""))</f>
        <v/>
      </c>
      <c r="CH31" s="2" t="str">
        <f aca="false">IF(AZ31="x","x",IF(AZ31="-","-",""))</f>
        <v/>
      </c>
      <c r="CI31" s="2" t="str">
        <f aca="false">IF(BA31="x","x",IF(BA31="-","-",""))</f>
        <v/>
      </c>
      <c r="CJ31" s="2" t="str">
        <f aca="false">IF(BB31="x","x",IF(BB31="-","-",""))</f>
        <v/>
      </c>
      <c r="CK31" s="2" t="str">
        <f aca="false">IF(BC31="x","x",IF(BC31="-","-",""))</f>
        <v/>
      </c>
      <c r="CL31" s="2" t="str">
        <f aca="false">IF(BD31="x","x",IF(BD31="-","-",""))</f>
        <v/>
      </c>
      <c r="CM31" s="2" t="str">
        <f aca="false">IF(BE31="x","x",IF(BE31="-","-",""))</f>
        <v/>
      </c>
      <c r="CN31" s="2" t="str">
        <f aca="false">IF(BF31="x","x",IF(BF31="-","-",""))</f>
        <v/>
      </c>
      <c r="CO31" s="2" t="str">
        <f aca="false">IF(BG31="x","x",IF(BG31="-","-",""))</f>
        <v/>
      </c>
      <c r="CP31" s="2" t="str">
        <f aca="false">IF(BH31="x","x",IF(BH31="-","-",""))</f>
        <v/>
      </c>
      <c r="CQ31" s="2" t="str">
        <f aca="false">IF(BI31="x","x",IF(BI31="-","-",""))</f>
        <v/>
      </c>
      <c r="CR31" s="2" t="str">
        <f aca="false">IF(BJ31="x","x",IF(BJ31="-","-",""))</f>
        <v/>
      </c>
      <c r="CS31" s="2" t="str">
        <f aca="false">IF(BK31="x","x",IF(BK31="-","-",""))</f>
        <v/>
      </c>
      <c r="CT31" s="2" t="str">
        <f aca="false">IF(BL31="x","x",IF(BL31="-","-",""))</f>
        <v/>
      </c>
      <c r="CU31" s="2" t="str">
        <f aca="false">IF(BM31="x","x",IF(BM31="-","-",""))</f>
        <v/>
      </c>
      <c r="CV31" s="2" t="str">
        <f aca="false">IF(BN31="x","x",IF(BN31="-","-",""))</f>
        <v/>
      </c>
      <c r="CW31" s="2" t="str">
        <f aca="false">IF(BO31="x","x",IF(BO31="-","-",""))</f>
        <v/>
      </c>
      <c r="CX31" s="2" t="str">
        <f aca="false">IF(BP31="x","x",IF(BP31="-","-",""))</f>
        <v/>
      </c>
      <c r="CZ31" s="2" t="str">
        <f aca="false">IF(P31="x","x",IF(P31="-","-",""))</f>
        <v>-</v>
      </c>
      <c r="DA31" s="2" t="str">
        <f aca="false">IF(Q31="x","x",IF(Q31="-","-",""))</f>
        <v>-</v>
      </c>
      <c r="DB31" s="2" t="str">
        <f aca="false">IF(R31="x","x",IF(R31="-","-",""))</f>
        <v>-</v>
      </c>
      <c r="DC31" s="2" t="str">
        <f aca="false">IF(S31="x","x",IF(S31="-","-",""))</f>
        <v>-</v>
      </c>
      <c r="DD31" s="2" t="str">
        <f aca="false">IF(T31="x","x",IF(T31="-","-",""))</f>
        <v>-</v>
      </c>
      <c r="DE31" s="2" t="str">
        <f aca="false">IF(U31="x","x",IF(U31="-","-",""))</f>
        <v>-</v>
      </c>
      <c r="DF31" s="2" t="str">
        <f aca="false">IF(V31="x","x",IF(V31="-","-",""))</f>
        <v>-</v>
      </c>
      <c r="DG31" s="2" t="str">
        <f aca="false">IF(W31="x","x",IF(W31="-","-",""))</f>
        <v>-</v>
      </c>
      <c r="DH31" s="2" t="str">
        <f aca="false">IF(X31="x","x",IF(X31="-","-",""))</f>
        <v>-</v>
      </c>
      <c r="DI31" s="2" t="str">
        <f aca="false">IF(Y31="x","x",IF(Y31="-","-",""))</f>
        <v>-</v>
      </c>
      <c r="DJ31" s="2" t="str">
        <f aca="false">IF(Z31="x","x",IF(Z31="-","-",""))</f>
        <v>-</v>
      </c>
      <c r="DK31" s="2" t="str">
        <f aca="false">IF(AA31="x","x",IF(AA31="-","-",""))</f>
        <v>-</v>
      </c>
      <c r="DL31" s="10"/>
      <c r="DM31" s="2" t="str">
        <f aca="false">IF(AC31="x","x",IF(AC31="-","-",""))</f>
        <v>-</v>
      </c>
      <c r="DN31" s="2" t="str">
        <f aca="false">IF(AD31="x","x",IF(AD31="-","-",""))</f>
        <v>-</v>
      </c>
      <c r="DO31" s="2" t="str">
        <f aca="false">IF(AE31="x","x",IF(AE31="-","-",""))</f>
        <v>-</v>
      </c>
      <c r="DP31" s="2" t="str">
        <f aca="false">IF(AF31="x","x",IF(AF31="-","-",""))</f>
        <v>-</v>
      </c>
      <c r="DQ31" s="2" t="str">
        <f aca="false">IF(AG31="x","x",IF(AG31="-","-",""))</f>
        <v>-</v>
      </c>
      <c r="DR31" s="2" t="str">
        <f aca="false">IF(AH31="x","x",IF(AH31="-","-",""))</f>
        <v>-</v>
      </c>
      <c r="DS31" s="2" t="str">
        <f aca="false">IF(AI31="x","x",IF(AI31="-","-",""))</f>
        <v>-</v>
      </c>
      <c r="DT31" s="2" t="str">
        <f aca="false">IF(AJ31="x","x",IF(AJ31="-","-",""))</f>
        <v>-</v>
      </c>
      <c r="DU31" s="2" t="str">
        <f aca="false">IF(AK31="x","x",IF(AK31="-","-",""))</f>
        <v>-</v>
      </c>
      <c r="DV31" s="2" t="str">
        <f aca="false">IF(AL31="x","x",IF(AL31="-","-",""))</f>
        <v>-</v>
      </c>
      <c r="DW31" s="2" t="str">
        <f aca="false">IF(AM31="x","x",IF(AM31="-","-",""))</f>
        <v>-</v>
      </c>
      <c r="DX31" s="2" t="str">
        <f aca="false">IF(AN31="x","x",IF(AN31="-","-",""))</f>
        <v>-</v>
      </c>
    </row>
    <row r="32" customFormat="false" ht="13.8" hidden="false" customHeight="false" outlineLevel="0" collapsed="false">
      <c r="A32" s="10" t="s">
        <v>73</v>
      </c>
      <c r="B32" s="2" t="n">
        <v>31</v>
      </c>
      <c r="C32" s="11" t="s">
        <v>111</v>
      </c>
      <c r="D32" s="10" t="s">
        <v>109</v>
      </c>
      <c r="E32" s="10" t="s">
        <v>76</v>
      </c>
      <c r="F32" s="10" t="n">
        <v>31</v>
      </c>
      <c r="G32" s="10" t="s">
        <v>77</v>
      </c>
      <c r="H32" s="10" t="s">
        <v>77</v>
      </c>
      <c r="I32" s="10" t="s">
        <v>77</v>
      </c>
      <c r="J32" s="10" t="s">
        <v>77</v>
      </c>
      <c r="K32" s="10" t="s">
        <v>77</v>
      </c>
      <c r="L32" s="10" t="s">
        <v>77</v>
      </c>
      <c r="M32" s="2" t="n">
        <v>20</v>
      </c>
      <c r="N32" s="10" t="s">
        <v>77</v>
      </c>
      <c r="O32" s="10"/>
      <c r="P32" s="10" t="s">
        <v>77</v>
      </c>
      <c r="Q32" s="10" t="s">
        <v>77</v>
      </c>
      <c r="R32" s="10" t="s">
        <v>77</v>
      </c>
      <c r="S32" s="10" t="s">
        <v>77</v>
      </c>
      <c r="T32" s="10" t="s">
        <v>77</v>
      </c>
      <c r="U32" s="10" t="s">
        <v>77</v>
      </c>
      <c r="V32" s="10" t="s">
        <v>77</v>
      </c>
      <c r="W32" s="10" t="s">
        <v>77</v>
      </c>
      <c r="X32" s="10" t="s">
        <v>77</v>
      </c>
      <c r="Y32" s="10" t="s">
        <v>77</v>
      </c>
      <c r="Z32" s="10" t="s">
        <v>77</v>
      </c>
      <c r="AA32" s="10" t="s">
        <v>77</v>
      </c>
      <c r="AB32" s="10"/>
      <c r="AC32" s="10" t="s">
        <v>77</v>
      </c>
      <c r="AD32" s="10" t="s">
        <v>77</v>
      </c>
      <c r="AE32" s="10" t="s">
        <v>77</v>
      </c>
      <c r="AF32" s="10" t="s">
        <v>77</v>
      </c>
      <c r="AG32" s="10" t="s">
        <v>77</v>
      </c>
      <c r="AH32" s="10" t="s">
        <v>77</v>
      </c>
      <c r="AI32" s="10" t="s">
        <v>77</v>
      </c>
      <c r="AJ32" s="10" t="s">
        <v>77</v>
      </c>
      <c r="AK32" s="10" t="s">
        <v>77</v>
      </c>
      <c r="AL32" s="10" t="s">
        <v>77</v>
      </c>
      <c r="AM32" s="10" t="s">
        <v>77</v>
      </c>
      <c r="AN32" s="10" t="s">
        <v>77</v>
      </c>
      <c r="AO32" s="10"/>
      <c r="AP32" s="10" t="s">
        <v>73</v>
      </c>
      <c r="AQ32" s="10" t="s">
        <v>73</v>
      </c>
      <c r="AS32" s="10"/>
      <c r="AT32" s="10"/>
      <c r="AU32" s="10"/>
      <c r="AV32" s="10"/>
      <c r="AW32" s="10"/>
      <c r="AX32" s="10" t="s">
        <v>78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R32" s="10" t="s">
        <v>78</v>
      </c>
      <c r="BS32" s="10"/>
      <c r="BT32" s="10"/>
      <c r="BU32" s="10"/>
      <c r="BV32" s="10"/>
      <c r="BW32" s="10"/>
      <c r="BX32" s="10"/>
      <c r="BY32" s="10"/>
      <c r="CA32" s="2" t="str">
        <f aca="false">IF(AS32="x","x",IF(AS32="-","-",""))</f>
        <v/>
      </c>
      <c r="CB32" s="2" t="str">
        <f aca="false">IF(AT32="x","x",IF(AT32="-","-",""))</f>
        <v/>
      </c>
      <c r="CC32" s="2" t="str">
        <f aca="false">IF(AU32="x","x",IF(AU32="-","-",""))</f>
        <v/>
      </c>
      <c r="CD32" s="2" t="str">
        <f aca="false">IF(AV32="x","x",IF(AV32="-","-",""))</f>
        <v/>
      </c>
      <c r="CE32" s="2" t="str">
        <f aca="false">IF(AW32="x","x",IF(AW32="-","-",""))</f>
        <v/>
      </c>
      <c r="CF32" s="2" t="str">
        <f aca="false">IF(AX32="x","x",IF(AX32="-","-",""))</f>
        <v>x</v>
      </c>
      <c r="CG32" s="2" t="str">
        <f aca="false">IF(AY32="x","x",IF(AY32="-","-",""))</f>
        <v/>
      </c>
      <c r="CH32" s="2" t="str">
        <f aca="false">IF(AZ32="x","x",IF(AZ32="-","-",""))</f>
        <v/>
      </c>
      <c r="CI32" s="2" t="str">
        <f aca="false">IF(BA32="x","x",IF(BA32="-","-",""))</f>
        <v/>
      </c>
      <c r="CJ32" s="2" t="str">
        <f aca="false">IF(BB32="x","x",IF(BB32="-","-",""))</f>
        <v/>
      </c>
      <c r="CK32" s="2" t="str">
        <f aca="false">IF(BC32="x","x",IF(BC32="-","-",""))</f>
        <v/>
      </c>
      <c r="CL32" s="2" t="str">
        <f aca="false">IF(BD32="x","x",IF(BD32="-","-",""))</f>
        <v/>
      </c>
      <c r="CM32" s="2" t="str">
        <f aca="false">IF(BE32="x","x",IF(BE32="-","-",""))</f>
        <v/>
      </c>
      <c r="CN32" s="2" t="str">
        <f aca="false">IF(BF32="x","x",IF(BF32="-","-",""))</f>
        <v/>
      </c>
      <c r="CO32" s="2" t="str">
        <f aca="false">IF(BG32="x","x",IF(BG32="-","-",""))</f>
        <v/>
      </c>
      <c r="CP32" s="2" t="str">
        <f aca="false">IF(BH32="x","x",IF(BH32="-","-",""))</f>
        <v/>
      </c>
      <c r="CQ32" s="2" t="str">
        <f aca="false">IF(BI32="x","x",IF(BI32="-","-",""))</f>
        <v/>
      </c>
      <c r="CR32" s="2" t="str">
        <f aca="false">IF(BJ32="x","x",IF(BJ32="-","-",""))</f>
        <v/>
      </c>
      <c r="CS32" s="2" t="str">
        <f aca="false">IF(BK32="x","x",IF(BK32="-","-",""))</f>
        <v/>
      </c>
      <c r="CT32" s="2" t="str">
        <f aca="false">IF(BL32="x","x",IF(BL32="-","-",""))</f>
        <v/>
      </c>
      <c r="CU32" s="2" t="str">
        <f aca="false">IF(BM32="x","x",IF(BM32="-","-",""))</f>
        <v/>
      </c>
      <c r="CV32" s="2" t="str">
        <f aca="false">IF(BN32="x","x",IF(BN32="-","-",""))</f>
        <v/>
      </c>
      <c r="CW32" s="2" t="str">
        <f aca="false">IF(BO32="x","x",IF(BO32="-","-",""))</f>
        <v/>
      </c>
      <c r="CX32" s="2" t="str">
        <f aca="false">IF(BP32="x","x",IF(BP32="-","-",""))</f>
        <v/>
      </c>
      <c r="CZ32" s="2" t="str">
        <f aca="false">IF(P32="x","x",IF(P32="-","-",""))</f>
        <v>-</v>
      </c>
      <c r="DA32" s="2" t="str">
        <f aca="false">IF(Q32="x","x",IF(Q32="-","-",""))</f>
        <v>-</v>
      </c>
      <c r="DB32" s="2" t="str">
        <f aca="false">IF(R32="x","x",IF(R32="-","-",""))</f>
        <v>-</v>
      </c>
      <c r="DC32" s="2" t="str">
        <f aca="false">IF(S32="x","x",IF(S32="-","-",""))</f>
        <v>-</v>
      </c>
      <c r="DD32" s="2" t="str">
        <f aca="false">IF(T32="x","x",IF(T32="-","-",""))</f>
        <v>-</v>
      </c>
      <c r="DE32" s="2" t="str">
        <f aca="false">IF(U32="x","x",IF(U32="-","-",""))</f>
        <v>-</v>
      </c>
      <c r="DF32" s="2" t="str">
        <f aca="false">IF(V32="x","x",IF(V32="-","-",""))</f>
        <v>-</v>
      </c>
      <c r="DG32" s="2" t="str">
        <f aca="false">IF(W32="x","x",IF(W32="-","-",""))</f>
        <v>-</v>
      </c>
      <c r="DH32" s="2" t="str">
        <f aca="false">IF(X32="x","x",IF(X32="-","-",""))</f>
        <v>-</v>
      </c>
      <c r="DI32" s="2" t="str">
        <f aca="false">IF(Y32="x","x",IF(Y32="-","-",""))</f>
        <v>-</v>
      </c>
      <c r="DJ32" s="2" t="str">
        <f aca="false">IF(Z32="x","x",IF(Z32="-","-",""))</f>
        <v>-</v>
      </c>
      <c r="DK32" s="2" t="str">
        <f aca="false">IF(AA32="x","x",IF(AA32="-","-",""))</f>
        <v>-</v>
      </c>
      <c r="DL32" s="10"/>
      <c r="DM32" s="2" t="str">
        <f aca="false">IF(AC32="x","x",IF(AC32="-","-",""))</f>
        <v>-</v>
      </c>
      <c r="DN32" s="2" t="str">
        <f aca="false">IF(AD32="x","x",IF(AD32="-","-",""))</f>
        <v>-</v>
      </c>
      <c r="DO32" s="2" t="str">
        <f aca="false">IF(AE32="x","x",IF(AE32="-","-",""))</f>
        <v>-</v>
      </c>
      <c r="DP32" s="2" t="str">
        <f aca="false">IF(AF32="x","x",IF(AF32="-","-",""))</f>
        <v>-</v>
      </c>
      <c r="DQ32" s="2" t="str">
        <f aca="false">IF(AG32="x","x",IF(AG32="-","-",""))</f>
        <v>-</v>
      </c>
      <c r="DR32" s="2" t="str">
        <f aca="false">IF(AH32="x","x",IF(AH32="-","-",""))</f>
        <v>-</v>
      </c>
      <c r="DS32" s="2" t="str">
        <f aca="false">IF(AI32="x","x",IF(AI32="-","-",""))</f>
        <v>-</v>
      </c>
      <c r="DT32" s="2" t="str">
        <f aca="false">IF(AJ32="x","x",IF(AJ32="-","-",""))</f>
        <v>-</v>
      </c>
      <c r="DU32" s="2" t="str">
        <f aca="false">IF(AK32="x","x",IF(AK32="-","-",""))</f>
        <v>-</v>
      </c>
      <c r="DV32" s="2" t="str">
        <f aca="false">IF(AL32="x","x",IF(AL32="-","-",""))</f>
        <v>-</v>
      </c>
      <c r="DW32" s="2" t="str">
        <f aca="false">IF(AM32="x","x",IF(AM32="-","-",""))</f>
        <v>-</v>
      </c>
      <c r="DX32" s="2" t="str">
        <f aca="false">IF(AN32="x","x",IF(AN32="-","-",""))</f>
        <v>-</v>
      </c>
    </row>
    <row r="33" customFormat="false" ht="13.8" hidden="false" customHeight="false" outlineLevel="0" collapsed="false">
      <c r="A33" s="10" t="s">
        <v>73</v>
      </c>
      <c r="B33" s="2" t="n">
        <v>32</v>
      </c>
      <c r="C33" s="11" t="s">
        <v>112</v>
      </c>
      <c r="D33" s="10" t="s">
        <v>109</v>
      </c>
      <c r="E33" s="10" t="s">
        <v>76</v>
      </c>
      <c r="F33" s="10" t="n">
        <v>32</v>
      </c>
      <c r="G33" s="10" t="s">
        <v>77</v>
      </c>
      <c r="H33" s="10" t="s">
        <v>77</v>
      </c>
      <c r="I33" s="10" t="s">
        <v>77</v>
      </c>
      <c r="J33" s="10" t="s">
        <v>77</v>
      </c>
      <c r="K33" s="10" t="s">
        <v>77</v>
      </c>
      <c r="L33" s="10" t="s">
        <v>77</v>
      </c>
      <c r="M33" s="2" t="n">
        <v>20</v>
      </c>
      <c r="N33" s="10" t="s">
        <v>77</v>
      </c>
      <c r="O33" s="10"/>
      <c r="P33" s="10" t="s">
        <v>77</v>
      </c>
      <c r="Q33" s="10" t="s">
        <v>77</v>
      </c>
      <c r="R33" s="10" t="s">
        <v>77</v>
      </c>
      <c r="S33" s="10" t="s">
        <v>77</v>
      </c>
      <c r="T33" s="10" t="s">
        <v>77</v>
      </c>
      <c r="U33" s="10" t="s">
        <v>77</v>
      </c>
      <c r="V33" s="10" t="s">
        <v>77</v>
      </c>
      <c r="W33" s="10" t="s">
        <v>77</v>
      </c>
      <c r="X33" s="10" t="s">
        <v>77</v>
      </c>
      <c r="Y33" s="10" t="s">
        <v>77</v>
      </c>
      <c r="Z33" s="10" t="s">
        <v>77</v>
      </c>
      <c r="AA33" s="10" t="s">
        <v>77</v>
      </c>
      <c r="AB33" s="10"/>
      <c r="AC33" s="10" t="s">
        <v>77</v>
      </c>
      <c r="AD33" s="10" t="s">
        <v>77</v>
      </c>
      <c r="AE33" s="10" t="s">
        <v>77</v>
      </c>
      <c r="AF33" s="10" t="s">
        <v>77</v>
      </c>
      <c r="AG33" s="10" t="s">
        <v>77</v>
      </c>
      <c r="AH33" s="10" t="s">
        <v>77</v>
      </c>
      <c r="AI33" s="10" t="s">
        <v>77</v>
      </c>
      <c r="AJ33" s="10" t="s">
        <v>77</v>
      </c>
      <c r="AK33" s="10" t="s">
        <v>77</v>
      </c>
      <c r="AL33" s="10" t="s">
        <v>77</v>
      </c>
      <c r="AM33" s="10" t="s">
        <v>77</v>
      </c>
      <c r="AN33" s="10" t="s">
        <v>77</v>
      </c>
      <c r="AO33" s="10"/>
      <c r="AP33" s="10" t="s">
        <v>73</v>
      </c>
      <c r="AQ33" s="10" t="s">
        <v>73</v>
      </c>
      <c r="AS33" s="10"/>
      <c r="AT33" s="10"/>
      <c r="AU33" s="10"/>
      <c r="AV33" s="10"/>
      <c r="AW33" s="10"/>
      <c r="AX33" s="10" t="s">
        <v>78</v>
      </c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R33" s="10" t="s">
        <v>78</v>
      </c>
      <c r="BS33" s="10"/>
      <c r="BT33" s="10"/>
      <c r="BU33" s="10"/>
      <c r="BV33" s="10"/>
      <c r="BW33" s="10"/>
      <c r="BX33" s="10"/>
      <c r="BY33" s="10"/>
      <c r="CA33" s="2" t="str">
        <f aca="false">IF(AS33="x","x",IF(AS33="-","-",""))</f>
        <v/>
      </c>
      <c r="CB33" s="2" t="str">
        <f aca="false">IF(AT33="x","x",IF(AT33="-","-",""))</f>
        <v/>
      </c>
      <c r="CC33" s="2" t="str">
        <f aca="false">IF(AU33="x","x",IF(AU33="-","-",""))</f>
        <v/>
      </c>
      <c r="CD33" s="2" t="str">
        <f aca="false">IF(AV33="x","x",IF(AV33="-","-",""))</f>
        <v/>
      </c>
      <c r="CE33" s="2" t="str">
        <f aca="false">IF(AW33="x","x",IF(AW33="-","-",""))</f>
        <v/>
      </c>
      <c r="CF33" s="2" t="str">
        <f aca="false">IF(AX33="x","x",IF(AX33="-","-",""))</f>
        <v>x</v>
      </c>
      <c r="CG33" s="2" t="str">
        <f aca="false">IF(AY33="x","x",IF(AY33="-","-",""))</f>
        <v/>
      </c>
      <c r="CH33" s="2" t="str">
        <f aca="false">IF(AZ33="x","x",IF(AZ33="-","-",""))</f>
        <v/>
      </c>
      <c r="CI33" s="2" t="str">
        <f aca="false">IF(BA33="x","x",IF(BA33="-","-",""))</f>
        <v/>
      </c>
      <c r="CJ33" s="2" t="str">
        <f aca="false">IF(BB33="x","x",IF(BB33="-","-",""))</f>
        <v/>
      </c>
      <c r="CK33" s="2" t="str">
        <f aca="false">IF(BC33="x","x",IF(BC33="-","-",""))</f>
        <v/>
      </c>
      <c r="CL33" s="2" t="str">
        <f aca="false">IF(BD33="x","x",IF(BD33="-","-",""))</f>
        <v/>
      </c>
      <c r="CM33" s="2" t="str">
        <f aca="false">IF(BE33="x","x",IF(BE33="-","-",""))</f>
        <v/>
      </c>
      <c r="CN33" s="2" t="str">
        <f aca="false">IF(BF33="x","x",IF(BF33="-","-",""))</f>
        <v/>
      </c>
      <c r="CO33" s="2" t="str">
        <f aca="false">IF(BG33="x","x",IF(BG33="-","-",""))</f>
        <v/>
      </c>
      <c r="CP33" s="2" t="str">
        <f aca="false">IF(BH33="x","x",IF(BH33="-","-",""))</f>
        <v/>
      </c>
      <c r="CQ33" s="2" t="str">
        <f aca="false">IF(BI33="x","x",IF(BI33="-","-",""))</f>
        <v/>
      </c>
      <c r="CR33" s="2" t="str">
        <f aca="false">IF(BJ33="x","x",IF(BJ33="-","-",""))</f>
        <v/>
      </c>
      <c r="CS33" s="2" t="str">
        <f aca="false">IF(BK33="x","x",IF(BK33="-","-",""))</f>
        <v/>
      </c>
      <c r="CT33" s="2" t="str">
        <f aca="false">IF(BL33="x","x",IF(BL33="-","-",""))</f>
        <v/>
      </c>
      <c r="CU33" s="2" t="str">
        <f aca="false">IF(BM33="x","x",IF(BM33="-","-",""))</f>
        <v/>
      </c>
      <c r="CV33" s="2" t="str">
        <f aca="false">IF(BN33="x","x",IF(BN33="-","-",""))</f>
        <v/>
      </c>
      <c r="CW33" s="2" t="str">
        <f aca="false">IF(BO33="x","x",IF(BO33="-","-",""))</f>
        <v/>
      </c>
      <c r="CX33" s="2" t="str">
        <f aca="false">IF(BP33="x","x",IF(BP33="-","-",""))</f>
        <v/>
      </c>
      <c r="CZ33" s="2" t="str">
        <f aca="false">IF(P33="x","x",IF(P33="-","-",""))</f>
        <v>-</v>
      </c>
      <c r="DA33" s="2" t="str">
        <f aca="false">IF(Q33="x","x",IF(Q33="-","-",""))</f>
        <v>-</v>
      </c>
      <c r="DB33" s="2" t="str">
        <f aca="false">IF(R33="x","x",IF(R33="-","-",""))</f>
        <v>-</v>
      </c>
      <c r="DC33" s="2" t="str">
        <f aca="false">IF(S33="x","x",IF(S33="-","-",""))</f>
        <v>-</v>
      </c>
      <c r="DD33" s="2" t="str">
        <f aca="false">IF(T33="x","x",IF(T33="-","-",""))</f>
        <v>-</v>
      </c>
      <c r="DE33" s="2" t="str">
        <f aca="false">IF(U33="x","x",IF(U33="-","-",""))</f>
        <v>-</v>
      </c>
      <c r="DF33" s="2" t="str">
        <f aca="false">IF(V33="x","x",IF(V33="-","-",""))</f>
        <v>-</v>
      </c>
      <c r="DG33" s="2" t="str">
        <f aca="false">IF(W33="x","x",IF(W33="-","-",""))</f>
        <v>-</v>
      </c>
      <c r="DH33" s="2" t="str">
        <f aca="false">IF(X33="x","x",IF(X33="-","-",""))</f>
        <v>-</v>
      </c>
      <c r="DI33" s="2" t="str">
        <f aca="false">IF(Y33="x","x",IF(Y33="-","-",""))</f>
        <v>-</v>
      </c>
      <c r="DJ33" s="2" t="str">
        <f aca="false">IF(Z33="x","x",IF(Z33="-","-",""))</f>
        <v>-</v>
      </c>
      <c r="DK33" s="2" t="str">
        <f aca="false">IF(AA33="x","x",IF(AA33="-","-",""))</f>
        <v>-</v>
      </c>
      <c r="DL33" s="10"/>
      <c r="DM33" s="2" t="str">
        <f aca="false">IF(AC33="x","x",IF(AC33="-","-",""))</f>
        <v>-</v>
      </c>
      <c r="DN33" s="2" t="str">
        <f aca="false">IF(AD33="x","x",IF(AD33="-","-",""))</f>
        <v>-</v>
      </c>
      <c r="DO33" s="2" t="str">
        <f aca="false">IF(AE33="x","x",IF(AE33="-","-",""))</f>
        <v>-</v>
      </c>
      <c r="DP33" s="2" t="str">
        <f aca="false">IF(AF33="x","x",IF(AF33="-","-",""))</f>
        <v>-</v>
      </c>
      <c r="DQ33" s="2" t="str">
        <f aca="false">IF(AG33="x","x",IF(AG33="-","-",""))</f>
        <v>-</v>
      </c>
      <c r="DR33" s="2" t="str">
        <f aca="false">IF(AH33="x","x",IF(AH33="-","-",""))</f>
        <v>-</v>
      </c>
      <c r="DS33" s="2" t="str">
        <f aca="false">IF(AI33="x","x",IF(AI33="-","-",""))</f>
        <v>-</v>
      </c>
      <c r="DT33" s="2" t="str">
        <f aca="false">IF(AJ33="x","x",IF(AJ33="-","-",""))</f>
        <v>-</v>
      </c>
      <c r="DU33" s="2" t="str">
        <f aca="false">IF(AK33="x","x",IF(AK33="-","-",""))</f>
        <v>-</v>
      </c>
      <c r="DV33" s="2" t="str">
        <f aca="false">IF(AL33="x","x",IF(AL33="-","-",""))</f>
        <v>-</v>
      </c>
      <c r="DW33" s="2" t="str">
        <f aca="false">IF(AM33="x","x",IF(AM33="-","-",""))</f>
        <v>-</v>
      </c>
      <c r="DX33" s="2" t="str">
        <f aca="false">IF(AN33="x","x",IF(AN33="-","-",""))</f>
        <v>-</v>
      </c>
    </row>
    <row r="34" customFormat="false" ht="13.8" hidden="false" customHeight="false" outlineLevel="0" collapsed="false">
      <c r="A34" s="10" t="s">
        <v>73</v>
      </c>
      <c r="B34" s="2" t="n">
        <v>33</v>
      </c>
      <c r="C34" s="11" t="s">
        <v>113</v>
      </c>
      <c r="D34" s="10" t="s">
        <v>109</v>
      </c>
      <c r="E34" s="10" t="s">
        <v>76</v>
      </c>
      <c r="F34" s="10" t="n">
        <v>33</v>
      </c>
      <c r="G34" s="10" t="s">
        <v>77</v>
      </c>
      <c r="H34" s="10" t="s">
        <v>77</v>
      </c>
      <c r="I34" s="10" t="s">
        <v>77</v>
      </c>
      <c r="J34" s="10" t="s">
        <v>77</v>
      </c>
      <c r="K34" s="10" t="s">
        <v>77</v>
      </c>
      <c r="L34" s="10" t="s">
        <v>77</v>
      </c>
      <c r="M34" s="2" t="n">
        <v>20</v>
      </c>
      <c r="N34" s="10" t="s">
        <v>77</v>
      </c>
      <c r="O34" s="10"/>
      <c r="P34" s="10" t="s">
        <v>77</v>
      </c>
      <c r="Q34" s="10" t="s">
        <v>77</v>
      </c>
      <c r="R34" s="10" t="s">
        <v>77</v>
      </c>
      <c r="S34" s="10" t="s">
        <v>77</v>
      </c>
      <c r="T34" s="10" t="s">
        <v>77</v>
      </c>
      <c r="U34" s="10" t="s">
        <v>77</v>
      </c>
      <c r="V34" s="10" t="s">
        <v>77</v>
      </c>
      <c r="W34" s="10" t="s">
        <v>77</v>
      </c>
      <c r="X34" s="10" t="s">
        <v>77</v>
      </c>
      <c r="Y34" s="10" t="s">
        <v>77</v>
      </c>
      <c r="Z34" s="10" t="s">
        <v>77</v>
      </c>
      <c r="AA34" s="10" t="s">
        <v>77</v>
      </c>
      <c r="AB34" s="10"/>
      <c r="AC34" s="10" t="s">
        <v>77</v>
      </c>
      <c r="AD34" s="10" t="s">
        <v>77</v>
      </c>
      <c r="AE34" s="10" t="s">
        <v>77</v>
      </c>
      <c r="AF34" s="10" t="s">
        <v>77</v>
      </c>
      <c r="AG34" s="10" t="s">
        <v>77</v>
      </c>
      <c r="AH34" s="10" t="s">
        <v>77</v>
      </c>
      <c r="AI34" s="10" t="s">
        <v>77</v>
      </c>
      <c r="AJ34" s="10" t="s">
        <v>77</v>
      </c>
      <c r="AK34" s="10" t="s">
        <v>77</v>
      </c>
      <c r="AL34" s="10" t="s">
        <v>77</v>
      </c>
      <c r="AM34" s="10" t="s">
        <v>77</v>
      </c>
      <c r="AN34" s="10" t="s">
        <v>77</v>
      </c>
      <c r="AO34" s="10"/>
      <c r="AP34" s="10" t="s">
        <v>73</v>
      </c>
      <c r="AQ34" s="10" t="s">
        <v>73</v>
      </c>
      <c r="AS34" s="10"/>
      <c r="AT34" s="10"/>
      <c r="AU34" s="10"/>
      <c r="AV34" s="10"/>
      <c r="AW34" s="10"/>
      <c r="AX34" s="10" t="s">
        <v>78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R34" s="10" t="s">
        <v>78</v>
      </c>
      <c r="BS34" s="10"/>
      <c r="BT34" s="10"/>
      <c r="BU34" s="10"/>
      <c r="BV34" s="10"/>
      <c r="BW34" s="10"/>
      <c r="BX34" s="10"/>
      <c r="BY34" s="10"/>
      <c r="CA34" s="2" t="str">
        <f aca="false">IF(AS34="x","x",IF(AS34="-","-",""))</f>
        <v/>
      </c>
      <c r="CB34" s="2" t="str">
        <f aca="false">IF(AT34="x","x",IF(AT34="-","-",""))</f>
        <v/>
      </c>
      <c r="CC34" s="2" t="str">
        <f aca="false">IF(AU34="x","x",IF(AU34="-","-",""))</f>
        <v/>
      </c>
      <c r="CD34" s="2" t="str">
        <f aca="false">IF(AV34="x","x",IF(AV34="-","-",""))</f>
        <v/>
      </c>
      <c r="CE34" s="2" t="str">
        <f aca="false">IF(AW34="x","x",IF(AW34="-","-",""))</f>
        <v/>
      </c>
      <c r="CF34" s="2" t="str">
        <f aca="false">IF(AX34="x","x",IF(AX34="-","-",""))</f>
        <v>x</v>
      </c>
      <c r="CG34" s="2" t="str">
        <f aca="false">IF(AY34="x","x",IF(AY34="-","-",""))</f>
        <v/>
      </c>
      <c r="CH34" s="2" t="str">
        <f aca="false">IF(AZ34="x","x",IF(AZ34="-","-",""))</f>
        <v/>
      </c>
      <c r="CI34" s="2" t="str">
        <f aca="false">IF(BA34="x","x",IF(BA34="-","-",""))</f>
        <v/>
      </c>
      <c r="CJ34" s="2" t="str">
        <f aca="false">IF(BB34="x","x",IF(BB34="-","-",""))</f>
        <v/>
      </c>
      <c r="CK34" s="2" t="str">
        <f aca="false">IF(BC34="x","x",IF(BC34="-","-",""))</f>
        <v/>
      </c>
      <c r="CL34" s="2" t="str">
        <f aca="false">IF(BD34="x","x",IF(BD34="-","-",""))</f>
        <v/>
      </c>
      <c r="CM34" s="2" t="str">
        <f aca="false">IF(BE34="x","x",IF(BE34="-","-",""))</f>
        <v/>
      </c>
      <c r="CN34" s="2" t="str">
        <f aca="false">IF(BF34="x","x",IF(BF34="-","-",""))</f>
        <v/>
      </c>
      <c r="CO34" s="2" t="str">
        <f aca="false">IF(BG34="x","x",IF(BG34="-","-",""))</f>
        <v/>
      </c>
      <c r="CP34" s="2" t="str">
        <f aca="false">IF(BH34="x","x",IF(BH34="-","-",""))</f>
        <v/>
      </c>
      <c r="CQ34" s="2" t="str">
        <f aca="false">IF(BI34="x","x",IF(BI34="-","-",""))</f>
        <v/>
      </c>
      <c r="CR34" s="2" t="str">
        <f aca="false">IF(BJ34="x","x",IF(BJ34="-","-",""))</f>
        <v/>
      </c>
      <c r="CS34" s="2" t="str">
        <f aca="false">IF(BK34="x","x",IF(BK34="-","-",""))</f>
        <v/>
      </c>
      <c r="CT34" s="2" t="str">
        <f aca="false">IF(BL34="x","x",IF(BL34="-","-",""))</f>
        <v/>
      </c>
      <c r="CU34" s="2" t="str">
        <f aca="false">IF(BM34="x","x",IF(BM34="-","-",""))</f>
        <v/>
      </c>
      <c r="CV34" s="2" t="str">
        <f aca="false">IF(BN34="x","x",IF(BN34="-","-",""))</f>
        <v/>
      </c>
      <c r="CW34" s="2" t="str">
        <f aca="false">IF(BO34="x","x",IF(BO34="-","-",""))</f>
        <v/>
      </c>
      <c r="CX34" s="2" t="str">
        <f aca="false">IF(BP34="x","x",IF(BP34="-","-",""))</f>
        <v/>
      </c>
      <c r="CZ34" s="2" t="str">
        <f aca="false">IF(P34="x","x",IF(P34="-","-",""))</f>
        <v>-</v>
      </c>
      <c r="DA34" s="2" t="str">
        <f aca="false">IF(Q34="x","x",IF(Q34="-","-",""))</f>
        <v>-</v>
      </c>
      <c r="DB34" s="2" t="str">
        <f aca="false">IF(R34="x","x",IF(R34="-","-",""))</f>
        <v>-</v>
      </c>
      <c r="DC34" s="2" t="str">
        <f aca="false">IF(S34="x","x",IF(S34="-","-",""))</f>
        <v>-</v>
      </c>
      <c r="DD34" s="2" t="str">
        <f aca="false">IF(T34="x","x",IF(T34="-","-",""))</f>
        <v>-</v>
      </c>
      <c r="DE34" s="2" t="str">
        <f aca="false">IF(U34="x","x",IF(U34="-","-",""))</f>
        <v>-</v>
      </c>
      <c r="DF34" s="2" t="str">
        <f aca="false">IF(V34="x","x",IF(V34="-","-",""))</f>
        <v>-</v>
      </c>
      <c r="DG34" s="2" t="str">
        <f aca="false">IF(W34="x","x",IF(W34="-","-",""))</f>
        <v>-</v>
      </c>
      <c r="DH34" s="2" t="str">
        <f aca="false">IF(X34="x","x",IF(X34="-","-",""))</f>
        <v>-</v>
      </c>
      <c r="DI34" s="2" t="str">
        <f aca="false">IF(Y34="x","x",IF(Y34="-","-",""))</f>
        <v>-</v>
      </c>
      <c r="DJ34" s="2" t="str">
        <f aca="false">IF(Z34="x","x",IF(Z34="-","-",""))</f>
        <v>-</v>
      </c>
      <c r="DK34" s="2" t="str">
        <f aca="false">IF(AA34="x","x",IF(AA34="-","-",""))</f>
        <v>-</v>
      </c>
      <c r="DL34" s="10"/>
      <c r="DM34" s="2" t="str">
        <f aca="false">IF(AC34="x","x",IF(AC34="-","-",""))</f>
        <v>-</v>
      </c>
      <c r="DN34" s="2" t="str">
        <f aca="false">IF(AD34="x","x",IF(AD34="-","-",""))</f>
        <v>-</v>
      </c>
      <c r="DO34" s="2" t="str">
        <f aca="false">IF(AE34="x","x",IF(AE34="-","-",""))</f>
        <v>-</v>
      </c>
      <c r="DP34" s="2" t="str">
        <f aca="false">IF(AF34="x","x",IF(AF34="-","-",""))</f>
        <v>-</v>
      </c>
      <c r="DQ34" s="2" t="str">
        <f aca="false">IF(AG34="x","x",IF(AG34="-","-",""))</f>
        <v>-</v>
      </c>
      <c r="DR34" s="2" t="str">
        <f aca="false">IF(AH34="x","x",IF(AH34="-","-",""))</f>
        <v>-</v>
      </c>
      <c r="DS34" s="2" t="str">
        <f aca="false">IF(AI34="x","x",IF(AI34="-","-",""))</f>
        <v>-</v>
      </c>
      <c r="DT34" s="2" t="str">
        <f aca="false">IF(AJ34="x","x",IF(AJ34="-","-",""))</f>
        <v>-</v>
      </c>
      <c r="DU34" s="2" t="str">
        <f aca="false">IF(AK34="x","x",IF(AK34="-","-",""))</f>
        <v>-</v>
      </c>
      <c r="DV34" s="2" t="str">
        <f aca="false">IF(AL34="x","x",IF(AL34="-","-",""))</f>
        <v>-</v>
      </c>
      <c r="DW34" s="2" t="str">
        <f aca="false">IF(AM34="x","x",IF(AM34="-","-",""))</f>
        <v>-</v>
      </c>
      <c r="DX34" s="2" t="str">
        <f aca="false">IF(AN34="x","x",IF(AN34="-","-",""))</f>
        <v>-</v>
      </c>
    </row>
    <row r="35" customFormat="false" ht="13.8" hidden="false" customHeight="false" outlineLevel="0" collapsed="false">
      <c r="A35" s="10" t="s">
        <v>73</v>
      </c>
      <c r="B35" s="2" t="n">
        <v>34</v>
      </c>
      <c r="C35" s="11" t="s">
        <v>114</v>
      </c>
      <c r="D35" s="10" t="s">
        <v>109</v>
      </c>
      <c r="E35" s="10" t="s">
        <v>76</v>
      </c>
      <c r="F35" s="10" t="n">
        <v>34</v>
      </c>
      <c r="G35" s="10" t="s">
        <v>77</v>
      </c>
      <c r="H35" s="10" t="s">
        <v>77</v>
      </c>
      <c r="I35" s="10" t="s">
        <v>77</v>
      </c>
      <c r="J35" s="10" t="s">
        <v>77</v>
      </c>
      <c r="K35" s="10" t="s">
        <v>77</v>
      </c>
      <c r="L35" s="10" t="s">
        <v>77</v>
      </c>
      <c r="M35" s="2" t="n">
        <v>20</v>
      </c>
      <c r="N35" s="10" t="s">
        <v>77</v>
      </c>
      <c r="O35" s="10"/>
      <c r="P35" s="10" t="s">
        <v>77</v>
      </c>
      <c r="Q35" s="10" t="s">
        <v>77</v>
      </c>
      <c r="R35" s="10" t="s">
        <v>77</v>
      </c>
      <c r="S35" s="10" t="s">
        <v>77</v>
      </c>
      <c r="T35" s="10" t="s">
        <v>77</v>
      </c>
      <c r="U35" s="10" t="s">
        <v>77</v>
      </c>
      <c r="V35" s="10" t="s">
        <v>77</v>
      </c>
      <c r="W35" s="10" t="s">
        <v>77</v>
      </c>
      <c r="X35" s="10" t="s">
        <v>77</v>
      </c>
      <c r="Y35" s="10" t="s">
        <v>77</v>
      </c>
      <c r="Z35" s="10" t="s">
        <v>77</v>
      </c>
      <c r="AA35" s="10" t="s">
        <v>77</v>
      </c>
      <c r="AB35" s="10"/>
      <c r="AC35" s="10" t="s">
        <v>77</v>
      </c>
      <c r="AD35" s="10" t="s">
        <v>77</v>
      </c>
      <c r="AE35" s="10" t="s">
        <v>77</v>
      </c>
      <c r="AF35" s="10" t="s">
        <v>77</v>
      </c>
      <c r="AG35" s="10" t="s">
        <v>77</v>
      </c>
      <c r="AH35" s="10" t="s">
        <v>77</v>
      </c>
      <c r="AI35" s="10" t="s">
        <v>77</v>
      </c>
      <c r="AJ35" s="10" t="s">
        <v>77</v>
      </c>
      <c r="AK35" s="10" t="s">
        <v>77</v>
      </c>
      <c r="AL35" s="10" t="s">
        <v>77</v>
      </c>
      <c r="AM35" s="10" t="s">
        <v>77</v>
      </c>
      <c r="AN35" s="10" t="s">
        <v>77</v>
      </c>
      <c r="AO35" s="10"/>
      <c r="AP35" s="10" t="s">
        <v>73</v>
      </c>
      <c r="AQ35" s="10" t="s">
        <v>73</v>
      </c>
      <c r="AS35" s="10"/>
      <c r="AT35" s="10"/>
      <c r="AU35" s="10"/>
      <c r="AV35" s="10"/>
      <c r="AW35" s="10"/>
      <c r="AX35" s="10" t="s">
        <v>78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R35" s="10" t="s">
        <v>78</v>
      </c>
      <c r="BS35" s="10"/>
      <c r="BT35" s="10"/>
      <c r="BU35" s="10"/>
      <c r="BV35" s="10"/>
      <c r="BW35" s="10"/>
      <c r="BX35" s="10"/>
      <c r="BY35" s="10"/>
      <c r="CA35" s="2" t="str">
        <f aca="false">IF(AS35="x","x",IF(AS35="-","-",""))</f>
        <v/>
      </c>
      <c r="CB35" s="2" t="str">
        <f aca="false">IF(AT35="x","x",IF(AT35="-","-",""))</f>
        <v/>
      </c>
      <c r="CC35" s="2" t="str">
        <f aca="false">IF(AU35="x","x",IF(AU35="-","-",""))</f>
        <v/>
      </c>
      <c r="CD35" s="2" t="str">
        <f aca="false">IF(AV35="x","x",IF(AV35="-","-",""))</f>
        <v/>
      </c>
      <c r="CE35" s="2" t="str">
        <f aca="false">IF(AW35="x","x",IF(AW35="-","-",""))</f>
        <v/>
      </c>
      <c r="CF35" s="2" t="str">
        <f aca="false">IF(AX35="x","x",IF(AX35="-","-",""))</f>
        <v>x</v>
      </c>
      <c r="CG35" s="2" t="str">
        <f aca="false">IF(AY35="x","x",IF(AY35="-","-",""))</f>
        <v/>
      </c>
      <c r="CH35" s="2" t="str">
        <f aca="false">IF(AZ35="x","x",IF(AZ35="-","-",""))</f>
        <v/>
      </c>
      <c r="CI35" s="2" t="str">
        <f aca="false">IF(BA35="x","x",IF(BA35="-","-",""))</f>
        <v/>
      </c>
      <c r="CJ35" s="2" t="str">
        <f aca="false">IF(BB35="x","x",IF(BB35="-","-",""))</f>
        <v/>
      </c>
      <c r="CK35" s="2" t="str">
        <f aca="false">IF(BC35="x","x",IF(BC35="-","-",""))</f>
        <v/>
      </c>
      <c r="CL35" s="2" t="str">
        <f aca="false">IF(BD35="x","x",IF(BD35="-","-",""))</f>
        <v/>
      </c>
      <c r="CM35" s="2" t="str">
        <f aca="false">IF(BE35="x","x",IF(BE35="-","-",""))</f>
        <v/>
      </c>
      <c r="CN35" s="2" t="str">
        <f aca="false">IF(BF35="x","x",IF(BF35="-","-",""))</f>
        <v/>
      </c>
      <c r="CO35" s="2" t="str">
        <f aca="false">IF(BG35="x","x",IF(BG35="-","-",""))</f>
        <v/>
      </c>
      <c r="CP35" s="2" t="str">
        <f aca="false">IF(BH35="x","x",IF(BH35="-","-",""))</f>
        <v/>
      </c>
      <c r="CQ35" s="2" t="str">
        <f aca="false">IF(BI35="x","x",IF(BI35="-","-",""))</f>
        <v/>
      </c>
      <c r="CR35" s="2" t="str">
        <f aca="false">IF(BJ35="x","x",IF(BJ35="-","-",""))</f>
        <v/>
      </c>
      <c r="CS35" s="2" t="str">
        <f aca="false">IF(BK35="x","x",IF(BK35="-","-",""))</f>
        <v/>
      </c>
      <c r="CT35" s="2" t="str">
        <f aca="false">IF(BL35="x","x",IF(BL35="-","-",""))</f>
        <v/>
      </c>
      <c r="CU35" s="2" t="str">
        <f aca="false">IF(BM35="x","x",IF(BM35="-","-",""))</f>
        <v/>
      </c>
      <c r="CV35" s="2" t="str">
        <f aca="false">IF(BN35="x","x",IF(BN35="-","-",""))</f>
        <v/>
      </c>
      <c r="CW35" s="2" t="str">
        <f aca="false">IF(BO35="x","x",IF(BO35="-","-",""))</f>
        <v/>
      </c>
      <c r="CX35" s="2" t="str">
        <f aca="false">IF(BP35="x","x",IF(BP35="-","-",""))</f>
        <v/>
      </c>
      <c r="CZ35" s="2" t="str">
        <f aca="false">IF(P35="x","x",IF(P35="-","-",""))</f>
        <v>-</v>
      </c>
      <c r="DA35" s="2" t="str">
        <f aca="false">IF(Q35="x","x",IF(Q35="-","-",""))</f>
        <v>-</v>
      </c>
      <c r="DB35" s="2" t="str">
        <f aca="false">IF(R35="x","x",IF(R35="-","-",""))</f>
        <v>-</v>
      </c>
      <c r="DC35" s="2" t="str">
        <f aca="false">IF(S35="x","x",IF(S35="-","-",""))</f>
        <v>-</v>
      </c>
      <c r="DD35" s="2" t="str">
        <f aca="false">IF(T35="x","x",IF(T35="-","-",""))</f>
        <v>-</v>
      </c>
      <c r="DE35" s="2" t="str">
        <f aca="false">IF(U35="x","x",IF(U35="-","-",""))</f>
        <v>-</v>
      </c>
      <c r="DF35" s="2" t="str">
        <f aca="false">IF(V35="x","x",IF(V35="-","-",""))</f>
        <v>-</v>
      </c>
      <c r="DG35" s="2" t="str">
        <f aca="false">IF(W35="x","x",IF(W35="-","-",""))</f>
        <v>-</v>
      </c>
      <c r="DH35" s="2" t="str">
        <f aca="false">IF(X35="x","x",IF(X35="-","-",""))</f>
        <v>-</v>
      </c>
      <c r="DI35" s="2" t="str">
        <f aca="false">IF(Y35="x","x",IF(Y35="-","-",""))</f>
        <v>-</v>
      </c>
      <c r="DJ35" s="2" t="str">
        <f aca="false">IF(Z35="x","x",IF(Z35="-","-",""))</f>
        <v>-</v>
      </c>
      <c r="DK35" s="2" t="str">
        <f aca="false">IF(AA35="x","x",IF(AA35="-","-",""))</f>
        <v>-</v>
      </c>
      <c r="DL35" s="10"/>
      <c r="DM35" s="2" t="str">
        <f aca="false">IF(AC35="x","x",IF(AC35="-","-",""))</f>
        <v>-</v>
      </c>
      <c r="DN35" s="2" t="str">
        <f aca="false">IF(AD35="x","x",IF(AD35="-","-",""))</f>
        <v>-</v>
      </c>
      <c r="DO35" s="2" t="str">
        <f aca="false">IF(AE35="x","x",IF(AE35="-","-",""))</f>
        <v>-</v>
      </c>
      <c r="DP35" s="2" t="str">
        <f aca="false">IF(AF35="x","x",IF(AF35="-","-",""))</f>
        <v>-</v>
      </c>
      <c r="DQ35" s="2" t="str">
        <f aca="false">IF(AG35="x","x",IF(AG35="-","-",""))</f>
        <v>-</v>
      </c>
      <c r="DR35" s="2" t="str">
        <f aca="false">IF(AH35="x","x",IF(AH35="-","-",""))</f>
        <v>-</v>
      </c>
      <c r="DS35" s="2" t="str">
        <f aca="false">IF(AI35="x","x",IF(AI35="-","-",""))</f>
        <v>-</v>
      </c>
      <c r="DT35" s="2" t="str">
        <f aca="false">IF(AJ35="x","x",IF(AJ35="-","-",""))</f>
        <v>-</v>
      </c>
      <c r="DU35" s="2" t="str">
        <f aca="false">IF(AK35="x","x",IF(AK35="-","-",""))</f>
        <v>-</v>
      </c>
      <c r="DV35" s="2" t="str">
        <f aca="false">IF(AL35="x","x",IF(AL35="-","-",""))</f>
        <v>-</v>
      </c>
      <c r="DW35" s="2" t="str">
        <f aca="false">IF(AM35="x","x",IF(AM35="-","-",""))</f>
        <v>-</v>
      </c>
      <c r="DX35" s="2" t="str">
        <f aca="false">IF(AN35="x","x",IF(AN35="-","-",""))</f>
        <v>-</v>
      </c>
    </row>
    <row r="36" customFormat="false" ht="13.8" hidden="false" customHeight="false" outlineLevel="0" collapsed="false">
      <c r="A36" s="10" t="s">
        <v>73</v>
      </c>
      <c r="B36" s="2" t="n">
        <v>35</v>
      </c>
      <c r="C36" s="11" t="s">
        <v>115</v>
      </c>
      <c r="D36" s="10" t="s">
        <v>109</v>
      </c>
      <c r="E36" s="10" t="s">
        <v>76</v>
      </c>
      <c r="F36" s="10" t="n">
        <v>35</v>
      </c>
      <c r="G36" s="10" t="s">
        <v>77</v>
      </c>
      <c r="H36" s="10" t="s">
        <v>77</v>
      </c>
      <c r="I36" s="10" t="s">
        <v>77</v>
      </c>
      <c r="J36" s="10" t="s">
        <v>77</v>
      </c>
      <c r="K36" s="10" t="s">
        <v>77</v>
      </c>
      <c r="L36" s="10" t="s">
        <v>77</v>
      </c>
      <c r="M36" s="2" t="n">
        <v>20</v>
      </c>
      <c r="N36" s="10" t="s">
        <v>77</v>
      </c>
      <c r="O36" s="10"/>
      <c r="P36" s="10" t="s">
        <v>77</v>
      </c>
      <c r="Q36" s="10" t="s">
        <v>77</v>
      </c>
      <c r="R36" s="10" t="s">
        <v>77</v>
      </c>
      <c r="S36" s="10" t="s">
        <v>77</v>
      </c>
      <c r="T36" s="10" t="s">
        <v>77</v>
      </c>
      <c r="U36" s="10" t="s">
        <v>77</v>
      </c>
      <c r="V36" s="10" t="s">
        <v>77</v>
      </c>
      <c r="W36" s="10" t="s">
        <v>77</v>
      </c>
      <c r="X36" s="10" t="s">
        <v>77</v>
      </c>
      <c r="Y36" s="10" t="s">
        <v>77</v>
      </c>
      <c r="Z36" s="10" t="s">
        <v>77</v>
      </c>
      <c r="AA36" s="10" t="s">
        <v>77</v>
      </c>
      <c r="AB36" s="10"/>
      <c r="AC36" s="10" t="s">
        <v>77</v>
      </c>
      <c r="AD36" s="10" t="s">
        <v>77</v>
      </c>
      <c r="AE36" s="10" t="s">
        <v>77</v>
      </c>
      <c r="AF36" s="10" t="s">
        <v>77</v>
      </c>
      <c r="AG36" s="10" t="s">
        <v>77</v>
      </c>
      <c r="AH36" s="10" t="s">
        <v>77</v>
      </c>
      <c r="AI36" s="10" t="s">
        <v>77</v>
      </c>
      <c r="AJ36" s="10" t="s">
        <v>77</v>
      </c>
      <c r="AK36" s="10" t="s">
        <v>77</v>
      </c>
      <c r="AL36" s="10" t="s">
        <v>77</v>
      </c>
      <c r="AM36" s="10" t="s">
        <v>77</v>
      </c>
      <c r="AN36" s="10" t="s">
        <v>77</v>
      </c>
      <c r="AO36" s="10"/>
      <c r="AP36" s="10" t="s">
        <v>73</v>
      </c>
      <c r="AQ36" s="10" t="s">
        <v>73</v>
      </c>
      <c r="AS36" s="10"/>
      <c r="AT36" s="10"/>
      <c r="AU36" s="10"/>
      <c r="AV36" s="10"/>
      <c r="AW36" s="10"/>
      <c r="AX36" s="10" t="s">
        <v>78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R36" s="10" t="s">
        <v>78</v>
      </c>
      <c r="BS36" s="10"/>
      <c r="BT36" s="10"/>
      <c r="BU36" s="10"/>
      <c r="BV36" s="10"/>
      <c r="BW36" s="10"/>
      <c r="BX36" s="10"/>
      <c r="BY36" s="10"/>
      <c r="CA36" s="2" t="str">
        <f aca="false">IF(AS36="x","x",IF(AS36="-","-",""))</f>
        <v/>
      </c>
      <c r="CB36" s="2" t="str">
        <f aca="false">IF(AT36="x","x",IF(AT36="-","-",""))</f>
        <v/>
      </c>
      <c r="CC36" s="2" t="str">
        <f aca="false">IF(AU36="x","x",IF(AU36="-","-",""))</f>
        <v/>
      </c>
      <c r="CD36" s="2" t="str">
        <f aca="false">IF(AV36="x","x",IF(AV36="-","-",""))</f>
        <v/>
      </c>
      <c r="CE36" s="2" t="str">
        <f aca="false">IF(AW36="x","x",IF(AW36="-","-",""))</f>
        <v/>
      </c>
      <c r="CF36" s="2" t="str">
        <f aca="false">IF(AX36="x","x",IF(AX36="-","-",""))</f>
        <v>x</v>
      </c>
      <c r="CG36" s="2" t="str">
        <f aca="false">IF(AY36="x","x",IF(AY36="-","-",""))</f>
        <v/>
      </c>
      <c r="CH36" s="2" t="str">
        <f aca="false">IF(AZ36="x","x",IF(AZ36="-","-",""))</f>
        <v/>
      </c>
      <c r="CI36" s="2" t="str">
        <f aca="false">IF(BA36="x","x",IF(BA36="-","-",""))</f>
        <v/>
      </c>
      <c r="CJ36" s="2" t="str">
        <f aca="false">IF(BB36="x","x",IF(BB36="-","-",""))</f>
        <v/>
      </c>
      <c r="CK36" s="2" t="str">
        <f aca="false">IF(BC36="x","x",IF(BC36="-","-",""))</f>
        <v/>
      </c>
      <c r="CL36" s="2" t="str">
        <f aca="false">IF(BD36="x","x",IF(BD36="-","-",""))</f>
        <v/>
      </c>
      <c r="CM36" s="2" t="str">
        <f aca="false">IF(BE36="x","x",IF(BE36="-","-",""))</f>
        <v/>
      </c>
      <c r="CN36" s="2" t="str">
        <f aca="false">IF(BF36="x","x",IF(BF36="-","-",""))</f>
        <v/>
      </c>
      <c r="CO36" s="2" t="str">
        <f aca="false">IF(BG36="x","x",IF(BG36="-","-",""))</f>
        <v/>
      </c>
      <c r="CP36" s="2" t="str">
        <f aca="false">IF(BH36="x","x",IF(BH36="-","-",""))</f>
        <v/>
      </c>
      <c r="CQ36" s="2" t="str">
        <f aca="false">IF(BI36="x","x",IF(BI36="-","-",""))</f>
        <v/>
      </c>
      <c r="CR36" s="2" t="str">
        <f aca="false">IF(BJ36="x","x",IF(BJ36="-","-",""))</f>
        <v/>
      </c>
      <c r="CS36" s="2" t="str">
        <f aca="false">IF(BK36="x","x",IF(BK36="-","-",""))</f>
        <v/>
      </c>
      <c r="CT36" s="2" t="str">
        <f aca="false">IF(BL36="x","x",IF(BL36="-","-",""))</f>
        <v/>
      </c>
      <c r="CU36" s="2" t="str">
        <f aca="false">IF(BM36="x","x",IF(BM36="-","-",""))</f>
        <v/>
      </c>
      <c r="CV36" s="2" t="str">
        <f aca="false">IF(BN36="x","x",IF(BN36="-","-",""))</f>
        <v/>
      </c>
      <c r="CW36" s="2" t="str">
        <f aca="false">IF(BO36="x","x",IF(BO36="-","-",""))</f>
        <v/>
      </c>
      <c r="CX36" s="2" t="str">
        <f aca="false">IF(BP36="x","x",IF(BP36="-","-",""))</f>
        <v/>
      </c>
      <c r="CZ36" s="2" t="str">
        <f aca="false">IF(P36="x","x",IF(P36="-","-",""))</f>
        <v>-</v>
      </c>
      <c r="DA36" s="2" t="str">
        <f aca="false">IF(Q36="x","x",IF(Q36="-","-",""))</f>
        <v>-</v>
      </c>
      <c r="DB36" s="2" t="str">
        <f aca="false">IF(R36="x","x",IF(R36="-","-",""))</f>
        <v>-</v>
      </c>
      <c r="DC36" s="2" t="str">
        <f aca="false">IF(S36="x","x",IF(S36="-","-",""))</f>
        <v>-</v>
      </c>
      <c r="DD36" s="2" t="str">
        <f aca="false">IF(T36="x","x",IF(T36="-","-",""))</f>
        <v>-</v>
      </c>
      <c r="DE36" s="2" t="str">
        <f aca="false">IF(U36="x","x",IF(U36="-","-",""))</f>
        <v>-</v>
      </c>
      <c r="DF36" s="2" t="str">
        <f aca="false">IF(V36="x","x",IF(V36="-","-",""))</f>
        <v>-</v>
      </c>
      <c r="DG36" s="2" t="str">
        <f aca="false">IF(W36="x","x",IF(W36="-","-",""))</f>
        <v>-</v>
      </c>
      <c r="DH36" s="2" t="str">
        <f aca="false">IF(X36="x","x",IF(X36="-","-",""))</f>
        <v>-</v>
      </c>
      <c r="DI36" s="2" t="str">
        <f aca="false">IF(Y36="x","x",IF(Y36="-","-",""))</f>
        <v>-</v>
      </c>
      <c r="DJ36" s="2" t="str">
        <f aca="false">IF(Z36="x","x",IF(Z36="-","-",""))</f>
        <v>-</v>
      </c>
      <c r="DK36" s="2" t="str">
        <f aca="false">IF(AA36="x","x",IF(AA36="-","-",""))</f>
        <v>-</v>
      </c>
      <c r="DL36" s="10"/>
      <c r="DM36" s="2" t="str">
        <f aca="false">IF(AC36="x","x",IF(AC36="-","-",""))</f>
        <v>-</v>
      </c>
      <c r="DN36" s="2" t="str">
        <f aca="false">IF(AD36="x","x",IF(AD36="-","-",""))</f>
        <v>-</v>
      </c>
      <c r="DO36" s="2" t="str">
        <f aca="false">IF(AE36="x","x",IF(AE36="-","-",""))</f>
        <v>-</v>
      </c>
      <c r="DP36" s="2" t="str">
        <f aca="false">IF(AF36="x","x",IF(AF36="-","-",""))</f>
        <v>-</v>
      </c>
      <c r="DQ36" s="2" t="str">
        <f aca="false">IF(AG36="x","x",IF(AG36="-","-",""))</f>
        <v>-</v>
      </c>
      <c r="DR36" s="2" t="str">
        <f aca="false">IF(AH36="x","x",IF(AH36="-","-",""))</f>
        <v>-</v>
      </c>
      <c r="DS36" s="2" t="str">
        <f aca="false">IF(AI36="x","x",IF(AI36="-","-",""))</f>
        <v>-</v>
      </c>
      <c r="DT36" s="2" t="str">
        <f aca="false">IF(AJ36="x","x",IF(AJ36="-","-",""))</f>
        <v>-</v>
      </c>
      <c r="DU36" s="2" t="str">
        <f aca="false">IF(AK36="x","x",IF(AK36="-","-",""))</f>
        <v>-</v>
      </c>
      <c r="DV36" s="2" t="str">
        <f aca="false">IF(AL36="x","x",IF(AL36="-","-",""))</f>
        <v>-</v>
      </c>
      <c r="DW36" s="2" t="str">
        <f aca="false">IF(AM36="x","x",IF(AM36="-","-",""))</f>
        <v>-</v>
      </c>
      <c r="DX36" s="2" t="str">
        <f aca="false">IF(AN36="x","x",IF(AN36="-","-",""))</f>
        <v>-</v>
      </c>
    </row>
    <row r="37" customFormat="false" ht="13.8" hidden="false" customHeight="false" outlineLevel="0" collapsed="false">
      <c r="A37" s="10" t="s">
        <v>73</v>
      </c>
      <c r="B37" s="2" t="n">
        <v>36</v>
      </c>
      <c r="C37" s="11" t="s">
        <v>116</v>
      </c>
      <c r="D37" s="10" t="s">
        <v>109</v>
      </c>
      <c r="E37" s="10" t="s">
        <v>76</v>
      </c>
      <c r="F37" s="10" t="n">
        <v>36</v>
      </c>
      <c r="G37" s="10" t="s">
        <v>77</v>
      </c>
      <c r="H37" s="10" t="s">
        <v>77</v>
      </c>
      <c r="I37" s="10" t="s">
        <v>77</v>
      </c>
      <c r="J37" s="10" t="s">
        <v>77</v>
      </c>
      <c r="K37" s="10" t="s">
        <v>77</v>
      </c>
      <c r="L37" s="10" t="s">
        <v>77</v>
      </c>
      <c r="M37" s="2" t="n">
        <v>20</v>
      </c>
      <c r="N37" s="10" t="s">
        <v>77</v>
      </c>
      <c r="O37" s="10"/>
      <c r="P37" s="10" t="s">
        <v>77</v>
      </c>
      <c r="Q37" s="10" t="s">
        <v>77</v>
      </c>
      <c r="R37" s="10" t="s">
        <v>77</v>
      </c>
      <c r="S37" s="10" t="s">
        <v>77</v>
      </c>
      <c r="T37" s="10" t="s">
        <v>77</v>
      </c>
      <c r="U37" s="10" t="s">
        <v>77</v>
      </c>
      <c r="V37" s="10" t="s">
        <v>77</v>
      </c>
      <c r="W37" s="10" t="s">
        <v>77</v>
      </c>
      <c r="X37" s="10" t="s">
        <v>77</v>
      </c>
      <c r="Y37" s="10" t="s">
        <v>77</v>
      </c>
      <c r="Z37" s="10" t="s">
        <v>77</v>
      </c>
      <c r="AA37" s="10" t="s">
        <v>77</v>
      </c>
      <c r="AB37" s="10"/>
      <c r="AC37" s="10" t="s">
        <v>77</v>
      </c>
      <c r="AD37" s="10" t="s">
        <v>77</v>
      </c>
      <c r="AE37" s="10" t="s">
        <v>77</v>
      </c>
      <c r="AF37" s="10" t="s">
        <v>77</v>
      </c>
      <c r="AG37" s="10" t="s">
        <v>77</v>
      </c>
      <c r="AH37" s="10" t="s">
        <v>77</v>
      </c>
      <c r="AI37" s="10" t="s">
        <v>77</v>
      </c>
      <c r="AJ37" s="10" t="s">
        <v>77</v>
      </c>
      <c r="AK37" s="10" t="s">
        <v>77</v>
      </c>
      <c r="AL37" s="10" t="s">
        <v>77</v>
      </c>
      <c r="AM37" s="10" t="s">
        <v>77</v>
      </c>
      <c r="AN37" s="10" t="s">
        <v>77</v>
      </c>
      <c r="AO37" s="10"/>
      <c r="AP37" s="10" t="s">
        <v>73</v>
      </c>
      <c r="AQ37" s="10" t="s">
        <v>73</v>
      </c>
      <c r="AS37" s="10"/>
      <c r="AT37" s="10"/>
      <c r="AU37" s="10"/>
      <c r="AV37" s="10"/>
      <c r="AW37" s="10"/>
      <c r="AX37" s="10" t="s">
        <v>78</v>
      </c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R37" s="10" t="s">
        <v>78</v>
      </c>
      <c r="BS37" s="10"/>
      <c r="BT37" s="10"/>
      <c r="BU37" s="10"/>
      <c r="BV37" s="10"/>
      <c r="BW37" s="10"/>
      <c r="BX37" s="10"/>
      <c r="BY37" s="10"/>
      <c r="CA37" s="2" t="str">
        <f aca="false">IF(AS37="x","x",IF(AS37="-","-",""))</f>
        <v/>
      </c>
      <c r="CB37" s="2" t="str">
        <f aca="false">IF(AT37="x","x",IF(AT37="-","-",""))</f>
        <v/>
      </c>
      <c r="CC37" s="2" t="str">
        <f aca="false">IF(AU37="x","x",IF(AU37="-","-",""))</f>
        <v/>
      </c>
      <c r="CD37" s="2" t="str">
        <f aca="false">IF(AV37="x","x",IF(AV37="-","-",""))</f>
        <v/>
      </c>
      <c r="CE37" s="2" t="str">
        <f aca="false">IF(AW37="x","x",IF(AW37="-","-",""))</f>
        <v/>
      </c>
      <c r="CF37" s="2" t="str">
        <f aca="false">IF(AX37="x","x",IF(AX37="-","-",""))</f>
        <v>x</v>
      </c>
      <c r="CG37" s="2" t="str">
        <f aca="false">IF(AY37="x","x",IF(AY37="-","-",""))</f>
        <v/>
      </c>
      <c r="CH37" s="2" t="str">
        <f aca="false">IF(AZ37="x","x",IF(AZ37="-","-",""))</f>
        <v/>
      </c>
      <c r="CI37" s="2" t="str">
        <f aca="false">IF(BA37="x","x",IF(BA37="-","-",""))</f>
        <v/>
      </c>
      <c r="CJ37" s="2" t="str">
        <f aca="false">IF(BB37="x","x",IF(BB37="-","-",""))</f>
        <v/>
      </c>
      <c r="CK37" s="2" t="str">
        <f aca="false">IF(BC37="x","x",IF(BC37="-","-",""))</f>
        <v/>
      </c>
      <c r="CL37" s="2" t="str">
        <f aca="false">IF(BD37="x","x",IF(BD37="-","-",""))</f>
        <v/>
      </c>
      <c r="CM37" s="2" t="str">
        <f aca="false">IF(BE37="x","x",IF(BE37="-","-",""))</f>
        <v/>
      </c>
      <c r="CN37" s="2" t="str">
        <f aca="false">IF(BF37="x","x",IF(BF37="-","-",""))</f>
        <v/>
      </c>
      <c r="CO37" s="2" t="str">
        <f aca="false">IF(BG37="x","x",IF(BG37="-","-",""))</f>
        <v/>
      </c>
      <c r="CP37" s="2" t="str">
        <f aca="false">IF(BH37="x","x",IF(BH37="-","-",""))</f>
        <v/>
      </c>
      <c r="CQ37" s="2" t="str">
        <f aca="false">IF(BI37="x","x",IF(BI37="-","-",""))</f>
        <v/>
      </c>
      <c r="CR37" s="2" t="str">
        <f aca="false">IF(BJ37="x","x",IF(BJ37="-","-",""))</f>
        <v/>
      </c>
      <c r="CS37" s="2" t="str">
        <f aca="false">IF(BK37="x","x",IF(BK37="-","-",""))</f>
        <v/>
      </c>
      <c r="CT37" s="2" t="str">
        <f aca="false">IF(BL37="x","x",IF(BL37="-","-",""))</f>
        <v/>
      </c>
      <c r="CU37" s="2" t="str">
        <f aca="false">IF(BM37="x","x",IF(BM37="-","-",""))</f>
        <v/>
      </c>
      <c r="CV37" s="2" t="str">
        <f aca="false">IF(BN37="x","x",IF(BN37="-","-",""))</f>
        <v/>
      </c>
      <c r="CW37" s="2" t="str">
        <f aca="false">IF(BO37="x","x",IF(BO37="-","-",""))</f>
        <v/>
      </c>
      <c r="CX37" s="2" t="str">
        <f aca="false">IF(BP37="x","x",IF(BP37="-","-",""))</f>
        <v/>
      </c>
      <c r="CZ37" s="2" t="str">
        <f aca="false">IF(P37="x","x",IF(P37="-","-",""))</f>
        <v>-</v>
      </c>
      <c r="DA37" s="2" t="str">
        <f aca="false">IF(Q37="x","x",IF(Q37="-","-",""))</f>
        <v>-</v>
      </c>
      <c r="DB37" s="2" t="str">
        <f aca="false">IF(R37="x","x",IF(R37="-","-",""))</f>
        <v>-</v>
      </c>
      <c r="DC37" s="2" t="str">
        <f aca="false">IF(S37="x","x",IF(S37="-","-",""))</f>
        <v>-</v>
      </c>
      <c r="DD37" s="2" t="str">
        <f aca="false">IF(T37="x","x",IF(T37="-","-",""))</f>
        <v>-</v>
      </c>
      <c r="DE37" s="2" t="str">
        <f aca="false">IF(U37="x","x",IF(U37="-","-",""))</f>
        <v>-</v>
      </c>
      <c r="DF37" s="2" t="str">
        <f aca="false">IF(V37="x","x",IF(V37="-","-",""))</f>
        <v>-</v>
      </c>
      <c r="DG37" s="2" t="str">
        <f aca="false">IF(W37="x","x",IF(W37="-","-",""))</f>
        <v>-</v>
      </c>
      <c r="DH37" s="2" t="str">
        <f aca="false">IF(X37="x","x",IF(X37="-","-",""))</f>
        <v>-</v>
      </c>
      <c r="DI37" s="2" t="str">
        <f aca="false">IF(Y37="x","x",IF(Y37="-","-",""))</f>
        <v>-</v>
      </c>
      <c r="DJ37" s="2" t="str">
        <f aca="false">IF(Z37="x","x",IF(Z37="-","-",""))</f>
        <v>-</v>
      </c>
      <c r="DK37" s="2" t="str">
        <f aca="false">IF(AA37="x","x",IF(AA37="-","-",""))</f>
        <v>-</v>
      </c>
      <c r="DL37" s="10"/>
      <c r="DM37" s="2" t="str">
        <f aca="false">IF(AC37="x","x",IF(AC37="-","-",""))</f>
        <v>-</v>
      </c>
      <c r="DN37" s="2" t="str">
        <f aca="false">IF(AD37="x","x",IF(AD37="-","-",""))</f>
        <v>-</v>
      </c>
      <c r="DO37" s="2" t="str">
        <f aca="false">IF(AE37="x","x",IF(AE37="-","-",""))</f>
        <v>-</v>
      </c>
      <c r="DP37" s="2" t="str">
        <f aca="false">IF(AF37="x","x",IF(AF37="-","-",""))</f>
        <v>-</v>
      </c>
      <c r="DQ37" s="2" t="str">
        <f aca="false">IF(AG37="x","x",IF(AG37="-","-",""))</f>
        <v>-</v>
      </c>
      <c r="DR37" s="2" t="str">
        <f aca="false">IF(AH37="x","x",IF(AH37="-","-",""))</f>
        <v>-</v>
      </c>
      <c r="DS37" s="2" t="str">
        <f aca="false">IF(AI37="x","x",IF(AI37="-","-",""))</f>
        <v>-</v>
      </c>
      <c r="DT37" s="2" t="str">
        <f aca="false">IF(AJ37="x","x",IF(AJ37="-","-",""))</f>
        <v>-</v>
      </c>
      <c r="DU37" s="2" t="str">
        <f aca="false">IF(AK37="x","x",IF(AK37="-","-",""))</f>
        <v>-</v>
      </c>
      <c r="DV37" s="2" t="str">
        <f aca="false">IF(AL37="x","x",IF(AL37="-","-",""))</f>
        <v>-</v>
      </c>
      <c r="DW37" s="2" t="str">
        <f aca="false">IF(AM37="x","x",IF(AM37="-","-",""))</f>
        <v>-</v>
      </c>
      <c r="DX37" s="2" t="str">
        <f aca="false">IF(AN37="x","x",IF(AN37="-","-",""))</f>
        <v>-</v>
      </c>
    </row>
    <row r="38" customFormat="false" ht="13.8" hidden="false" customHeight="false" outlineLevel="0" collapsed="false">
      <c r="A38" s="10" t="s">
        <v>73</v>
      </c>
      <c r="B38" s="2" t="n">
        <v>37</v>
      </c>
      <c r="C38" s="11" t="s">
        <v>91</v>
      </c>
      <c r="D38" s="10" t="s">
        <v>92</v>
      </c>
      <c r="E38" s="10" t="s">
        <v>76</v>
      </c>
      <c r="F38" s="10" t="n">
        <v>37</v>
      </c>
      <c r="G38" s="10" t="s">
        <v>77</v>
      </c>
      <c r="H38" s="10" t="s">
        <v>77</v>
      </c>
      <c r="I38" s="10" t="s">
        <v>77</v>
      </c>
      <c r="J38" s="10" t="s">
        <v>77</v>
      </c>
      <c r="K38" s="10" t="s">
        <v>77</v>
      </c>
      <c r="L38" s="10" t="s">
        <v>77</v>
      </c>
      <c r="M38" s="2" t="n">
        <v>20</v>
      </c>
      <c r="N38" s="10" t="s">
        <v>77</v>
      </c>
      <c r="O38" s="10"/>
      <c r="P38" s="10" t="s">
        <v>77</v>
      </c>
      <c r="Q38" s="10" t="s">
        <v>77</v>
      </c>
      <c r="R38" s="10" t="s">
        <v>77</v>
      </c>
      <c r="S38" s="10" t="s">
        <v>77</v>
      </c>
      <c r="T38" s="10" t="s">
        <v>77</v>
      </c>
      <c r="U38" s="10" t="s">
        <v>77</v>
      </c>
      <c r="V38" s="10" t="s">
        <v>77</v>
      </c>
      <c r="W38" s="10" t="s">
        <v>77</v>
      </c>
      <c r="X38" s="10" t="s">
        <v>77</v>
      </c>
      <c r="Y38" s="10" t="s">
        <v>77</v>
      </c>
      <c r="Z38" s="10" t="s">
        <v>77</v>
      </c>
      <c r="AA38" s="10" t="s">
        <v>77</v>
      </c>
      <c r="AB38" s="10"/>
      <c r="AC38" s="10" t="s">
        <v>77</v>
      </c>
      <c r="AD38" s="10" t="s">
        <v>77</v>
      </c>
      <c r="AE38" s="10" t="s">
        <v>77</v>
      </c>
      <c r="AF38" s="10" t="s">
        <v>77</v>
      </c>
      <c r="AG38" s="10" t="s">
        <v>77</v>
      </c>
      <c r="AH38" s="10" t="s">
        <v>77</v>
      </c>
      <c r="AI38" s="10" t="s">
        <v>77</v>
      </c>
      <c r="AJ38" s="10" t="s">
        <v>77</v>
      </c>
      <c r="AK38" s="10" t="s">
        <v>77</v>
      </c>
      <c r="AL38" s="10" t="s">
        <v>77</v>
      </c>
      <c r="AM38" s="10" t="s">
        <v>77</v>
      </c>
      <c r="AN38" s="10" t="s">
        <v>77</v>
      </c>
      <c r="AO38" s="10"/>
      <c r="AP38" s="10" t="s">
        <v>73</v>
      </c>
      <c r="AQ38" s="10" t="s">
        <v>73</v>
      </c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R38" s="10" t="s">
        <v>78</v>
      </c>
      <c r="BS38" s="10"/>
      <c r="BT38" s="10"/>
      <c r="BU38" s="10"/>
      <c r="BV38" s="10"/>
      <c r="BW38" s="10"/>
      <c r="BX38" s="10"/>
      <c r="BY38" s="10"/>
      <c r="CA38" s="2" t="str">
        <f aca="false">IF(AS38="x","x",IF(AS38="-","-",""))</f>
        <v/>
      </c>
      <c r="CB38" s="2" t="str">
        <f aca="false">IF(AT38="x","x",IF(AT38="-","-",""))</f>
        <v/>
      </c>
      <c r="CC38" s="2" t="str">
        <f aca="false">IF(AU38="x","x",IF(AU38="-","-",""))</f>
        <v/>
      </c>
      <c r="CD38" s="2" t="str">
        <f aca="false">IF(AV38="x","x",IF(AV38="-","-",""))</f>
        <v/>
      </c>
      <c r="CE38" s="2" t="str">
        <f aca="false">IF(AW38="x","x",IF(AW38="-","-",""))</f>
        <v/>
      </c>
      <c r="CF38" s="2" t="str">
        <f aca="false">IF(AX38="x","x",IF(AX38="-","-",""))</f>
        <v/>
      </c>
      <c r="CG38" s="2" t="str">
        <f aca="false">IF(AY38="x","x",IF(AY38="-","-",""))</f>
        <v/>
      </c>
      <c r="CH38" s="2" t="str">
        <f aca="false">IF(AZ38="x","x",IF(AZ38="-","-",""))</f>
        <v/>
      </c>
      <c r="CI38" s="2" t="str">
        <f aca="false">IF(BA38="x","x",IF(BA38="-","-",""))</f>
        <v/>
      </c>
      <c r="CJ38" s="2" t="str">
        <f aca="false">IF(BB38="x","x",IF(BB38="-","-",""))</f>
        <v/>
      </c>
      <c r="CK38" s="2" t="str">
        <f aca="false">IF(BC38="x","x",IF(BC38="-","-",""))</f>
        <v/>
      </c>
      <c r="CL38" s="2" t="str">
        <f aca="false">IF(BD38="x","x",IF(BD38="-","-",""))</f>
        <v/>
      </c>
      <c r="CM38" s="2" t="str">
        <f aca="false">IF(BE38="x","x",IF(BE38="-","-",""))</f>
        <v/>
      </c>
      <c r="CN38" s="2" t="str">
        <f aca="false">IF(BF38="x","x",IF(BF38="-","-",""))</f>
        <v/>
      </c>
      <c r="CO38" s="2" t="str">
        <f aca="false">IF(BG38="x","x",IF(BG38="-","-",""))</f>
        <v/>
      </c>
      <c r="CP38" s="2" t="str">
        <f aca="false">IF(BH38="x","x",IF(BH38="-","-",""))</f>
        <v/>
      </c>
      <c r="CQ38" s="2" t="str">
        <f aca="false">IF(BI38="x","x",IF(BI38="-","-",""))</f>
        <v/>
      </c>
      <c r="CR38" s="2" t="str">
        <f aca="false">IF(BJ38="x","x",IF(BJ38="-","-",""))</f>
        <v/>
      </c>
      <c r="CS38" s="2" t="str">
        <f aca="false">IF(BK38="x","x",IF(BK38="-","-",""))</f>
        <v/>
      </c>
      <c r="CT38" s="2" t="str">
        <f aca="false">IF(BL38="x","x",IF(BL38="-","-",""))</f>
        <v/>
      </c>
      <c r="CU38" s="2" t="str">
        <f aca="false">IF(BM38="x","x",IF(BM38="-","-",""))</f>
        <v/>
      </c>
      <c r="CV38" s="2" t="str">
        <f aca="false">IF(BN38="x","x",IF(BN38="-","-",""))</f>
        <v/>
      </c>
      <c r="CW38" s="2" t="str">
        <f aca="false">IF(BO38="x","x",IF(BO38="-","-",""))</f>
        <v/>
      </c>
      <c r="CX38" s="2" t="str">
        <f aca="false">IF(BP38="x","x",IF(BP38="-","-",""))</f>
        <v/>
      </c>
      <c r="CZ38" s="2" t="str">
        <f aca="false">IF(P38="x","x",IF(P38="-","-",""))</f>
        <v>-</v>
      </c>
      <c r="DA38" s="2" t="str">
        <f aca="false">IF(Q38="x","x",IF(Q38="-","-",""))</f>
        <v>-</v>
      </c>
      <c r="DB38" s="2" t="str">
        <f aca="false">IF(R38="x","x",IF(R38="-","-",""))</f>
        <v>-</v>
      </c>
      <c r="DC38" s="2" t="str">
        <f aca="false">IF(S38="x","x",IF(S38="-","-",""))</f>
        <v>-</v>
      </c>
      <c r="DD38" s="2" t="str">
        <f aca="false">IF(T38="x","x",IF(T38="-","-",""))</f>
        <v>-</v>
      </c>
      <c r="DE38" s="2" t="str">
        <f aca="false">IF(U38="x","x",IF(U38="-","-",""))</f>
        <v>-</v>
      </c>
      <c r="DF38" s="2" t="str">
        <f aca="false">IF(V38="x","x",IF(V38="-","-",""))</f>
        <v>-</v>
      </c>
      <c r="DG38" s="2" t="str">
        <f aca="false">IF(W38="x","x",IF(W38="-","-",""))</f>
        <v>-</v>
      </c>
      <c r="DH38" s="2" t="str">
        <f aca="false">IF(X38="x","x",IF(X38="-","-",""))</f>
        <v>-</v>
      </c>
      <c r="DI38" s="2" t="str">
        <f aca="false">IF(Y38="x","x",IF(Y38="-","-",""))</f>
        <v>-</v>
      </c>
      <c r="DJ38" s="2" t="str">
        <f aca="false">IF(Z38="x","x",IF(Z38="-","-",""))</f>
        <v>-</v>
      </c>
      <c r="DK38" s="2" t="str">
        <f aca="false">IF(AA38="x","x",IF(AA38="-","-",""))</f>
        <v>-</v>
      </c>
      <c r="DL38" s="10"/>
      <c r="DM38" s="2" t="str">
        <f aca="false">IF(AC38="x","x",IF(AC38="-","-",""))</f>
        <v>-</v>
      </c>
      <c r="DN38" s="2" t="str">
        <f aca="false">IF(AD38="x","x",IF(AD38="-","-",""))</f>
        <v>-</v>
      </c>
      <c r="DO38" s="2" t="str">
        <f aca="false">IF(AE38="x","x",IF(AE38="-","-",""))</f>
        <v>-</v>
      </c>
      <c r="DP38" s="2" t="str">
        <f aca="false">IF(AF38="x","x",IF(AF38="-","-",""))</f>
        <v>-</v>
      </c>
      <c r="DQ38" s="2" t="str">
        <f aca="false">IF(AG38="x","x",IF(AG38="-","-",""))</f>
        <v>-</v>
      </c>
      <c r="DR38" s="2" t="str">
        <f aca="false">IF(AH38="x","x",IF(AH38="-","-",""))</f>
        <v>-</v>
      </c>
      <c r="DS38" s="2" t="str">
        <f aca="false">IF(AI38="x","x",IF(AI38="-","-",""))</f>
        <v>-</v>
      </c>
      <c r="DT38" s="2" t="str">
        <f aca="false">IF(AJ38="x","x",IF(AJ38="-","-",""))</f>
        <v>-</v>
      </c>
      <c r="DU38" s="2" t="str">
        <f aca="false">IF(AK38="x","x",IF(AK38="-","-",""))</f>
        <v>-</v>
      </c>
      <c r="DV38" s="2" t="str">
        <f aca="false">IF(AL38="x","x",IF(AL38="-","-",""))</f>
        <v>-</v>
      </c>
      <c r="DW38" s="2" t="str">
        <f aca="false">IF(AM38="x","x",IF(AM38="-","-",""))</f>
        <v>-</v>
      </c>
      <c r="DX38" s="2" t="str">
        <f aca="false">IF(AN38="x","x",IF(AN38="-","-",""))</f>
        <v>-</v>
      </c>
    </row>
    <row r="39" customFormat="false" ht="13.8" hidden="false" customHeight="false" outlineLevel="0" collapsed="false">
      <c r="A39" s="10" t="s">
        <v>73</v>
      </c>
      <c r="B39" s="2" t="n">
        <v>38</v>
      </c>
      <c r="C39" s="11" t="s">
        <v>91</v>
      </c>
      <c r="D39" s="10" t="s">
        <v>92</v>
      </c>
      <c r="E39" s="10" t="s">
        <v>76</v>
      </c>
      <c r="F39" s="10" t="n">
        <v>38</v>
      </c>
      <c r="G39" s="10" t="s">
        <v>77</v>
      </c>
      <c r="H39" s="10" t="s">
        <v>77</v>
      </c>
      <c r="I39" s="10" t="s">
        <v>77</v>
      </c>
      <c r="J39" s="10" t="s">
        <v>77</v>
      </c>
      <c r="K39" s="10" t="s">
        <v>77</v>
      </c>
      <c r="L39" s="10" t="s">
        <v>77</v>
      </c>
      <c r="M39" s="2" t="n">
        <v>20</v>
      </c>
      <c r="N39" s="10" t="s">
        <v>77</v>
      </c>
      <c r="O39" s="10"/>
      <c r="P39" s="10" t="s">
        <v>77</v>
      </c>
      <c r="Q39" s="10" t="s">
        <v>77</v>
      </c>
      <c r="R39" s="10" t="s">
        <v>77</v>
      </c>
      <c r="S39" s="10" t="s">
        <v>77</v>
      </c>
      <c r="T39" s="10" t="s">
        <v>77</v>
      </c>
      <c r="U39" s="10" t="s">
        <v>77</v>
      </c>
      <c r="V39" s="10" t="s">
        <v>77</v>
      </c>
      <c r="W39" s="10" t="s">
        <v>77</v>
      </c>
      <c r="X39" s="10" t="s">
        <v>77</v>
      </c>
      <c r="Y39" s="10" t="s">
        <v>77</v>
      </c>
      <c r="Z39" s="10" t="s">
        <v>77</v>
      </c>
      <c r="AA39" s="10" t="s">
        <v>77</v>
      </c>
      <c r="AB39" s="10"/>
      <c r="AC39" s="10" t="s">
        <v>77</v>
      </c>
      <c r="AD39" s="10" t="s">
        <v>77</v>
      </c>
      <c r="AE39" s="10" t="s">
        <v>77</v>
      </c>
      <c r="AF39" s="10" t="s">
        <v>77</v>
      </c>
      <c r="AG39" s="10" t="s">
        <v>77</v>
      </c>
      <c r="AH39" s="10" t="s">
        <v>77</v>
      </c>
      <c r="AI39" s="10" t="s">
        <v>77</v>
      </c>
      <c r="AJ39" s="10" t="s">
        <v>77</v>
      </c>
      <c r="AK39" s="10" t="s">
        <v>77</v>
      </c>
      <c r="AL39" s="10" t="s">
        <v>77</v>
      </c>
      <c r="AM39" s="10" t="s">
        <v>77</v>
      </c>
      <c r="AN39" s="10" t="s">
        <v>77</v>
      </c>
      <c r="AO39" s="10"/>
      <c r="AP39" s="10" t="s">
        <v>73</v>
      </c>
      <c r="AQ39" s="10" t="s">
        <v>73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R39" s="10" t="s">
        <v>78</v>
      </c>
      <c r="BS39" s="10"/>
      <c r="BT39" s="10"/>
      <c r="BU39" s="10"/>
      <c r="BV39" s="10"/>
      <c r="BW39" s="10"/>
      <c r="BX39" s="10"/>
      <c r="BY39" s="10"/>
      <c r="CA39" s="2" t="str">
        <f aca="false">IF(AS39="x","x",IF(AS39="-","-",""))</f>
        <v/>
      </c>
      <c r="CB39" s="2" t="str">
        <f aca="false">IF(AT39="x","x",IF(AT39="-","-",""))</f>
        <v/>
      </c>
      <c r="CC39" s="2" t="str">
        <f aca="false">IF(AU39="x","x",IF(AU39="-","-",""))</f>
        <v/>
      </c>
      <c r="CD39" s="2" t="str">
        <f aca="false">IF(AV39="x","x",IF(AV39="-","-",""))</f>
        <v/>
      </c>
      <c r="CE39" s="2" t="str">
        <f aca="false">IF(AW39="x","x",IF(AW39="-","-",""))</f>
        <v/>
      </c>
      <c r="CF39" s="2" t="str">
        <f aca="false">IF(AX39="x","x",IF(AX39="-","-",""))</f>
        <v/>
      </c>
      <c r="CG39" s="2" t="str">
        <f aca="false">IF(AY39="x","x",IF(AY39="-","-",""))</f>
        <v/>
      </c>
      <c r="CH39" s="2" t="str">
        <f aca="false">IF(AZ39="x","x",IF(AZ39="-","-",""))</f>
        <v/>
      </c>
      <c r="CI39" s="2" t="str">
        <f aca="false">IF(BA39="x","x",IF(BA39="-","-",""))</f>
        <v/>
      </c>
      <c r="CJ39" s="2" t="str">
        <f aca="false">IF(BB39="x","x",IF(BB39="-","-",""))</f>
        <v/>
      </c>
      <c r="CK39" s="2" t="str">
        <f aca="false">IF(BC39="x","x",IF(BC39="-","-",""))</f>
        <v/>
      </c>
      <c r="CL39" s="2" t="str">
        <f aca="false">IF(BD39="x","x",IF(BD39="-","-",""))</f>
        <v/>
      </c>
      <c r="CM39" s="2" t="str">
        <f aca="false">IF(BE39="x","x",IF(BE39="-","-",""))</f>
        <v/>
      </c>
      <c r="CN39" s="2" t="str">
        <f aca="false">IF(BF39="x","x",IF(BF39="-","-",""))</f>
        <v/>
      </c>
      <c r="CO39" s="2" t="str">
        <f aca="false">IF(BG39="x","x",IF(BG39="-","-",""))</f>
        <v/>
      </c>
      <c r="CP39" s="2" t="str">
        <f aca="false">IF(BH39="x","x",IF(BH39="-","-",""))</f>
        <v/>
      </c>
      <c r="CQ39" s="2" t="str">
        <f aca="false">IF(BI39="x","x",IF(BI39="-","-",""))</f>
        <v/>
      </c>
      <c r="CR39" s="2" t="str">
        <f aca="false">IF(BJ39="x","x",IF(BJ39="-","-",""))</f>
        <v/>
      </c>
      <c r="CS39" s="2" t="str">
        <f aca="false">IF(BK39="x","x",IF(BK39="-","-",""))</f>
        <v/>
      </c>
      <c r="CT39" s="2" t="str">
        <f aca="false">IF(BL39="x","x",IF(BL39="-","-",""))</f>
        <v/>
      </c>
      <c r="CU39" s="2" t="str">
        <f aca="false">IF(BM39="x","x",IF(BM39="-","-",""))</f>
        <v/>
      </c>
      <c r="CV39" s="2" t="str">
        <f aca="false">IF(BN39="x","x",IF(BN39="-","-",""))</f>
        <v/>
      </c>
      <c r="CW39" s="2" t="str">
        <f aca="false">IF(BO39="x","x",IF(BO39="-","-",""))</f>
        <v/>
      </c>
      <c r="CX39" s="2" t="str">
        <f aca="false">IF(BP39="x","x",IF(BP39="-","-",""))</f>
        <v/>
      </c>
      <c r="CZ39" s="2" t="str">
        <f aca="false">IF(P39="x","x",IF(P39="-","-",""))</f>
        <v>-</v>
      </c>
      <c r="DA39" s="2" t="str">
        <f aca="false">IF(Q39="x","x",IF(Q39="-","-",""))</f>
        <v>-</v>
      </c>
      <c r="DB39" s="2" t="str">
        <f aca="false">IF(R39="x","x",IF(R39="-","-",""))</f>
        <v>-</v>
      </c>
      <c r="DC39" s="2" t="str">
        <f aca="false">IF(S39="x","x",IF(S39="-","-",""))</f>
        <v>-</v>
      </c>
      <c r="DD39" s="2" t="str">
        <f aca="false">IF(T39="x","x",IF(T39="-","-",""))</f>
        <v>-</v>
      </c>
      <c r="DE39" s="2" t="str">
        <f aca="false">IF(U39="x","x",IF(U39="-","-",""))</f>
        <v>-</v>
      </c>
      <c r="DF39" s="2" t="str">
        <f aca="false">IF(V39="x","x",IF(V39="-","-",""))</f>
        <v>-</v>
      </c>
      <c r="DG39" s="2" t="str">
        <f aca="false">IF(W39="x","x",IF(W39="-","-",""))</f>
        <v>-</v>
      </c>
      <c r="DH39" s="2" t="str">
        <f aca="false">IF(X39="x","x",IF(X39="-","-",""))</f>
        <v>-</v>
      </c>
      <c r="DI39" s="2" t="str">
        <f aca="false">IF(Y39="x","x",IF(Y39="-","-",""))</f>
        <v>-</v>
      </c>
      <c r="DJ39" s="2" t="str">
        <f aca="false">IF(Z39="x","x",IF(Z39="-","-",""))</f>
        <v>-</v>
      </c>
      <c r="DK39" s="2" t="str">
        <f aca="false">IF(AA39="x","x",IF(AA39="-","-",""))</f>
        <v>-</v>
      </c>
      <c r="DL39" s="10"/>
      <c r="DM39" s="2" t="str">
        <f aca="false">IF(AC39="x","x",IF(AC39="-","-",""))</f>
        <v>-</v>
      </c>
      <c r="DN39" s="2" t="str">
        <f aca="false">IF(AD39="x","x",IF(AD39="-","-",""))</f>
        <v>-</v>
      </c>
      <c r="DO39" s="2" t="str">
        <f aca="false">IF(AE39="x","x",IF(AE39="-","-",""))</f>
        <v>-</v>
      </c>
      <c r="DP39" s="2" t="str">
        <f aca="false">IF(AF39="x","x",IF(AF39="-","-",""))</f>
        <v>-</v>
      </c>
      <c r="DQ39" s="2" t="str">
        <f aca="false">IF(AG39="x","x",IF(AG39="-","-",""))</f>
        <v>-</v>
      </c>
      <c r="DR39" s="2" t="str">
        <f aca="false">IF(AH39="x","x",IF(AH39="-","-",""))</f>
        <v>-</v>
      </c>
      <c r="DS39" s="2" t="str">
        <f aca="false">IF(AI39="x","x",IF(AI39="-","-",""))</f>
        <v>-</v>
      </c>
      <c r="DT39" s="2" t="str">
        <f aca="false">IF(AJ39="x","x",IF(AJ39="-","-",""))</f>
        <v>-</v>
      </c>
      <c r="DU39" s="2" t="str">
        <f aca="false">IF(AK39="x","x",IF(AK39="-","-",""))</f>
        <v>-</v>
      </c>
      <c r="DV39" s="2" t="str">
        <f aca="false">IF(AL39="x","x",IF(AL39="-","-",""))</f>
        <v>-</v>
      </c>
      <c r="DW39" s="2" t="str">
        <f aca="false">IF(AM39="x","x",IF(AM39="-","-",""))</f>
        <v>-</v>
      </c>
      <c r="DX39" s="2" t="str">
        <f aca="false">IF(AN39="x","x",IF(AN39="-","-",""))</f>
        <v>-</v>
      </c>
    </row>
    <row r="40" customFormat="false" ht="13.8" hidden="false" customHeight="false" outlineLevel="0" collapsed="false">
      <c r="A40" s="10" t="s">
        <v>73</v>
      </c>
      <c r="B40" s="2" t="n">
        <v>39</v>
      </c>
      <c r="C40" s="11" t="s">
        <v>91</v>
      </c>
      <c r="D40" s="10" t="s">
        <v>92</v>
      </c>
      <c r="E40" s="10" t="s">
        <v>76</v>
      </c>
      <c r="F40" s="10" t="n">
        <v>39</v>
      </c>
      <c r="G40" s="10" t="s">
        <v>77</v>
      </c>
      <c r="H40" s="10" t="s">
        <v>77</v>
      </c>
      <c r="I40" s="10" t="s">
        <v>77</v>
      </c>
      <c r="J40" s="10" t="s">
        <v>77</v>
      </c>
      <c r="K40" s="10" t="s">
        <v>77</v>
      </c>
      <c r="L40" s="10" t="s">
        <v>77</v>
      </c>
      <c r="M40" s="2" t="n">
        <v>20</v>
      </c>
      <c r="N40" s="10" t="s">
        <v>77</v>
      </c>
      <c r="O40" s="10"/>
      <c r="P40" s="10" t="s">
        <v>77</v>
      </c>
      <c r="Q40" s="10" t="s">
        <v>77</v>
      </c>
      <c r="R40" s="10" t="s">
        <v>77</v>
      </c>
      <c r="S40" s="10" t="s">
        <v>77</v>
      </c>
      <c r="T40" s="10" t="s">
        <v>77</v>
      </c>
      <c r="U40" s="10" t="s">
        <v>77</v>
      </c>
      <c r="V40" s="10" t="s">
        <v>77</v>
      </c>
      <c r="W40" s="10" t="s">
        <v>77</v>
      </c>
      <c r="X40" s="10" t="s">
        <v>77</v>
      </c>
      <c r="Y40" s="10" t="s">
        <v>77</v>
      </c>
      <c r="Z40" s="10" t="s">
        <v>77</v>
      </c>
      <c r="AA40" s="10" t="s">
        <v>77</v>
      </c>
      <c r="AB40" s="10"/>
      <c r="AC40" s="10" t="s">
        <v>77</v>
      </c>
      <c r="AD40" s="10" t="s">
        <v>77</v>
      </c>
      <c r="AE40" s="10" t="s">
        <v>77</v>
      </c>
      <c r="AF40" s="10" t="s">
        <v>77</v>
      </c>
      <c r="AG40" s="10" t="s">
        <v>77</v>
      </c>
      <c r="AH40" s="10" t="s">
        <v>77</v>
      </c>
      <c r="AI40" s="10" t="s">
        <v>77</v>
      </c>
      <c r="AJ40" s="10" t="s">
        <v>77</v>
      </c>
      <c r="AK40" s="10" t="s">
        <v>77</v>
      </c>
      <c r="AL40" s="10" t="s">
        <v>77</v>
      </c>
      <c r="AM40" s="10" t="s">
        <v>77</v>
      </c>
      <c r="AN40" s="10" t="s">
        <v>77</v>
      </c>
      <c r="AO40" s="10"/>
      <c r="AP40" s="10" t="s">
        <v>73</v>
      </c>
      <c r="AQ40" s="10" t="s">
        <v>73</v>
      </c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R40" s="10" t="s">
        <v>78</v>
      </c>
      <c r="BS40" s="10"/>
      <c r="BT40" s="10"/>
      <c r="BU40" s="10"/>
      <c r="BV40" s="10"/>
      <c r="BW40" s="10"/>
      <c r="BX40" s="10"/>
      <c r="BY40" s="10"/>
      <c r="CA40" s="2" t="str">
        <f aca="false">IF(AS40="x","x",IF(AS40="-","-",""))</f>
        <v/>
      </c>
      <c r="CB40" s="2" t="str">
        <f aca="false">IF(AT40="x","x",IF(AT40="-","-",""))</f>
        <v/>
      </c>
      <c r="CC40" s="2" t="str">
        <f aca="false">IF(AU40="x","x",IF(AU40="-","-",""))</f>
        <v/>
      </c>
      <c r="CD40" s="2" t="str">
        <f aca="false">IF(AV40="x","x",IF(AV40="-","-",""))</f>
        <v/>
      </c>
      <c r="CE40" s="2" t="str">
        <f aca="false">IF(AW40="x","x",IF(AW40="-","-",""))</f>
        <v/>
      </c>
      <c r="CF40" s="2" t="str">
        <f aca="false">IF(AX40="x","x",IF(AX40="-","-",""))</f>
        <v/>
      </c>
      <c r="CG40" s="2" t="str">
        <f aca="false">IF(AY40="x","x",IF(AY40="-","-",""))</f>
        <v/>
      </c>
      <c r="CH40" s="2" t="str">
        <f aca="false">IF(AZ40="x","x",IF(AZ40="-","-",""))</f>
        <v/>
      </c>
      <c r="CI40" s="2" t="str">
        <f aca="false">IF(BA40="x","x",IF(BA40="-","-",""))</f>
        <v/>
      </c>
      <c r="CJ40" s="2" t="str">
        <f aca="false">IF(BB40="x","x",IF(BB40="-","-",""))</f>
        <v/>
      </c>
      <c r="CK40" s="2" t="str">
        <f aca="false">IF(BC40="x","x",IF(BC40="-","-",""))</f>
        <v/>
      </c>
      <c r="CL40" s="2" t="str">
        <f aca="false">IF(BD40="x","x",IF(BD40="-","-",""))</f>
        <v/>
      </c>
      <c r="CM40" s="2" t="str">
        <f aca="false">IF(BE40="x","x",IF(BE40="-","-",""))</f>
        <v/>
      </c>
      <c r="CN40" s="2" t="str">
        <f aca="false">IF(BF40="x","x",IF(BF40="-","-",""))</f>
        <v/>
      </c>
      <c r="CO40" s="2" t="str">
        <f aca="false">IF(BG40="x","x",IF(BG40="-","-",""))</f>
        <v/>
      </c>
      <c r="CP40" s="2" t="str">
        <f aca="false">IF(BH40="x","x",IF(BH40="-","-",""))</f>
        <v/>
      </c>
      <c r="CQ40" s="2" t="str">
        <f aca="false">IF(BI40="x","x",IF(BI40="-","-",""))</f>
        <v/>
      </c>
      <c r="CR40" s="2" t="str">
        <f aca="false">IF(BJ40="x","x",IF(BJ40="-","-",""))</f>
        <v/>
      </c>
      <c r="CS40" s="2" t="str">
        <f aca="false">IF(BK40="x","x",IF(BK40="-","-",""))</f>
        <v/>
      </c>
      <c r="CT40" s="2" t="str">
        <f aca="false">IF(BL40="x","x",IF(BL40="-","-",""))</f>
        <v/>
      </c>
      <c r="CU40" s="2" t="str">
        <f aca="false">IF(BM40="x","x",IF(BM40="-","-",""))</f>
        <v/>
      </c>
      <c r="CV40" s="2" t="str">
        <f aca="false">IF(BN40="x","x",IF(BN40="-","-",""))</f>
        <v/>
      </c>
      <c r="CW40" s="2" t="str">
        <f aca="false">IF(BO40="x","x",IF(BO40="-","-",""))</f>
        <v/>
      </c>
      <c r="CX40" s="2" t="str">
        <f aca="false">IF(BP40="x","x",IF(BP40="-","-",""))</f>
        <v/>
      </c>
      <c r="CZ40" s="2" t="str">
        <f aca="false">IF(P40="x","x",IF(P40="-","-",""))</f>
        <v>-</v>
      </c>
      <c r="DA40" s="2" t="str">
        <f aca="false">IF(Q40="x","x",IF(Q40="-","-",""))</f>
        <v>-</v>
      </c>
      <c r="DB40" s="2" t="str">
        <f aca="false">IF(R40="x","x",IF(R40="-","-",""))</f>
        <v>-</v>
      </c>
      <c r="DC40" s="2" t="str">
        <f aca="false">IF(S40="x","x",IF(S40="-","-",""))</f>
        <v>-</v>
      </c>
      <c r="DD40" s="2" t="str">
        <f aca="false">IF(T40="x","x",IF(T40="-","-",""))</f>
        <v>-</v>
      </c>
      <c r="DE40" s="2" t="str">
        <f aca="false">IF(U40="x","x",IF(U40="-","-",""))</f>
        <v>-</v>
      </c>
      <c r="DF40" s="2" t="str">
        <f aca="false">IF(V40="x","x",IF(V40="-","-",""))</f>
        <v>-</v>
      </c>
      <c r="DG40" s="2" t="str">
        <f aca="false">IF(W40="x","x",IF(W40="-","-",""))</f>
        <v>-</v>
      </c>
      <c r="DH40" s="2" t="str">
        <f aca="false">IF(X40="x","x",IF(X40="-","-",""))</f>
        <v>-</v>
      </c>
      <c r="DI40" s="2" t="str">
        <f aca="false">IF(Y40="x","x",IF(Y40="-","-",""))</f>
        <v>-</v>
      </c>
      <c r="DJ40" s="2" t="str">
        <f aca="false">IF(Z40="x","x",IF(Z40="-","-",""))</f>
        <v>-</v>
      </c>
      <c r="DK40" s="2" t="str">
        <f aca="false">IF(AA40="x","x",IF(AA40="-","-",""))</f>
        <v>-</v>
      </c>
      <c r="DL40" s="10"/>
      <c r="DM40" s="2" t="str">
        <f aca="false">IF(AC40="x","x",IF(AC40="-","-",""))</f>
        <v>-</v>
      </c>
      <c r="DN40" s="2" t="str">
        <f aca="false">IF(AD40="x","x",IF(AD40="-","-",""))</f>
        <v>-</v>
      </c>
      <c r="DO40" s="2" t="str">
        <f aca="false">IF(AE40="x","x",IF(AE40="-","-",""))</f>
        <v>-</v>
      </c>
      <c r="DP40" s="2" t="str">
        <f aca="false">IF(AF40="x","x",IF(AF40="-","-",""))</f>
        <v>-</v>
      </c>
      <c r="DQ40" s="2" t="str">
        <f aca="false">IF(AG40="x","x",IF(AG40="-","-",""))</f>
        <v>-</v>
      </c>
      <c r="DR40" s="2" t="str">
        <f aca="false">IF(AH40="x","x",IF(AH40="-","-",""))</f>
        <v>-</v>
      </c>
      <c r="DS40" s="2" t="str">
        <f aca="false">IF(AI40="x","x",IF(AI40="-","-",""))</f>
        <v>-</v>
      </c>
      <c r="DT40" s="2" t="str">
        <f aca="false">IF(AJ40="x","x",IF(AJ40="-","-",""))</f>
        <v>-</v>
      </c>
      <c r="DU40" s="2" t="str">
        <f aca="false">IF(AK40="x","x",IF(AK40="-","-",""))</f>
        <v>-</v>
      </c>
      <c r="DV40" s="2" t="str">
        <f aca="false">IF(AL40="x","x",IF(AL40="-","-",""))</f>
        <v>-</v>
      </c>
      <c r="DW40" s="2" t="str">
        <f aca="false">IF(AM40="x","x",IF(AM40="-","-",""))</f>
        <v>-</v>
      </c>
      <c r="DX40" s="2" t="str">
        <f aca="false">IF(AN40="x","x",IF(AN40="-","-",""))</f>
        <v>-</v>
      </c>
    </row>
    <row r="41" customFormat="false" ht="13.8" hidden="false" customHeight="false" outlineLevel="0" collapsed="false">
      <c r="A41" s="10" t="s">
        <v>73</v>
      </c>
      <c r="B41" s="2" t="n">
        <v>40</v>
      </c>
      <c r="C41" s="11" t="s">
        <v>91</v>
      </c>
      <c r="D41" s="10" t="s">
        <v>92</v>
      </c>
      <c r="E41" s="10" t="s">
        <v>76</v>
      </c>
      <c r="F41" s="10" t="n">
        <v>40</v>
      </c>
      <c r="G41" s="10" t="s">
        <v>77</v>
      </c>
      <c r="H41" s="10" t="s">
        <v>77</v>
      </c>
      <c r="I41" s="10" t="s">
        <v>77</v>
      </c>
      <c r="J41" s="10" t="s">
        <v>77</v>
      </c>
      <c r="K41" s="10" t="s">
        <v>77</v>
      </c>
      <c r="L41" s="10" t="s">
        <v>77</v>
      </c>
      <c r="M41" s="2" t="n">
        <v>20</v>
      </c>
      <c r="N41" s="10" t="s">
        <v>77</v>
      </c>
      <c r="O41" s="10"/>
      <c r="P41" s="10" t="s">
        <v>77</v>
      </c>
      <c r="Q41" s="10" t="s">
        <v>77</v>
      </c>
      <c r="R41" s="10" t="s">
        <v>77</v>
      </c>
      <c r="S41" s="10" t="s">
        <v>77</v>
      </c>
      <c r="T41" s="10" t="s">
        <v>77</v>
      </c>
      <c r="U41" s="10" t="s">
        <v>77</v>
      </c>
      <c r="V41" s="10" t="s">
        <v>77</v>
      </c>
      <c r="W41" s="10" t="s">
        <v>77</v>
      </c>
      <c r="X41" s="10" t="s">
        <v>77</v>
      </c>
      <c r="Y41" s="10" t="s">
        <v>77</v>
      </c>
      <c r="Z41" s="10" t="s">
        <v>77</v>
      </c>
      <c r="AA41" s="10" t="s">
        <v>77</v>
      </c>
      <c r="AB41" s="10"/>
      <c r="AC41" s="10" t="s">
        <v>77</v>
      </c>
      <c r="AD41" s="10" t="s">
        <v>77</v>
      </c>
      <c r="AE41" s="10" t="s">
        <v>77</v>
      </c>
      <c r="AF41" s="10" t="s">
        <v>77</v>
      </c>
      <c r="AG41" s="10" t="s">
        <v>77</v>
      </c>
      <c r="AH41" s="10" t="s">
        <v>77</v>
      </c>
      <c r="AI41" s="10" t="s">
        <v>77</v>
      </c>
      <c r="AJ41" s="10" t="s">
        <v>77</v>
      </c>
      <c r="AK41" s="10" t="s">
        <v>77</v>
      </c>
      <c r="AL41" s="10" t="s">
        <v>77</v>
      </c>
      <c r="AM41" s="10" t="s">
        <v>77</v>
      </c>
      <c r="AN41" s="10" t="s">
        <v>77</v>
      </c>
      <c r="AO41" s="10"/>
      <c r="AP41" s="10" t="s">
        <v>73</v>
      </c>
      <c r="AQ41" s="10" t="s">
        <v>73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R41" s="10" t="s">
        <v>78</v>
      </c>
      <c r="BS41" s="10"/>
      <c r="BT41" s="10"/>
      <c r="BU41" s="10"/>
      <c r="BV41" s="10"/>
      <c r="BW41" s="10"/>
      <c r="BX41" s="10"/>
      <c r="BY41" s="10"/>
      <c r="CA41" s="2" t="str">
        <f aca="false">IF(AS41="x","x",IF(AS41="-","-",""))</f>
        <v/>
      </c>
      <c r="CB41" s="2" t="str">
        <f aca="false">IF(AT41="x","x",IF(AT41="-","-",""))</f>
        <v/>
      </c>
      <c r="CC41" s="2" t="str">
        <f aca="false">IF(AU41="x","x",IF(AU41="-","-",""))</f>
        <v/>
      </c>
      <c r="CD41" s="2" t="str">
        <f aca="false">IF(AV41="x","x",IF(AV41="-","-",""))</f>
        <v/>
      </c>
      <c r="CE41" s="2" t="str">
        <f aca="false">IF(AW41="x","x",IF(AW41="-","-",""))</f>
        <v/>
      </c>
      <c r="CF41" s="2" t="str">
        <f aca="false">IF(AX41="x","x",IF(AX41="-","-",""))</f>
        <v/>
      </c>
      <c r="CG41" s="2" t="str">
        <f aca="false">IF(AY41="x","x",IF(AY41="-","-",""))</f>
        <v/>
      </c>
      <c r="CH41" s="2" t="str">
        <f aca="false">IF(AZ41="x","x",IF(AZ41="-","-",""))</f>
        <v/>
      </c>
      <c r="CI41" s="2" t="str">
        <f aca="false">IF(BA41="x","x",IF(BA41="-","-",""))</f>
        <v/>
      </c>
      <c r="CJ41" s="2" t="str">
        <f aca="false">IF(BB41="x","x",IF(BB41="-","-",""))</f>
        <v/>
      </c>
      <c r="CK41" s="2" t="str">
        <f aca="false">IF(BC41="x","x",IF(BC41="-","-",""))</f>
        <v/>
      </c>
      <c r="CL41" s="2" t="str">
        <f aca="false">IF(BD41="x","x",IF(BD41="-","-",""))</f>
        <v/>
      </c>
      <c r="CM41" s="2" t="str">
        <f aca="false">IF(BE41="x","x",IF(BE41="-","-",""))</f>
        <v/>
      </c>
      <c r="CN41" s="2" t="str">
        <f aca="false">IF(BF41="x","x",IF(BF41="-","-",""))</f>
        <v/>
      </c>
      <c r="CO41" s="2" t="str">
        <f aca="false">IF(BG41="x","x",IF(BG41="-","-",""))</f>
        <v/>
      </c>
      <c r="CP41" s="2" t="str">
        <f aca="false">IF(BH41="x","x",IF(BH41="-","-",""))</f>
        <v/>
      </c>
      <c r="CQ41" s="2" t="str">
        <f aca="false">IF(BI41="x","x",IF(BI41="-","-",""))</f>
        <v/>
      </c>
      <c r="CR41" s="2" t="str">
        <f aca="false">IF(BJ41="x","x",IF(BJ41="-","-",""))</f>
        <v/>
      </c>
      <c r="CS41" s="2" t="str">
        <f aca="false">IF(BK41="x","x",IF(BK41="-","-",""))</f>
        <v/>
      </c>
      <c r="CT41" s="2" t="str">
        <f aca="false">IF(BL41="x","x",IF(BL41="-","-",""))</f>
        <v/>
      </c>
      <c r="CU41" s="2" t="str">
        <f aca="false">IF(BM41="x","x",IF(BM41="-","-",""))</f>
        <v/>
      </c>
      <c r="CV41" s="2" t="str">
        <f aca="false">IF(BN41="x","x",IF(BN41="-","-",""))</f>
        <v/>
      </c>
      <c r="CW41" s="2" t="str">
        <f aca="false">IF(BO41="x","x",IF(BO41="-","-",""))</f>
        <v/>
      </c>
      <c r="CX41" s="2" t="str">
        <f aca="false">IF(BP41="x","x",IF(BP41="-","-",""))</f>
        <v/>
      </c>
      <c r="CZ41" s="2" t="str">
        <f aca="false">IF(P41="x","x",IF(P41="-","-",""))</f>
        <v>-</v>
      </c>
      <c r="DA41" s="2" t="str">
        <f aca="false">IF(Q41="x","x",IF(Q41="-","-",""))</f>
        <v>-</v>
      </c>
      <c r="DB41" s="2" t="str">
        <f aca="false">IF(R41="x","x",IF(R41="-","-",""))</f>
        <v>-</v>
      </c>
      <c r="DC41" s="2" t="str">
        <f aca="false">IF(S41="x","x",IF(S41="-","-",""))</f>
        <v>-</v>
      </c>
      <c r="DD41" s="2" t="str">
        <f aca="false">IF(T41="x","x",IF(T41="-","-",""))</f>
        <v>-</v>
      </c>
      <c r="DE41" s="2" t="str">
        <f aca="false">IF(U41="x","x",IF(U41="-","-",""))</f>
        <v>-</v>
      </c>
      <c r="DF41" s="2" t="str">
        <f aca="false">IF(V41="x","x",IF(V41="-","-",""))</f>
        <v>-</v>
      </c>
      <c r="DG41" s="2" t="str">
        <f aca="false">IF(W41="x","x",IF(W41="-","-",""))</f>
        <v>-</v>
      </c>
      <c r="DH41" s="2" t="str">
        <f aca="false">IF(X41="x","x",IF(X41="-","-",""))</f>
        <v>-</v>
      </c>
      <c r="DI41" s="2" t="str">
        <f aca="false">IF(Y41="x","x",IF(Y41="-","-",""))</f>
        <v>-</v>
      </c>
      <c r="DJ41" s="2" t="str">
        <f aca="false">IF(Z41="x","x",IF(Z41="-","-",""))</f>
        <v>-</v>
      </c>
      <c r="DK41" s="2" t="str">
        <f aca="false">IF(AA41="x","x",IF(AA41="-","-",""))</f>
        <v>-</v>
      </c>
      <c r="DL41" s="10"/>
      <c r="DM41" s="2" t="str">
        <f aca="false">IF(AC41="x","x",IF(AC41="-","-",""))</f>
        <v>-</v>
      </c>
      <c r="DN41" s="2" t="str">
        <f aca="false">IF(AD41="x","x",IF(AD41="-","-",""))</f>
        <v>-</v>
      </c>
      <c r="DO41" s="2" t="str">
        <f aca="false">IF(AE41="x","x",IF(AE41="-","-",""))</f>
        <v>-</v>
      </c>
      <c r="DP41" s="2" t="str">
        <f aca="false">IF(AF41="x","x",IF(AF41="-","-",""))</f>
        <v>-</v>
      </c>
      <c r="DQ41" s="2" t="str">
        <f aca="false">IF(AG41="x","x",IF(AG41="-","-",""))</f>
        <v>-</v>
      </c>
      <c r="DR41" s="2" t="str">
        <f aca="false">IF(AH41="x","x",IF(AH41="-","-",""))</f>
        <v>-</v>
      </c>
      <c r="DS41" s="2" t="str">
        <f aca="false">IF(AI41="x","x",IF(AI41="-","-",""))</f>
        <v>-</v>
      </c>
      <c r="DT41" s="2" t="str">
        <f aca="false">IF(AJ41="x","x",IF(AJ41="-","-",""))</f>
        <v>-</v>
      </c>
      <c r="DU41" s="2" t="str">
        <f aca="false">IF(AK41="x","x",IF(AK41="-","-",""))</f>
        <v>-</v>
      </c>
      <c r="DV41" s="2" t="str">
        <f aca="false">IF(AL41="x","x",IF(AL41="-","-",""))</f>
        <v>-</v>
      </c>
      <c r="DW41" s="2" t="str">
        <f aca="false">IF(AM41="x","x",IF(AM41="-","-",""))</f>
        <v>-</v>
      </c>
      <c r="DX41" s="2" t="str">
        <f aca="false">IF(AN41="x","x",IF(AN41="-","-",""))</f>
        <v>-</v>
      </c>
    </row>
    <row r="42" customFormat="false" ht="13.8" hidden="false" customHeight="false" outlineLevel="0" collapsed="false">
      <c r="A42" s="10" t="s">
        <v>73</v>
      </c>
      <c r="B42" s="2" t="n">
        <v>41</v>
      </c>
      <c r="C42" s="11" t="s">
        <v>117</v>
      </c>
      <c r="D42" s="10" t="s">
        <v>118</v>
      </c>
      <c r="E42" s="10" t="s">
        <v>76</v>
      </c>
      <c r="F42" s="10" t="n">
        <v>41</v>
      </c>
      <c r="G42" s="10" t="s">
        <v>77</v>
      </c>
      <c r="H42" s="10" t="s">
        <v>77</v>
      </c>
      <c r="I42" s="10" t="s">
        <v>77</v>
      </c>
      <c r="J42" s="10" t="s">
        <v>77</v>
      </c>
      <c r="K42" s="10" t="s">
        <v>77</v>
      </c>
      <c r="L42" s="10" t="s">
        <v>77</v>
      </c>
      <c r="M42" s="2" t="n">
        <v>20</v>
      </c>
      <c r="N42" s="10" t="s">
        <v>77</v>
      </c>
      <c r="O42" s="10"/>
      <c r="P42" s="10" t="s">
        <v>77</v>
      </c>
      <c r="Q42" s="10" t="s">
        <v>77</v>
      </c>
      <c r="R42" s="10" t="s">
        <v>77</v>
      </c>
      <c r="S42" s="10" t="s">
        <v>77</v>
      </c>
      <c r="T42" s="10" t="s">
        <v>77</v>
      </c>
      <c r="U42" s="10" t="s">
        <v>77</v>
      </c>
      <c r="V42" s="10" t="s">
        <v>77</v>
      </c>
      <c r="W42" s="10" t="s">
        <v>77</v>
      </c>
      <c r="X42" s="10" t="s">
        <v>77</v>
      </c>
      <c r="Y42" s="10" t="s">
        <v>77</v>
      </c>
      <c r="Z42" s="10" t="s">
        <v>77</v>
      </c>
      <c r="AA42" s="10" t="s">
        <v>77</v>
      </c>
      <c r="AB42" s="10"/>
      <c r="AC42" s="10" t="s">
        <v>77</v>
      </c>
      <c r="AD42" s="10" t="s">
        <v>77</v>
      </c>
      <c r="AE42" s="10" t="s">
        <v>77</v>
      </c>
      <c r="AF42" s="10" t="s">
        <v>77</v>
      </c>
      <c r="AG42" s="10" t="s">
        <v>77</v>
      </c>
      <c r="AH42" s="10" t="s">
        <v>77</v>
      </c>
      <c r="AI42" s="10" t="s">
        <v>77</v>
      </c>
      <c r="AJ42" s="10" t="s">
        <v>77</v>
      </c>
      <c r="AK42" s="10" t="s">
        <v>77</v>
      </c>
      <c r="AL42" s="10" t="s">
        <v>77</v>
      </c>
      <c r="AM42" s="10" t="s">
        <v>77</v>
      </c>
      <c r="AN42" s="10" t="s">
        <v>77</v>
      </c>
      <c r="AO42" s="10"/>
      <c r="AP42" s="10" t="s">
        <v>73</v>
      </c>
      <c r="AQ42" s="10" t="s">
        <v>73</v>
      </c>
      <c r="AS42" s="10"/>
      <c r="AT42" s="10"/>
      <c r="AU42" s="10"/>
      <c r="AV42" s="10"/>
      <c r="AW42" s="10"/>
      <c r="AX42" s="10"/>
      <c r="AY42" s="10" t="s">
        <v>78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R42" s="10"/>
      <c r="BS42" s="10" t="s">
        <v>78</v>
      </c>
      <c r="BT42" s="10"/>
      <c r="BU42" s="10"/>
      <c r="BV42" s="10"/>
      <c r="BW42" s="10"/>
      <c r="BX42" s="10"/>
      <c r="BY42" s="10"/>
      <c r="CA42" s="2" t="str">
        <f aca="false">IF(AS42="x","x",IF(AS42="-","-",""))</f>
        <v/>
      </c>
      <c r="CB42" s="2" t="str">
        <f aca="false">IF(AT42="x","x",IF(AT42="-","-",""))</f>
        <v/>
      </c>
      <c r="CC42" s="2" t="str">
        <f aca="false">IF(AU42="x","x",IF(AU42="-","-",""))</f>
        <v/>
      </c>
      <c r="CD42" s="2" t="str">
        <f aca="false">IF(AV42="x","x",IF(AV42="-","-",""))</f>
        <v/>
      </c>
      <c r="CE42" s="2" t="str">
        <f aca="false">IF(AW42="x","x",IF(AW42="-","-",""))</f>
        <v/>
      </c>
      <c r="CF42" s="2" t="str">
        <f aca="false">IF(AX42="x","x",IF(AX42="-","-",""))</f>
        <v/>
      </c>
      <c r="CG42" s="2" t="str">
        <f aca="false">IF(AY42="x","x",IF(AY42="-","-",""))</f>
        <v>x</v>
      </c>
      <c r="CH42" s="2" t="str">
        <f aca="false">IF(AZ42="x","x",IF(AZ42="-","-",""))</f>
        <v/>
      </c>
      <c r="CI42" s="2" t="str">
        <f aca="false">IF(BA42="x","x",IF(BA42="-","-",""))</f>
        <v/>
      </c>
      <c r="CJ42" s="2" t="str">
        <f aca="false">IF(BB42="x","x",IF(BB42="-","-",""))</f>
        <v/>
      </c>
      <c r="CK42" s="2" t="str">
        <f aca="false">IF(BC42="x","x",IF(BC42="-","-",""))</f>
        <v/>
      </c>
      <c r="CL42" s="2" t="str">
        <f aca="false">IF(BD42="x","x",IF(BD42="-","-",""))</f>
        <v/>
      </c>
      <c r="CM42" s="2" t="str">
        <f aca="false">IF(BE42="x","x",IF(BE42="-","-",""))</f>
        <v/>
      </c>
      <c r="CN42" s="2" t="str">
        <f aca="false">IF(BF42="x","x",IF(BF42="-","-",""))</f>
        <v/>
      </c>
      <c r="CO42" s="2" t="str">
        <f aca="false">IF(BG42="x","x",IF(BG42="-","-",""))</f>
        <v/>
      </c>
      <c r="CP42" s="2" t="str">
        <f aca="false">IF(BH42="x","x",IF(BH42="-","-",""))</f>
        <v/>
      </c>
      <c r="CQ42" s="2" t="str">
        <f aca="false">IF(BI42="x","x",IF(BI42="-","-",""))</f>
        <v/>
      </c>
      <c r="CR42" s="2" t="str">
        <f aca="false">IF(BJ42="x","x",IF(BJ42="-","-",""))</f>
        <v/>
      </c>
      <c r="CS42" s="2" t="str">
        <f aca="false">IF(BK42="x","x",IF(BK42="-","-",""))</f>
        <v/>
      </c>
      <c r="CT42" s="2" t="str">
        <f aca="false">IF(BL42="x","x",IF(BL42="-","-",""))</f>
        <v/>
      </c>
      <c r="CU42" s="2" t="str">
        <f aca="false">IF(BM42="x","x",IF(BM42="-","-",""))</f>
        <v/>
      </c>
      <c r="CV42" s="2" t="str">
        <f aca="false">IF(BN42="x","x",IF(BN42="-","-",""))</f>
        <v/>
      </c>
      <c r="CW42" s="2" t="str">
        <f aca="false">IF(BO42="x","x",IF(BO42="-","-",""))</f>
        <v/>
      </c>
      <c r="CX42" s="2" t="str">
        <f aca="false">IF(BP42="x","x",IF(BP42="-","-",""))</f>
        <v/>
      </c>
      <c r="CZ42" s="2" t="str">
        <f aca="false">IF(P42="x","x",IF(P42="-","-",""))</f>
        <v>-</v>
      </c>
      <c r="DA42" s="2" t="str">
        <f aca="false">IF(Q42="x","x",IF(Q42="-","-",""))</f>
        <v>-</v>
      </c>
      <c r="DB42" s="2" t="str">
        <f aca="false">IF(R42="x","x",IF(R42="-","-",""))</f>
        <v>-</v>
      </c>
      <c r="DC42" s="2" t="str">
        <f aca="false">IF(S42="x","x",IF(S42="-","-",""))</f>
        <v>-</v>
      </c>
      <c r="DD42" s="2" t="str">
        <f aca="false">IF(T42="x","x",IF(T42="-","-",""))</f>
        <v>-</v>
      </c>
      <c r="DE42" s="2" t="str">
        <f aca="false">IF(U42="x","x",IF(U42="-","-",""))</f>
        <v>-</v>
      </c>
      <c r="DF42" s="2" t="str">
        <f aca="false">IF(V42="x","x",IF(V42="-","-",""))</f>
        <v>-</v>
      </c>
      <c r="DG42" s="2" t="str">
        <f aca="false">IF(W42="x","x",IF(W42="-","-",""))</f>
        <v>-</v>
      </c>
      <c r="DH42" s="2" t="str">
        <f aca="false">IF(X42="x","x",IF(X42="-","-",""))</f>
        <v>-</v>
      </c>
      <c r="DI42" s="2" t="str">
        <f aca="false">IF(Y42="x","x",IF(Y42="-","-",""))</f>
        <v>-</v>
      </c>
      <c r="DJ42" s="2" t="str">
        <f aca="false">IF(Z42="x","x",IF(Z42="-","-",""))</f>
        <v>-</v>
      </c>
      <c r="DK42" s="2" t="str">
        <f aca="false">IF(AA42="x","x",IF(AA42="-","-",""))</f>
        <v>-</v>
      </c>
      <c r="DL42" s="10"/>
      <c r="DM42" s="2" t="str">
        <f aca="false">IF(AC42="x","x",IF(AC42="-","-",""))</f>
        <v>-</v>
      </c>
      <c r="DN42" s="2" t="str">
        <f aca="false">IF(AD42="x","x",IF(AD42="-","-",""))</f>
        <v>-</v>
      </c>
      <c r="DO42" s="2" t="str">
        <f aca="false">IF(AE42="x","x",IF(AE42="-","-",""))</f>
        <v>-</v>
      </c>
      <c r="DP42" s="2" t="str">
        <f aca="false">IF(AF42="x","x",IF(AF42="-","-",""))</f>
        <v>-</v>
      </c>
      <c r="DQ42" s="2" t="str">
        <f aca="false">IF(AG42="x","x",IF(AG42="-","-",""))</f>
        <v>-</v>
      </c>
      <c r="DR42" s="2" t="str">
        <f aca="false">IF(AH42="x","x",IF(AH42="-","-",""))</f>
        <v>-</v>
      </c>
      <c r="DS42" s="2" t="str">
        <f aca="false">IF(AI42="x","x",IF(AI42="-","-",""))</f>
        <v>-</v>
      </c>
      <c r="DT42" s="2" t="str">
        <f aca="false">IF(AJ42="x","x",IF(AJ42="-","-",""))</f>
        <v>-</v>
      </c>
      <c r="DU42" s="2" t="str">
        <f aca="false">IF(AK42="x","x",IF(AK42="-","-",""))</f>
        <v>-</v>
      </c>
      <c r="DV42" s="2" t="str">
        <f aca="false">IF(AL42="x","x",IF(AL42="-","-",""))</f>
        <v>-</v>
      </c>
      <c r="DW42" s="2" t="str">
        <f aca="false">IF(AM42="x","x",IF(AM42="-","-",""))</f>
        <v>-</v>
      </c>
      <c r="DX42" s="2" t="str">
        <f aca="false">IF(AN42="x","x",IF(AN42="-","-",""))</f>
        <v>-</v>
      </c>
    </row>
    <row r="43" customFormat="false" ht="13.8" hidden="false" customHeight="false" outlineLevel="0" collapsed="false">
      <c r="A43" s="10" t="s">
        <v>73</v>
      </c>
      <c r="B43" s="2" t="n">
        <v>42</v>
      </c>
      <c r="C43" s="11" t="s">
        <v>119</v>
      </c>
      <c r="D43" s="10" t="s">
        <v>118</v>
      </c>
      <c r="E43" s="10" t="s">
        <v>76</v>
      </c>
      <c r="F43" s="10" t="n">
        <v>42</v>
      </c>
      <c r="G43" s="10" t="s">
        <v>77</v>
      </c>
      <c r="H43" s="10" t="s">
        <v>77</v>
      </c>
      <c r="I43" s="10" t="s">
        <v>77</v>
      </c>
      <c r="J43" s="10" t="s">
        <v>77</v>
      </c>
      <c r="K43" s="10" t="s">
        <v>77</v>
      </c>
      <c r="L43" s="10" t="s">
        <v>77</v>
      </c>
      <c r="M43" s="2" t="n">
        <v>20</v>
      </c>
      <c r="N43" s="10" t="s">
        <v>77</v>
      </c>
      <c r="O43" s="10"/>
      <c r="P43" s="10" t="s">
        <v>77</v>
      </c>
      <c r="Q43" s="10" t="s">
        <v>77</v>
      </c>
      <c r="R43" s="10" t="s">
        <v>77</v>
      </c>
      <c r="S43" s="10" t="s">
        <v>77</v>
      </c>
      <c r="T43" s="10" t="s">
        <v>77</v>
      </c>
      <c r="U43" s="10" t="s">
        <v>77</v>
      </c>
      <c r="V43" s="10" t="s">
        <v>77</v>
      </c>
      <c r="W43" s="10" t="s">
        <v>77</v>
      </c>
      <c r="X43" s="10" t="s">
        <v>77</v>
      </c>
      <c r="Y43" s="10" t="s">
        <v>77</v>
      </c>
      <c r="Z43" s="10" t="s">
        <v>77</v>
      </c>
      <c r="AA43" s="10" t="s">
        <v>77</v>
      </c>
      <c r="AB43" s="10"/>
      <c r="AC43" s="10" t="s">
        <v>77</v>
      </c>
      <c r="AD43" s="10" t="s">
        <v>77</v>
      </c>
      <c r="AE43" s="10" t="s">
        <v>77</v>
      </c>
      <c r="AF43" s="10" t="s">
        <v>77</v>
      </c>
      <c r="AG43" s="10" t="s">
        <v>77</v>
      </c>
      <c r="AH43" s="10" t="s">
        <v>77</v>
      </c>
      <c r="AI43" s="10" t="s">
        <v>77</v>
      </c>
      <c r="AJ43" s="10" t="s">
        <v>77</v>
      </c>
      <c r="AK43" s="10" t="s">
        <v>77</v>
      </c>
      <c r="AL43" s="10" t="s">
        <v>77</v>
      </c>
      <c r="AM43" s="10" t="s">
        <v>77</v>
      </c>
      <c r="AN43" s="10" t="s">
        <v>77</v>
      </c>
      <c r="AO43" s="10"/>
      <c r="AP43" s="10" t="s">
        <v>73</v>
      </c>
      <c r="AQ43" s="10" t="s">
        <v>73</v>
      </c>
      <c r="AS43" s="10"/>
      <c r="AT43" s="10"/>
      <c r="AU43" s="10"/>
      <c r="AV43" s="10"/>
      <c r="AW43" s="10"/>
      <c r="AX43" s="10"/>
      <c r="AY43" s="10" t="s">
        <v>78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R43" s="10"/>
      <c r="BS43" s="10" t="s">
        <v>78</v>
      </c>
      <c r="BT43" s="10"/>
      <c r="BU43" s="10"/>
      <c r="BV43" s="10"/>
      <c r="BW43" s="10"/>
      <c r="BX43" s="10"/>
      <c r="BY43" s="10"/>
      <c r="CA43" s="2" t="str">
        <f aca="false">IF(AS43="x","x",IF(AS43="-","-",""))</f>
        <v/>
      </c>
      <c r="CB43" s="2" t="str">
        <f aca="false">IF(AT43="x","x",IF(AT43="-","-",""))</f>
        <v/>
      </c>
      <c r="CC43" s="2" t="str">
        <f aca="false">IF(AU43="x","x",IF(AU43="-","-",""))</f>
        <v/>
      </c>
      <c r="CD43" s="2" t="str">
        <f aca="false">IF(AV43="x","x",IF(AV43="-","-",""))</f>
        <v/>
      </c>
      <c r="CE43" s="2" t="str">
        <f aca="false">IF(AW43="x","x",IF(AW43="-","-",""))</f>
        <v/>
      </c>
      <c r="CF43" s="2" t="str">
        <f aca="false">IF(AX43="x","x",IF(AX43="-","-",""))</f>
        <v/>
      </c>
      <c r="CG43" s="2" t="str">
        <f aca="false">IF(AY43="x","x",IF(AY43="-","-",""))</f>
        <v>x</v>
      </c>
      <c r="CH43" s="2" t="str">
        <f aca="false">IF(AZ43="x","x",IF(AZ43="-","-",""))</f>
        <v/>
      </c>
      <c r="CI43" s="2" t="str">
        <f aca="false">IF(BA43="x","x",IF(BA43="-","-",""))</f>
        <v/>
      </c>
      <c r="CJ43" s="2" t="str">
        <f aca="false">IF(BB43="x","x",IF(BB43="-","-",""))</f>
        <v/>
      </c>
      <c r="CK43" s="2" t="str">
        <f aca="false">IF(BC43="x","x",IF(BC43="-","-",""))</f>
        <v/>
      </c>
      <c r="CL43" s="2" t="str">
        <f aca="false">IF(BD43="x","x",IF(BD43="-","-",""))</f>
        <v/>
      </c>
      <c r="CM43" s="2" t="str">
        <f aca="false">IF(BE43="x","x",IF(BE43="-","-",""))</f>
        <v/>
      </c>
      <c r="CN43" s="2" t="str">
        <f aca="false">IF(BF43="x","x",IF(BF43="-","-",""))</f>
        <v/>
      </c>
      <c r="CO43" s="2" t="str">
        <f aca="false">IF(BG43="x","x",IF(BG43="-","-",""))</f>
        <v/>
      </c>
      <c r="CP43" s="2" t="str">
        <f aca="false">IF(BH43="x","x",IF(BH43="-","-",""))</f>
        <v/>
      </c>
      <c r="CQ43" s="2" t="str">
        <f aca="false">IF(BI43="x","x",IF(BI43="-","-",""))</f>
        <v/>
      </c>
      <c r="CR43" s="2" t="str">
        <f aca="false">IF(BJ43="x","x",IF(BJ43="-","-",""))</f>
        <v/>
      </c>
      <c r="CS43" s="2" t="str">
        <f aca="false">IF(BK43="x","x",IF(BK43="-","-",""))</f>
        <v/>
      </c>
      <c r="CT43" s="2" t="str">
        <f aca="false">IF(BL43="x","x",IF(BL43="-","-",""))</f>
        <v/>
      </c>
      <c r="CU43" s="2" t="str">
        <f aca="false">IF(BM43="x","x",IF(BM43="-","-",""))</f>
        <v/>
      </c>
      <c r="CV43" s="2" t="str">
        <f aca="false">IF(BN43="x","x",IF(BN43="-","-",""))</f>
        <v/>
      </c>
      <c r="CW43" s="2" t="str">
        <f aca="false">IF(BO43="x","x",IF(BO43="-","-",""))</f>
        <v/>
      </c>
      <c r="CX43" s="2" t="str">
        <f aca="false">IF(BP43="x","x",IF(BP43="-","-",""))</f>
        <v/>
      </c>
      <c r="CZ43" s="2" t="str">
        <f aca="false">IF(P43="x","x",IF(P43="-","-",""))</f>
        <v>-</v>
      </c>
      <c r="DA43" s="2" t="str">
        <f aca="false">IF(Q43="x","x",IF(Q43="-","-",""))</f>
        <v>-</v>
      </c>
      <c r="DB43" s="2" t="str">
        <f aca="false">IF(R43="x","x",IF(R43="-","-",""))</f>
        <v>-</v>
      </c>
      <c r="DC43" s="2" t="str">
        <f aca="false">IF(S43="x","x",IF(S43="-","-",""))</f>
        <v>-</v>
      </c>
      <c r="DD43" s="2" t="str">
        <f aca="false">IF(T43="x","x",IF(T43="-","-",""))</f>
        <v>-</v>
      </c>
      <c r="DE43" s="2" t="str">
        <f aca="false">IF(U43="x","x",IF(U43="-","-",""))</f>
        <v>-</v>
      </c>
      <c r="DF43" s="2" t="str">
        <f aca="false">IF(V43="x","x",IF(V43="-","-",""))</f>
        <v>-</v>
      </c>
      <c r="DG43" s="2" t="str">
        <f aca="false">IF(W43="x","x",IF(W43="-","-",""))</f>
        <v>-</v>
      </c>
      <c r="DH43" s="2" t="str">
        <f aca="false">IF(X43="x","x",IF(X43="-","-",""))</f>
        <v>-</v>
      </c>
      <c r="DI43" s="2" t="str">
        <f aca="false">IF(Y43="x","x",IF(Y43="-","-",""))</f>
        <v>-</v>
      </c>
      <c r="DJ43" s="2" t="str">
        <f aca="false">IF(Z43="x","x",IF(Z43="-","-",""))</f>
        <v>-</v>
      </c>
      <c r="DK43" s="2" t="str">
        <f aca="false">IF(AA43="x","x",IF(AA43="-","-",""))</f>
        <v>-</v>
      </c>
      <c r="DL43" s="10"/>
      <c r="DM43" s="2" t="str">
        <f aca="false">IF(AC43="x","x",IF(AC43="-","-",""))</f>
        <v>-</v>
      </c>
      <c r="DN43" s="2" t="str">
        <f aca="false">IF(AD43="x","x",IF(AD43="-","-",""))</f>
        <v>-</v>
      </c>
      <c r="DO43" s="2" t="str">
        <f aca="false">IF(AE43="x","x",IF(AE43="-","-",""))</f>
        <v>-</v>
      </c>
      <c r="DP43" s="2" t="str">
        <f aca="false">IF(AF43="x","x",IF(AF43="-","-",""))</f>
        <v>-</v>
      </c>
      <c r="DQ43" s="2" t="str">
        <f aca="false">IF(AG43="x","x",IF(AG43="-","-",""))</f>
        <v>-</v>
      </c>
      <c r="DR43" s="2" t="str">
        <f aca="false">IF(AH43="x","x",IF(AH43="-","-",""))</f>
        <v>-</v>
      </c>
      <c r="DS43" s="2" t="str">
        <f aca="false">IF(AI43="x","x",IF(AI43="-","-",""))</f>
        <v>-</v>
      </c>
      <c r="DT43" s="2" t="str">
        <f aca="false">IF(AJ43="x","x",IF(AJ43="-","-",""))</f>
        <v>-</v>
      </c>
      <c r="DU43" s="2" t="str">
        <f aca="false">IF(AK43="x","x",IF(AK43="-","-",""))</f>
        <v>-</v>
      </c>
      <c r="DV43" s="2" t="str">
        <f aca="false">IF(AL43="x","x",IF(AL43="-","-",""))</f>
        <v>-</v>
      </c>
      <c r="DW43" s="2" t="str">
        <f aca="false">IF(AM43="x","x",IF(AM43="-","-",""))</f>
        <v>-</v>
      </c>
      <c r="DX43" s="2" t="str">
        <f aca="false">IF(AN43="x","x",IF(AN43="-","-",""))</f>
        <v>-</v>
      </c>
    </row>
    <row r="44" customFormat="false" ht="13.8" hidden="false" customHeight="false" outlineLevel="0" collapsed="false">
      <c r="A44" s="10" t="s">
        <v>73</v>
      </c>
      <c r="B44" s="2" t="n">
        <v>43</v>
      </c>
      <c r="C44" s="11" t="s">
        <v>120</v>
      </c>
      <c r="D44" s="10" t="s">
        <v>118</v>
      </c>
      <c r="E44" s="10" t="s">
        <v>76</v>
      </c>
      <c r="F44" s="10" t="n">
        <v>43</v>
      </c>
      <c r="G44" s="10" t="s">
        <v>77</v>
      </c>
      <c r="H44" s="10" t="s">
        <v>77</v>
      </c>
      <c r="I44" s="10" t="s">
        <v>77</v>
      </c>
      <c r="J44" s="10" t="s">
        <v>77</v>
      </c>
      <c r="K44" s="10" t="s">
        <v>77</v>
      </c>
      <c r="L44" s="10" t="s">
        <v>77</v>
      </c>
      <c r="M44" s="2" t="n">
        <v>20</v>
      </c>
      <c r="N44" s="10" t="s">
        <v>77</v>
      </c>
      <c r="O44" s="10"/>
      <c r="P44" s="10" t="s">
        <v>77</v>
      </c>
      <c r="Q44" s="10" t="s">
        <v>77</v>
      </c>
      <c r="R44" s="10" t="s">
        <v>77</v>
      </c>
      <c r="S44" s="10" t="s">
        <v>77</v>
      </c>
      <c r="T44" s="10" t="s">
        <v>77</v>
      </c>
      <c r="U44" s="10" t="s">
        <v>77</v>
      </c>
      <c r="V44" s="10" t="s">
        <v>77</v>
      </c>
      <c r="W44" s="10" t="s">
        <v>77</v>
      </c>
      <c r="X44" s="10" t="s">
        <v>77</v>
      </c>
      <c r="Y44" s="10" t="s">
        <v>77</v>
      </c>
      <c r="Z44" s="10" t="s">
        <v>77</v>
      </c>
      <c r="AA44" s="10" t="s">
        <v>77</v>
      </c>
      <c r="AB44" s="10"/>
      <c r="AC44" s="10" t="s">
        <v>77</v>
      </c>
      <c r="AD44" s="10" t="s">
        <v>77</v>
      </c>
      <c r="AE44" s="10" t="s">
        <v>77</v>
      </c>
      <c r="AF44" s="10" t="s">
        <v>77</v>
      </c>
      <c r="AG44" s="10" t="s">
        <v>77</v>
      </c>
      <c r="AH44" s="10" t="s">
        <v>77</v>
      </c>
      <c r="AI44" s="10" t="s">
        <v>77</v>
      </c>
      <c r="AJ44" s="10" t="s">
        <v>77</v>
      </c>
      <c r="AK44" s="10" t="s">
        <v>77</v>
      </c>
      <c r="AL44" s="10" t="s">
        <v>77</v>
      </c>
      <c r="AM44" s="10" t="s">
        <v>77</v>
      </c>
      <c r="AN44" s="10" t="s">
        <v>77</v>
      </c>
      <c r="AO44" s="10"/>
      <c r="AP44" s="10" t="s">
        <v>73</v>
      </c>
      <c r="AQ44" s="10" t="s">
        <v>73</v>
      </c>
      <c r="AS44" s="10"/>
      <c r="AT44" s="10"/>
      <c r="AU44" s="10"/>
      <c r="AV44" s="10"/>
      <c r="AW44" s="10"/>
      <c r="AX44" s="10"/>
      <c r="AY44" s="10" t="s">
        <v>78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R44" s="10"/>
      <c r="BS44" s="10" t="s">
        <v>78</v>
      </c>
      <c r="BT44" s="10"/>
      <c r="BU44" s="10"/>
      <c r="BV44" s="10"/>
      <c r="BW44" s="10"/>
      <c r="BX44" s="10"/>
      <c r="BY44" s="10"/>
      <c r="CA44" s="2" t="str">
        <f aca="false">IF(AS44="x","x",IF(AS44="-","-",""))</f>
        <v/>
      </c>
      <c r="CB44" s="2" t="str">
        <f aca="false">IF(AT44="x","x",IF(AT44="-","-",""))</f>
        <v/>
      </c>
      <c r="CC44" s="2" t="str">
        <f aca="false">IF(AU44="x","x",IF(AU44="-","-",""))</f>
        <v/>
      </c>
      <c r="CD44" s="2" t="str">
        <f aca="false">IF(AV44="x","x",IF(AV44="-","-",""))</f>
        <v/>
      </c>
      <c r="CE44" s="2" t="str">
        <f aca="false">IF(AW44="x","x",IF(AW44="-","-",""))</f>
        <v/>
      </c>
      <c r="CF44" s="2" t="str">
        <f aca="false">IF(AX44="x","x",IF(AX44="-","-",""))</f>
        <v/>
      </c>
      <c r="CG44" s="2" t="str">
        <f aca="false">IF(AY44="x","x",IF(AY44="-","-",""))</f>
        <v>x</v>
      </c>
      <c r="CH44" s="2" t="str">
        <f aca="false">IF(AZ44="x","x",IF(AZ44="-","-",""))</f>
        <v/>
      </c>
      <c r="CI44" s="2" t="str">
        <f aca="false">IF(BA44="x","x",IF(BA44="-","-",""))</f>
        <v/>
      </c>
      <c r="CJ44" s="2" t="str">
        <f aca="false">IF(BB44="x","x",IF(BB44="-","-",""))</f>
        <v/>
      </c>
      <c r="CK44" s="2" t="str">
        <f aca="false">IF(BC44="x","x",IF(BC44="-","-",""))</f>
        <v/>
      </c>
      <c r="CL44" s="2" t="str">
        <f aca="false">IF(BD44="x","x",IF(BD44="-","-",""))</f>
        <v/>
      </c>
      <c r="CM44" s="2" t="str">
        <f aca="false">IF(BE44="x","x",IF(BE44="-","-",""))</f>
        <v/>
      </c>
      <c r="CN44" s="2" t="str">
        <f aca="false">IF(BF44="x","x",IF(BF44="-","-",""))</f>
        <v/>
      </c>
      <c r="CO44" s="2" t="str">
        <f aca="false">IF(BG44="x","x",IF(BG44="-","-",""))</f>
        <v/>
      </c>
      <c r="CP44" s="2" t="str">
        <f aca="false">IF(BH44="x","x",IF(BH44="-","-",""))</f>
        <v/>
      </c>
      <c r="CQ44" s="2" t="str">
        <f aca="false">IF(BI44="x","x",IF(BI44="-","-",""))</f>
        <v/>
      </c>
      <c r="CR44" s="2" t="str">
        <f aca="false">IF(BJ44="x","x",IF(BJ44="-","-",""))</f>
        <v/>
      </c>
      <c r="CS44" s="2" t="str">
        <f aca="false">IF(BK44="x","x",IF(BK44="-","-",""))</f>
        <v/>
      </c>
      <c r="CT44" s="2" t="str">
        <f aca="false">IF(BL44="x","x",IF(BL44="-","-",""))</f>
        <v/>
      </c>
      <c r="CU44" s="2" t="str">
        <f aca="false">IF(BM44="x","x",IF(BM44="-","-",""))</f>
        <v/>
      </c>
      <c r="CV44" s="2" t="str">
        <f aca="false">IF(BN44="x","x",IF(BN44="-","-",""))</f>
        <v/>
      </c>
      <c r="CW44" s="2" t="str">
        <f aca="false">IF(BO44="x","x",IF(BO44="-","-",""))</f>
        <v/>
      </c>
      <c r="CX44" s="2" t="str">
        <f aca="false">IF(BP44="x","x",IF(BP44="-","-",""))</f>
        <v/>
      </c>
      <c r="CZ44" s="2" t="str">
        <f aca="false">IF(P44="x","x",IF(P44="-","-",""))</f>
        <v>-</v>
      </c>
      <c r="DA44" s="2" t="str">
        <f aca="false">IF(Q44="x","x",IF(Q44="-","-",""))</f>
        <v>-</v>
      </c>
      <c r="DB44" s="2" t="str">
        <f aca="false">IF(R44="x","x",IF(R44="-","-",""))</f>
        <v>-</v>
      </c>
      <c r="DC44" s="2" t="str">
        <f aca="false">IF(S44="x","x",IF(S44="-","-",""))</f>
        <v>-</v>
      </c>
      <c r="DD44" s="2" t="str">
        <f aca="false">IF(T44="x","x",IF(T44="-","-",""))</f>
        <v>-</v>
      </c>
      <c r="DE44" s="2" t="str">
        <f aca="false">IF(U44="x","x",IF(U44="-","-",""))</f>
        <v>-</v>
      </c>
      <c r="DF44" s="2" t="str">
        <f aca="false">IF(V44="x","x",IF(V44="-","-",""))</f>
        <v>-</v>
      </c>
      <c r="DG44" s="2" t="str">
        <f aca="false">IF(W44="x","x",IF(W44="-","-",""))</f>
        <v>-</v>
      </c>
      <c r="DH44" s="2" t="str">
        <f aca="false">IF(X44="x","x",IF(X44="-","-",""))</f>
        <v>-</v>
      </c>
      <c r="DI44" s="2" t="str">
        <f aca="false">IF(Y44="x","x",IF(Y44="-","-",""))</f>
        <v>-</v>
      </c>
      <c r="DJ44" s="2" t="str">
        <f aca="false">IF(Z44="x","x",IF(Z44="-","-",""))</f>
        <v>-</v>
      </c>
      <c r="DK44" s="2" t="str">
        <f aca="false">IF(AA44="x","x",IF(AA44="-","-",""))</f>
        <v>-</v>
      </c>
      <c r="DL44" s="10"/>
      <c r="DM44" s="2" t="str">
        <f aca="false">IF(AC44="x","x",IF(AC44="-","-",""))</f>
        <v>-</v>
      </c>
      <c r="DN44" s="2" t="str">
        <f aca="false">IF(AD44="x","x",IF(AD44="-","-",""))</f>
        <v>-</v>
      </c>
      <c r="DO44" s="2" t="str">
        <f aca="false">IF(AE44="x","x",IF(AE44="-","-",""))</f>
        <v>-</v>
      </c>
      <c r="DP44" s="2" t="str">
        <f aca="false">IF(AF44="x","x",IF(AF44="-","-",""))</f>
        <v>-</v>
      </c>
      <c r="DQ44" s="2" t="str">
        <f aca="false">IF(AG44="x","x",IF(AG44="-","-",""))</f>
        <v>-</v>
      </c>
      <c r="DR44" s="2" t="str">
        <f aca="false">IF(AH44="x","x",IF(AH44="-","-",""))</f>
        <v>-</v>
      </c>
      <c r="DS44" s="2" t="str">
        <f aca="false">IF(AI44="x","x",IF(AI44="-","-",""))</f>
        <v>-</v>
      </c>
      <c r="DT44" s="2" t="str">
        <f aca="false">IF(AJ44="x","x",IF(AJ44="-","-",""))</f>
        <v>-</v>
      </c>
      <c r="DU44" s="2" t="str">
        <f aca="false">IF(AK44="x","x",IF(AK44="-","-",""))</f>
        <v>-</v>
      </c>
      <c r="DV44" s="2" t="str">
        <f aca="false">IF(AL44="x","x",IF(AL44="-","-",""))</f>
        <v>-</v>
      </c>
      <c r="DW44" s="2" t="str">
        <f aca="false">IF(AM44="x","x",IF(AM44="-","-",""))</f>
        <v>-</v>
      </c>
      <c r="DX44" s="2" t="str">
        <f aca="false">IF(AN44="x","x",IF(AN44="-","-",""))</f>
        <v>-</v>
      </c>
    </row>
    <row r="45" customFormat="false" ht="13.8" hidden="false" customHeight="false" outlineLevel="0" collapsed="false">
      <c r="A45" s="10" t="s">
        <v>73</v>
      </c>
      <c r="B45" s="2" t="n">
        <v>44</v>
      </c>
      <c r="C45" s="11" t="s">
        <v>121</v>
      </c>
      <c r="D45" s="10" t="s">
        <v>118</v>
      </c>
      <c r="E45" s="10" t="s">
        <v>76</v>
      </c>
      <c r="F45" s="10" t="n">
        <v>44</v>
      </c>
      <c r="G45" s="10" t="s">
        <v>77</v>
      </c>
      <c r="H45" s="10" t="s">
        <v>77</v>
      </c>
      <c r="I45" s="10" t="s">
        <v>77</v>
      </c>
      <c r="J45" s="10" t="s">
        <v>77</v>
      </c>
      <c r="K45" s="10" t="s">
        <v>77</v>
      </c>
      <c r="L45" s="10" t="s">
        <v>77</v>
      </c>
      <c r="M45" s="2" t="n">
        <v>20</v>
      </c>
      <c r="N45" s="10" t="s">
        <v>77</v>
      </c>
      <c r="O45" s="10"/>
      <c r="P45" s="10" t="s">
        <v>77</v>
      </c>
      <c r="Q45" s="10" t="s">
        <v>77</v>
      </c>
      <c r="R45" s="10" t="s">
        <v>77</v>
      </c>
      <c r="S45" s="10" t="s">
        <v>77</v>
      </c>
      <c r="T45" s="10" t="s">
        <v>77</v>
      </c>
      <c r="U45" s="10" t="s">
        <v>77</v>
      </c>
      <c r="V45" s="10" t="s">
        <v>77</v>
      </c>
      <c r="W45" s="10" t="s">
        <v>77</v>
      </c>
      <c r="X45" s="10" t="s">
        <v>77</v>
      </c>
      <c r="Y45" s="10" t="s">
        <v>77</v>
      </c>
      <c r="Z45" s="10" t="s">
        <v>77</v>
      </c>
      <c r="AA45" s="10" t="s">
        <v>77</v>
      </c>
      <c r="AB45" s="10"/>
      <c r="AC45" s="10" t="s">
        <v>77</v>
      </c>
      <c r="AD45" s="10" t="s">
        <v>77</v>
      </c>
      <c r="AE45" s="10" t="s">
        <v>77</v>
      </c>
      <c r="AF45" s="10" t="s">
        <v>77</v>
      </c>
      <c r="AG45" s="10" t="s">
        <v>77</v>
      </c>
      <c r="AH45" s="10" t="s">
        <v>77</v>
      </c>
      <c r="AI45" s="10" t="s">
        <v>77</v>
      </c>
      <c r="AJ45" s="10" t="s">
        <v>77</v>
      </c>
      <c r="AK45" s="10" t="s">
        <v>77</v>
      </c>
      <c r="AL45" s="10" t="s">
        <v>77</v>
      </c>
      <c r="AM45" s="10" t="s">
        <v>77</v>
      </c>
      <c r="AN45" s="10" t="s">
        <v>77</v>
      </c>
      <c r="AO45" s="10"/>
      <c r="AP45" s="10" t="s">
        <v>73</v>
      </c>
      <c r="AQ45" s="10" t="s">
        <v>73</v>
      </c>
      <c r="AS45" s="10"/>
      <c r="AT45" s="10"/>
      <c r="AU45" s="10"/>
      <c r="AV45" s="10"/>
      <c r="AW45" s="10"/>
      <c r="AX45" s="10"/>
      <c r="AY45" s="10" t="s">
        <v>78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R45" s="10"/>
      <c r="BS45" s="10" t="s">
        <v>78</v>
      </c>
      <c r="BT45" s="10"/>
      <c r="BU45" s="10"/>
      <c r="BV45" s="10"/>
      <c r="BW45" s="10"/>
      <c r="BX45" s="10"/>
      <c r="BY45" s="10"/>
      <c r="CA45" s="2" t="str">
        <f aca="false">IF(AS45="x","x",IF(AS45="-","-",""))</f>
        <v/>
      </c>
      <c r="CB45" s="2" t="str">
        <f aca="false">IF(AT45="x","x",IF(AT45="-","-",""))</f>
        <v/>
      </c>
      <c r="CC45" s="2" t="str">
        <f aca="false">IF(AU45="x","x",IF(AU45="-","-",""))</f>
        <v/>
      </c>
      <c r="CD45" s="2" t="str">
        <f aca="false">IF(AV45="x","x",IF(AV45="-","-",""))</f>
        <v/>
      </c>
      <c r="CE45" s="2" t="str">
        <f aca="false">IF(AW45="x","x",IF(AW45="-","-",""))</f>
        <v/>
      </c>
      <c r="CF45" s="2" t="str">
        <f aca="false">IF(AX45="x","x",IF(AX45="-","-",""))</f>
        <v/>
      </c>
      <c r="CG45" s="2" t="str">
        <f aca="false">IF(AY45="x","x",IF(AY45="-","-",""))</f>
        <v>x</v>
      </c>
      <c r="CH45" s="2" t="str">
        <f aca="false">IF(AZ45="x","x",IF(AZ45="-","-",""))</f>
        <v/>
      </c>
      <c r="CI45" s="2" t="str">
        <f aca="false">IF(BA45="x","x",IF(BA45="-","-",""))</f>
        <v/>
      </c>
      <c r="CJ45" s="2" t="str">
        <f aca="false">IF(BB45="x","x",IF(BB45="-","-",""))</f>
        <v/>
      </c>
      <c r="CK45" s="2" t="str">
        <f aca="false">IF(BC45="x","x",IF(BC45="-","-",""))</f>
        <v/>
      </c>
      <c r="CL45" s="2" t="str">
        <f aca="false">IF(BD45="x","x",IF(BD45="-","-",""))</f>
        <v/>
      </c>
      <c r="CM45" s="2" t="str">
        <f aca="false">IF(BE45="x","x",IF(BE45="-","-",""))</f>
        <v/>
      </c>
      <c r="CN45" s="2" t="str">
        <f aca="false">IF(BF45="x","x",IF(BF45="-","-",""))</f>
        <v/>
      </c>
      <c r="CO45" s="2" t="str">
        <f aca="false">IF(BG45="x","x",IF(BG45="-","-",""))</f>
        <v/>
      </c>
      <c r="CP45" s="2" t="str">
        <f aca="false">IF(BH45="x","x",IF(BH45="-","-",""))</f>
        <v/>
      </c>
      <c r="CQ45" s="2" t="str">
        <f aca="false">IF(BI45="x","x",IF(BI45="-","-",""))</f>
        <v/>
      </c>
      <c r="CR45" s="2" t="str">
        <f aca="false">IF(BJ45="x","x",IF(BJ45="-","-",""))</f>
        <v/>
      </c>
      <c r="CS45" s="2" t="str">
        <f aca="false">IF(BK45="x","x",IF(BK45="-","-",""))</f>
        <v/>
      </c>
      <c r="CT45" s="2" t="str">
        <f aca="false">IF(BL45="x","x",IF(BL45="-","-",""))</f>
        <v/>
      </c>
      <c r="CU45" s="2" t="str">
        <f aca="false">IF(BM45="x","x",IF(BM45="-","-",""))</f>
        <v/>
      </c>
      <c r="CV45" s="2" t="str">
        <f aca="false">IF(BN45="x","x",IF(BN45="-","-",""))</f>
        <v/>
      </c>
      <c r="CW45" s="2" t="str">
        <f aca="false">IF(BO45="x","x",IF(BO45="-","-",""))</f>
        <v/>
      </c>
      <c r="CX45" s="2" t="str">
        <f aca="false">IF(BP45="x","x",IF(BP45="-","-",""))</f>
        <v/>
      </c>
      <c r="CZ45" s="2" t="str">
        <f aca="false">IF(P45="x","x",IF(P45="-","-",""))</f>
        <v>-</v>
      </c>
      <c r="DA45" s="2" t="str">
        <f aca="false">IF(Q45="x","x",IF(Q45="-","-",""))</f>
        <v>-</v>
      </c>
      <c r="DB45" s="2" t="str">
        <f aca="false">IF(R45="x","x",IF(R45="-","-",""))</f>
        <v>-</v>
      </c>
      <c r="DC45" s="2" t="str">
        <f aca="false">IF(S45="x","x",IF(S45="-","-",""))</f>
        <v>-</v>
      </c>
      <c r="DD45" s="2" t="str">
        <f aca="false">IF(T45="x","x",IF(T45="-","-",""))</f>
        <v>-</v>
      </c>
      <c r="DE45" s="2" t="str">
        <f aca="false">IF(U45="x","x",IF(U45="-","-",""))</f>
        <v>-</v>
      </c>
      <c r="DF45" s="2" t="str">
        <f aca="false">IF(V45="x","x",IF(V45="-","-",""))</f>
        <v>-</v>
      </c>
      <c r="DG45" s="2" t="str">
        <f aca="false">IF(W45="x","x",IF(W45="-","-",""))</f>
        <v>-</v>
      </c>
      <c r="DH45" s="2" t="str">
        <f aca="false">IF(X45="x","x",IF(X45="-","-",""))</f>
        <v>-</v>
      </c>
      <c r="DI45" s="2" t="str">
        <f aca="false">IF(Y45="x","x",IF(Y45="-","-",""))</f>
        <v>-</v>
      </c>
      <c r="DJ45" s="2" t="str">
        <f aca="false">IF(Z45="x","x",IF(Z45="-","-",""))</f>
        <v>-</v>
      </c>
      <c r="DK45" s="2" t="str">
        <f aca="false">IF(AA45="x","x",IF(AA45="-","-",""))</f>
        <v>-</v>
      </c>
      <c r="DL45" s="10"/>
      <c r="DM45" s="2" t="str">
        <f aca="false">IF(AC45="x","x",IF(AC45="-","-",""))</f>
        <v>-</v>
      </c>
      <c r="DN45" s="2" t="str">
        <f aca="false">IF(AD45="x","x",IF(AD45="-","-",""))</f>
        <v>-</v>
      </c>
      <c r="DO45" s="2" t="str">
        <f aca="false">IF(AE45="x","x",IF(AE45="-","-",""))</f>
        <v>-</v>
      </c>
      <c r="DP45" s="2" t="str">
        <f aca="false">IF(AF45="x","x",IF(AF45="-","-",""))</f>
        <v>-</v>
      </c>
      <c r="DQ45" s="2" t="str">
        <f aca="false">IF(AG45="x","x",IF(AG45="-","-",""))</f>
        <v>-</v>
      </c>
      <c r="DR45" s="2" t="str">
        <f aca="false">IF(AH45="x","x",IF(AH45="-","-",""))</f>
        <v>-</v>
      </c>
      <c r="DS45" s="2" t="str">
        <f aca="false">IF(AI45="x","x",IF(AI45="-","-",""))</f>
        <v>-</v>
      </c>
      <c r="DT45" s="2" t="str">
        <f aca="false">IF(AJ45="x","x",IF(AJ45="-","-",""))</f>
        <v>-</v>
      </c>
      <c r="DU45" s="2" t="str">
        <f aca="false">IF(AK45="x","x",IF(AK45="-","-",""))</f>
        <v>-</v>
      </c>
      <c r="DV45" s="2" t="str">
        <f aca="false">IF(AL45="x","x",IF(AL45="-","-",""))</f>
        <v>-</v>
      </c>
      <c r="DW45" s="2" t="str">
        <f aca="false">IF(AM45="x","x",IF(AM45="-","-",""))</f>
        <v>-</v>
      </c>
      <c r="DX45" s="2" t="str">
        <f aca="false">IF(AN45="x","x",IF(AN45="-","-",""))</f>
        <v>-</v>
      </c>
    </row>
    <row r="46" customFormat="false" ht="13.8" hidden="false" customHeight="false" outlineLevel="0" collapsed="false">
      <c r="A46" s="10" t="s">
        <v>73</v>
      </c>
      <c r="B46" s="2" t="n">
        <v>45</v>
      </c>
      <c r="C46" s="11" t="s">
        <v>122</v>
      </c>
      <c r="D46" s="10" t="s">
        <v>123</v>
      </c>
      <c r="E46" s="10" t="s">
        <v>76</v>
      </c>
      <c r="F46" s="10" t="n">
        <v>45</v>
      </c>
      <c r="G46" s="10" t="s">
        <v>77</v>
      </c>
      <c r="H46" s="10" t="s">
        <v>77</v>
      </c>
      <c r="I46" s="10" t="s">
        <v>77</v>
      </c>
      <c r="J46" s="10" t="s">
        <v>77</v>
      </c>
      <c r="K46" s="10" t="s">
        <v>77</v>
      </c>
      <c r="L46" s="10" t="s">
        <v>77</v>
      </c>
      <c r="M46" s="2" t="n">
        <v>20</v>
      </c>
      <c r="N46" s="10" t="s">
        <v>77</v>
      </c>
      <c r="O46" s="10"/>
      <c r="P46" s="10" t="s">
        <v>77</v>
      </c>
      <c r="Q46" s="10" t="s">
        <v>77</v>
      </c>
      <c r="R46" s="10" t="s">
        <v>77</v>
      </c>
      <c r="S46" s="10" t="s">
        <v>77</v>
      </c>
      <c r="T46" s="10" t="s">
        <v>77</v>
      </c>
      <c r="U46" s="10" t="s">
        <v>77</v>
      </c>
      <c r="V46" s="10" t="s">
        <v>77</v>
      </c>
      <c r="W46" s="10" t="s">
        <v>77</v>
      </c>
      <c r="X46" s="10" t="s">
        <v>77</v>
      </c>
      <c r="Y46" s="10" t="s">
        <v>77</v>
      </c>
      <c r="Z46" s="10" t="s">
        <v>77</v>
      </c>
      <c r="AA46" s="10" t="s">
        <v>77</v>
      </c>
      <c r="AB46" s="10"/>
      <c r="AC46" s="10" t="s">
        <v>77</v>
      </c>
      <c r="AD46" s="10" t="s">
        <v>77</v>
      </c>
      <c r="AE46" s="10" t="s">
        <v>77</v>
      </c>
      <c r="AF46" s="10" t="s">
        <v>77</v>
      </c>
      <c r="AG46" s="10" t="s">
        <v>77</v>
      </c>
      <c r="AH46" s="10" t="s">
        <v>77</v>
      </c>
      <c r="AI46" s="10" t="s">
        <v>77</v>
      </c>
      <c r="AJ46" s="10" t="s">
        <v>77</v>
      </c>
      <c r="AK46" s="10" t="s">
        <v>77</v>
      </c>
      <c r="AL46" s="10" t="s">
        <v>77</v>
      </c>
      <c r="AM46" s="10" t="s">
        <v>77</v>
      </c>
      <c r="AN46" s="10" t="s">
        <v>77</v>
      </c>
      <c r="AO46" s="10"/>
      <c r="AP46" s="10" t="s">
        <v>73</v>
      </c>
      <c r="AQ46" s="10" t="s">
        <v>73</v>
      </c>
      <c r="AS46" s="10"/>
      <c r="AT46" s="10"/>
      <c r="AU46" s="10"/>
      <c r="AV46" s="10"/>
      <c r="AW46" s="10"/>
      <c r="AX46" s="10"/>
      <c r="AY46" s="10"/>
      <c r="AZ46" s="10" t="s">
        <v>78</v>
      </c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R46" s="10"/>
      <c r="BS46" s="10" t="s">
        <v>78</v>
      </c>
      <c r="BT46" s="10"/>
      <c r="BU46" s="10"/>
      <c r="BV46" s="10"/>
      <c r="BW46" s="10"/>
      <c r="BX46" s="10"/>
      <c r="BY46" s="10"/>
      <c r="CA46" s="2" t="str">
        <f aca="false">IF(AS46="x","x",IF(AS46="-","-",""))</f>
        <v/>
      </c>
      <c r="CB46" s="2" t="str">
        <f aca="false">IF(AT46="x","x",IF(AT46="-","-",""))</f>
        <v/>
      </c>
      <c r="CC46" s="2" t="str">
        <f aca="false">IF(AU46="x","x",IF(AU46="-","-",""))</f>
        <v/>
      </c>
      <c r="CD46" s="2" t="str">
        <f aca="false">IF(AV46="x","x",IF(AV46="-","-",""))</f>
        <v/>
      </c>
      <c r="CE46" s="2" t="str">
        <f aca="false">IF(AW46="x","x",IF(AW46="-","-",""))</f>
        <v/>
      </c>
      <c r="CF46" s="2" t="str">
        <f aca="false">IF(AX46="x","x",IF(AX46="-","-",""))</f>
        <v/>
      </c>
      <c r="CG46" s="2" t="str">
        <f aca="false">IF(AY46="x","x",IF(AY46="-","-",""))</f>
        <v/>
      </c>
      <c r="CH46" s="2" t="str">
        <f aca="false">IF(AZ46="x","x",IF(AZ46="-","-",""))</f>
        <v>x</v>
      </c>
      <c r="CI46" s="2" t="str">
        <f aca="false">IF(BA46="x","x",IF(BA46="-","-",""))</f>
        <v/>
      </c>
      <c r="CJ46" s="2" t="str">
        <f aca="false">IF(BB46="x","x",IF(BB46="-","-",""))</f>
        <v/>
      </c>
      <c r="CK46" s="2" t="str">
        <f aca="false">IF(BC46="x","x",IF(BC46="-","-",""))</f>
        <v/>
      </c>
      <c r="CL46" s="2" t="str">
        <f aca="false">IF(BD46="x","x",IF(BD46="-","-",""))</f>
        <v/>
      </c>
      <c r="CM46" s="2" t="str">
        <f aca="false">IF(BE46="x","x",IF(BE46="-","-",""))</f>
        <v/>
      </c>
      <c r="CN46" s="2" t="str">
        <f aca="false">IF(BF46="x","x",IF(BF46="-","-",""))</f>
        <v/>
      </c>
      <c r="CO46" s="2" t="str">
        <f aca="false">IF(BG46="x","x",IF(BG46="-","-",""))</f>
        <v/>
      </c>
      <c r="CP46" s="2" t="str">
        <f aca="false">IF(BH46="x","x",IF(BH46="-","-",""))</f>
        <v/>
      </c>
      <c r="CQ46" s="2" t="str">
        <f aca="false">IF(BI46="x","x",IF(BI46="-","-",""))</f>
        <v/>
      </c>
      <c r="CR46" s="2" t="str">
        <f aca="false">IF(BJ46="x","x",IF(BJ46="-","-",""))</f>
        <v/>
      </c>
      <c r="CS46" s="2" t="str">
        <f aca="false">IF(BK46="x","x",IF(BK46="-","-",""))</f>
        <v/>
      </c>
      <c r="CT46" s="2" t="str">
        <f aca="false">IF(BL46="x","x",IF(BL46="-","-",""))</f>
        <v/>
      </c>
      <c r="CU46" s="2" t="str">
        <f aca="false">IF(BM46="x","x",IF(BM46="-","-",""))</f>
        <v/>
      </c>
      <c r="CV46" s="2" t="str">
        <f aca="false">IF(BN46="x","x",IF(BN46="-","-",""))</f>
        <v/>
      </c>
      <c r="CW46" s="2" t="str">
        <f aca="false">IF(BO46="x","x",IF(BO46="-","-",""))</f>
        <v/>
      </c>
      <c r="CX46" s="2" t="str">
        <f aca="false">IF(BP46="x","x",IF(BP46="-","-",""))</f>
        <v/>
      </c>
      <c r="CZ46" s="2" t="str">
        <f aca="false">IF(P46="x","x",IF(P46="-","-",""))</f>
        <v>-</v>
      </c>
      <c r="DA46" s="2" t="str">
        <f aca="false">IF(Q46="x","x",IF(Q46="-","-",""))</f>
        <v>-</v>
      </c>
      <c r="DB46" s="2" t="str">
        <f aca="false">IF(R46="x","x",IF(R46="-","-",""))</f>
        <v>-</v>
      </c>
      <c r="DC46" s="2" t="str">
        <f aca="false">IF(S46="x","x",IF(S46="-","-",""))</f>
        <v>-</v>
      </c>
      <c r="DD46" s="2" t="str">
        <f aca="false">IF(T46="x","x",IF(T46="-","-",""))</f>
        <v>-</v>
      </c>
      <c r="DE46" s="2" t="str">
        <f aca="false">IF(U46="x","x",IF(U46="-","-",""))</f>
        <v>-</v>
      </c>
      <c r="DF46" s="2" t="str">
        <f aca="false">IF(V46="x","x",IF(V46="-","-",""))</f>
        <v>-</v>
      </c>
      <c r="DG46" s="2" t="str">
        <f aca="false">IF(W46="x","x",IF(W46="-","-",""))</f>
        <v>-</v>
      </c>
      <c r="DH46" s="2" t="str">
        <f aca="false">IF(X46="x","x",IF(X46="-","-",""))</f>
        <v>-</v>
      </c>
      <c r="DI46" s="2" t="str">
        <f aca="false">IF(Y46="x","x",IF(Y46="-","-",""))</f>
        <v>-</v>
      </c>
      <c r="DJ46" s="2" t="str">
        <f aca="false">IF(Z46="x","x",IF(Z46="-","-",""))</f>
        <v>-</v>
      </c>
      <c r="DK46" s="2" t="str">
        <f aca="false">IF(AA46="x","x",IF(AA46="-","-",""))</f>
        <v>-</v>
      </c>
      <c r="DL46" s="10"/>
      <c r="DM46" s="2" t="str">
        <f aca="false">IF(AC46="x","x",IF(AC46="-","-",""))</f>
        <v>-</v>
      </c>
      <c r="DN46" s="2" t="str">
        <f aca="false">IF(AD46="x","x",IF(AD46="-","-",""))</f>
        <v>-</v>
      </c>
      <c r="DO46" s="2" t="str">
        <f aca="false">IF(AE46="x","x",IF(AE46="-","-",""))</f>
        <v>-</v>
      </c>
      <c r="DP46" s="2" t="str">
        <f aca="false">IF(AF46="x","x",IF(AF46="-","-",""))</f>
        <v>-</v>
      </c>
      <c r="DQ46" s="2" t="str">
        <f aca="false">IF(AG46="x","x",IF(AG46="-","-",""))</f>
        <v>-</v>
      </c>
      <c r="DR46" s="2" t="str">
        <f aca="false">IF(AH46="x","x",IF(AH46="-","-",""))</f>
        <v>-</v>
      </c>
      <c r="DS46" s="2" t="str">
        <f aca="false">IF(AI46="x","x",IF(AI46="-","-",""))</f>
        <v>-</v>
      </c>
      <c r="DT46" s="2" t="str">
        <f aca="false">IF(AJ46="x","x",IF(AJ46="-","-",""))</f>
        <v>-</v>
      </c>
      <c r="DU46" s="2" t="str">
        <f aca="false">IF(AK46="x","x",IF(AK46="-","-",""))</f>
        <v>-</v>
      </c>
      <c r="DV46" s="2" t="str">
        <f aca="false">IF(AL46="x","x",IF(AL46="-","-",""))</f>
        <v>-</v>
      </c>
      <c r="DW46" s="2" t="str">
        <f aca="false">IF(AM46="x","x",IF(AM46="-","-",""))</f>
        <v>-</v>
      </c>
      <c r="DX46" s="2" t="str">
        <f aca="false">IF(AN46="x","x",IF(AN46="-","-",""))</f>
        <v>-</v>
      </c>
    </row>
    <row r="47" customFormat="false" ht="13.8" hidden="false" customHeight="false" outlineLevel="0" collapsed="false">
      <c r="A47" s="10" t="s">
        <v>73</v>
      </c>
      <c r="B47" s="2" t="n">
        <v>46</v>
      </c>
      <c r="C47" s="11" t="s">
        <v>124</v>
      </c>
      <c r="D47" s="10" t="s">
        <v>123</v>
      </c>
      <c r="E47" s="10" t="s">
        <v>76</v>
      </c>
      <c r="F47" s="10" t="n">
        <v>46</v>
      </c>
      <c r="G47" s="10" t="s">
        <v>77</v>
      </c>
      <c r="H47" s="10" t="s">
        <v>77</v>
      </c>
      <c r="I47" s="10" t="s">
        <v>77</v>
      </c>
      <c r="J47" s="10" t="s">
        <v>77</v>
      </c>
      <c r="K47" s="10" t="s">
        <v>77</v>
      </c>
      <c r="L47" s="10" t="s">
        <v>77</v>
      </c>
      <c r="M47" s="2" t="n">
        <v>20</v>
      </c>
      <c r="N47" s="10" t="s">
        <v>77</v>
      </c>
      <c r="O47" s="10"/>
      <c r="P47" s="10" t="s">
        <v>77</v>
      </c>
      <c r="Q47" s="10" t="s">
        <v>77</v>
      </c>
      <c r="R47" s="10" t="s">
        <v>77</v>
      </c>
      <c r="S47" s="10" t="s">
        <v>77</v>
      </c>
      <c r="T47" s="10" t="s">
        <v>77</v>
      </c>
      <c r="U47" s="10" t="s">
        <v>77</v>
      </c>
      <c r="V47" s="10" t="s">
        <v>77</v>
      </c>
      <c r="W47" s="10" t="s">
        <v>77</v>
      </c>
      <c r="X47" s="10" t="s">
        <v>77</v>
      </c>
      <c r="Y47" s="10" t="s">
        <v>77</v>
      </c>
      <c r="Z47" s="10" t="s">
        <v>77</v>
      </c>
      <c r="AA47" s="10" t="s">
        <v>77</v>
      </c>
      <c r="AB47" s="10"/>
      <c r="AC47" s="10" t="s">
        <v>77</v>
      </c>
      <c r="AD47" s="10" t="s">
        <v>77</v>
      </c>
      <c r="AE47" s="10" t="s">
        <v>77</v>
      </c>
      <c r="AF47" s="10" t="s">
        <v>77</v>
      </c>
      <c r="AG47" s="10" t="s">
        <v>77</v>
      </c>
      <c r="AH47" s="10" t="s">
        <v>77</v>
      </c>
      <c r="AI47" s="10" t="s">
        <v>77</v>
      </c>
      <c r="AJ47" s="10" t="s">
        <v>77</v>
      </c>
      <c r="AK47" s="10" t="s">
        <v>77</v>
      </c>
      <c r="AL47" s="10" t="s">
        <v>77</v>
      </c>
      <c r="AM47" s="10" t="s">
        <v>77</v>
      </c>
      <c r="AN47" s="10" t="s">
        <v>77</v>
      </c>
      <c r="AO47" s="10"/>
      <c r="AP47" s="10" t="s">
        <v>73</v>
      </c>
      <c r="AQ47" s="10" t="s">
        <v>73</v>
      </c>
      <c r="AS47" s="10"/>
      <c r="AT47" s="10"/>
      <c r="AU47" s="10"/>
      <c r="AV47" s="10"/>
      <c r="AW47" s="10"/>
      <c r="AX47" s="10"/>
      <c r="AY47" s="10"/>
      <c r="AZ47" s="10" t="s">
        <v>78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R47" s="10"/>
      <c r="BS47" s="10" t="s">
        <v>78</v>
      </c>
      <c r="BT47" s="10"/>
      <c r="BU47" s="10"/>
      <c r="BV47" s="10"/>
      <c r="BW47" s="10"/>
      <c r="BX47" s="10"/>
      <c r="BY47" s="10"/>
      <c r="CA47" s="2" t="str">
        <f aca="false">IF(AS47="x","x",IF(AS47="-","-",""))</f>
        <v/>
      </c>
      <c r="CB47" s="2" t="str">
        <f aca="false">IF(AT47="x","x",IF(AT47="-","-",""))</f>
        <v/>
      </c>
      <c r="CC47" s="2" t="str">
        <f aca="false">IF(AU47="x","x",IF(AU47="-","-",""))</f>
        <v/>
      </c>
      <c r="CD47" s="2" t="str">
        <f aca="false">IF(AV47="x","x",IF(AV47="-","-",""))</f>
        <v/>
      </c>
      <c r="CE47" s="2" t="str">
        <f aca="false">IF(AW47="x","x",IF(AW47="-","-",""))</f>
        <v/>
      </c>
      <c r="CF47" s="2" t="str">
        <f aca="false">IF(AX47="x","x",IF(AX47="-","-",""))</f>
        <v/>
      </c>
      <c r="CG47" s="2" t="str">
        <f aca="false">IF(AY47="x","x",IF(AY47="-","-",""))</f>
        <v/>
      </c>
      <c r="CH47" s="2" t="str">
        <f aca="false">IF(AZ47="x","x",IF(AZ47="-","-",""))</f>
        <v>x</v>
      </c>
      <c r="CI47" s="2" t="str">
        <f aca="false">IF(BA47="x","x",IF(BA47="-","-",""))</f>
        <v/>
      </c>
      <c r="CJ47" s="2" t="str">
        <f aca="false">IF(BB47="x","x",IF(BB47="-","-",""))</f>
        <v/>
      </c>
      <c r="CK47" s="2" t="str">
        <f aca="false">IF(BC47="x","x",IF(BC47="-","-",""))</f>
        <v/>
      </c>
      <c r="CL47" s="2" t="str">
        <f aca="false">IF(BD47="x","x",IF(BD47="-","-",""))</f>
        <v/>
      </c>
      <c r="CM47" s="2" t="str">
        <f aca="false">IF(BE47="x","x",IF(BE47="-","-",""))</f>
        <v/>
      </c>
      <c r="CN47" s="2" t="str">
        <f aca="false">IF(BF47="x","x",IF(BF47="-","-",""))</f>
        <v/>
      </c>
      <c r="CO47" s="2" t="str">
        <f aca="false">IF(BG47="x","x",IF(BG47="-","-",""))</f>
        <v/>
      </c>
      <c r="CP47" s="2" t="str">
        <f aca="false">IF(BH47="x","x",IF(BH47="-","-",""))</f>
        <v/>
      </c>
      <c r="CQ47" s="2" t="str">
        <f aca="false">IF(BI47="x","x",IF(BI47="-","-",""))</f>
        <v/>
      </c>
      <c r="CR47" s="2" t="str">
        <f aca="false">IF(BJ47="x","x",IF(BJ47="-","-",""))</f>
        <v/>
      </c>
      <c r="CS47" s="2" t="str">
        <f aca="false">IF(BK47="x","x",IF(BK47="-","-",""))</f>
        <v/>
      </c>
      <c r="CT47" s="2" t="str">
        <f aca="false">IF(BL47="x","x",IF(BL47="-","-",""))</f>
        <v/>
      </c>
      <c r="CU47" s="2" t="str">
        <f aca="false">IF(BM47="x","x",IF(BM47="-","-",""))</f>
        <v/>
      </c>
      <c r="CV47" s="2" t="str">
        <f aca="false">IF(BN47="x","x",IF(BN47="-","-",""))</f>
        <v/>
      </c>
      <c r="CW47" s="2" t="str">
        <f aca="false">IF(BO47="x","x",IF(BO47="-","-",""))</f>
        <v/>
      </c>
      <c r="CX47" s="2" t="str">
        <f aca="false">IF(BP47="x","x",IF(BP47="-","-",""))</f>
        <v/>
      </c>
      <c r="CZ47" s="2" t="str">
        <f aca="false">IF(P47="x","x",IF(P47="-","-",""))</f>
        <v>-</v>
      </c>
      <c r="DA47" s="2" t="str">
        <f aca="false">IF(Q47="x","x",IF(Q47="-","-",""))</f>
        <v>-</v>
      </c>
      <c r="DB47" s="2" t="str">
        <f aca="false">IF(R47="x","x",IF(R47="-","-",""))</f>
        <v>-</v>
      </c>
      <c r="DC47" s="2" t="str">
        <f aca="false">IF(S47="x","x",IF(S47="-","-",""))</f>
        <v>-</v>
      </c>
      <c r="DD47" s="2" t="str">
        <f aca="false">IF(T47="x","x",IF(T47="-","-",""))</f>
        <v>-</v>
      </c>
      <c r="DE47" s="2" t="str">
        <f aca="false">IF(U47="x","x",IF(U47="-","-",""))</f>
        <v>-</v>
      </c>
      <c r="DF47" s="2" t="str">
        <f aca="false">IF(V47="x","x",IF(V47="-","-",""))</f>
        <v>-</v>
      </c>
      <c r="DG47" s="2" t="str">
        <f aca="false">IF(W47="x","x",IF(W47="-","-",""))</f>
        <v>-</v>
      </c>
      <c r="DH47" s="2" t="str">
        <f aca="false">IF(X47="x","x",IF(X47="-","-",""))</f>
        <v>-</v>
      </c>
      <c r="DI47" s="2" t="str">
        <f aca="false">IF(Y47="x","x",IF(Y47="-","-",""))</f>
        <v>-</v>
      </c>
      <c r="DJ47" s="2" t="str">
        <f aca="false">IF(Z47="x","x",IF(Z47="-","-",""))</f>
        <v>-</v>
      </c>
      <c r="DK47" s="2" t="str">
        <f aca="false">IF(AA47="x","x",IF(AA47="-","-",""))</f>
        <v>-</v>
      </c>
      <c r="DL47" s="10"/>
      <c r="DM47" s="2" t="str">
        <f aca="false">IF(AC47="x","x",IF(AC47="-","-",""))</f>
        <v>-</v>
      </c>
      <c r="DN47" s="2" t="str">
        <f aca="false">IF(AD47="x","x",IF(AD47="-","-",""))</f>
        <v>-</v>
      </c>
      <c r="DO47" s="2" t="str">
        <f aca="false">IF(AE47="x","x",IF(AE47="-","-",""))</f>
        <v>-</v>
      </c>
      <c r="DP47" s="2" t="str">
        <f aca="false">IF(AF47="x","x",IF(AF47="-","-",""))</f>
        <v>-</v>
      </c>
      <c r="DQ47" s="2" t="str">
        <f aca="false">IF(AG47="x","x",IF(AG47="-","-",""))</f>
        <v>-</v>
      </c>
      <c r="DR47" s="2" t="str">
        <f aca="false">IF(AH47="x","x",IF(AH47="-","-",""))</f>
        <v>-</v>
      </c>
      <c r="DS47" s="2" t="str">
        <f aca="false">IF(AI47="x","x",IF(AI47="-","-",""))</f>
        <v>-</v>
      </c>
      <c r="DT47" s="2" t="str">
        <f aca="false">IF(AJ47="x","x",IF(AJ47="-","-",""))</f>
        <v>-</v>
      </c>
      <c r="DU47" s="2" t="str">
        <f aca="false">IF(AK47="x","x",IF(AK47="-","-",""))</f>
        <v>-</v>
      </c>
      <c r="DV47" s="2" t="str">
        <f aca="false">IF(AL47="x","x",IF(AL47="-","-",""))</f>
        <v>-</v>
      </c>
      <c r="DW47" s="2" t="str">
        <f aca="false">IF(AM47="x","x",IF(AM47="-","-",""))</f>
        <v>-</v>
      </c>
      <c r="DX47" s="2" t="str">
        <f aca="false">IF(AN47="x","x",IF(AN47="-","-",""))</f>
        <v>-</v>
      </c>
    </row>
    <row r="48" customFormat="false" ht="13.8" hidden="false" customHeight="false" outlineLevel="0" collapsed="false">
      <c r="A48" s="10" t="s">
        <v>73</v>
      </c>
      <c r="B48" s="2" t="n">
        <v>47</v>
      </c>
      <c r="C48" s="11" t="s">
        <v>125</v>
      </c>
      <c r="D48" s="10" t="s">
        <v>123</v>
      </c>
      <c r="E48" s="10" t="s">
        <v>76</v>
      </c>
      <c r="F48" s="10" t="n">
        <v>47</v>
      </c>
      <c r="G48" s="10" t="s">
        <v>77</v>
      </c>
      <c r="H48" s="10" t="s">
        <v>77</v>
      </c>
      <c r="I48" s="10" t="s">
        <v>77</v>
      </c>
      <c r="J48" s="10" t="s">
        <v>77</v>
      </c>
      <c r="K48" s="10" t="s">
        <v>77</v>
      </c>
      <c r="L48" s="10" t="s">
        <v>77</v>
      </c>
      <c r="M48" s="2" t="n">
        <v>20</v>
      </c>
      <c r="N48" s="10" t="s">
        <v>77</v>
      </c>
      <c r="O48" s="10"/>
      <c r="P48" s="10" t="s">
        <v>77</v>
      </c>
      <c r="Q48" s="10" t="s">
        <v>77</v>
      </c>
      <c r="R48" s="10" t="s">
        <v>77</v>
      </c>
      <c r="S48" s="10" t="s">
        <v>77</v>
      </c>
      <c r="T48" s="10" t="s">
        <v>77</v>
      </c>
      <c r="U48" s="10" t="s">
        <v>77</v>
      </c>
      <c r="V48" s="10" t="s">
        <v>77</v>
      </c>
      <c r="W48" s="10" t="s">
        <v>77</v>
      </c>
      <c r="X48" s="10" t="s">
        <v>77</v>
      </c>
      <c r="Y48" s="10" t="s">
        <v>77</v>
      </c>
      <c r="Z48" s="10" t="s">
        <v>77</v>
      </c>
      <c r="AA48" s="10" t="s">
        <v>77</v>
      </c>
      <c r="AB48" s="10"/>
      <c r="AC48" s="10" t="s">
        <v>77</v>
      </c>
      <c r="AD48" s="10" t="s">
        <v>77</v>
      </c>
      <c r="AE48" s="10" t="s">
        <v>77</v>
      </c>
      <c r="AF48" s="10" t="s">
        <v>77</v>
      </c>
      <c r="AG48" s="10" t="s">
        <v>77</v>
      </c>
      <c r="AH48" s="10" t="s">
        <v>77</v>
      </c>
      <c r="AI48" s="10" t="s">
        <v>77</v>
      </c>
      <c r="AJ48" s="10" t="s">
        <v>77</v>
      </c>
      <c r="AK48" s="10" t="s">
        <v>77</v>
      </c>
      <c r="AL48" s="10" t="s">
        <v>77</v>
      </c>
      <c r="AM48" s="10" t="s">
        <v>77</v>
      </c>
      <c r="AN48" s="10" t="s">
        <v>77</v>
      </c>
      <c r="AO48" s="10"/>
      <c r="AP48" s="10" t="s">
        <v>73</v>
      </c>
      <c r="AQ48" s="10" t="s">
        <v>73</v>
      </c>
      <c r="AS48" s="10"/>
      <c r="AT48" s="10"/>
      <c r="AU48" s="10"/>
      <c r="AV48" s="10"/>
      <c r="AW48" s="10"/>
      <c r="AX48" s="10"/>
      <c r="AY48" s="10"/>
      <c r="AZ48" s="10" t="s">
        <v>78</v>
      </c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R48" s="10"/>
      <c r="BS48" s="10" t="s">
        <v>78</v>
      </c>
      <c r="BT48" s="10"/>
      <c r="BU48" s="10"/>
      <c r="BV48" s="10"/>
      <c r="BW48" s="10"/>
      <c r="BX48" s="10"/>
      <c r="BY48" s="10"/>
      <c r="CA48" s="2" t="str">
        <f aca="false">IF(AS48="x","x",IF(AS48="-","-",""))</f>
        <v/>
      </c>
      <c r="CB48" s="2" t="str">
        <f aca="false">IF(AT48="x","x",IF(AT48="-","-",""))</f>
        <v/>
      </c>
      <c r="CC48" s="2" t="str">
        <f aca="false">IF(AU48="x","x",IF(AU48="-","-",""))</f>
        <v/>
      </c>
      <c r="CD48" s="2" t="str">
        <f aca="false">IF(AV48="x","x",IF(AV48="-","-",""))</f>
        <v/>
      </c>
      <c r="CE48" s="2" t="str">
        <f aca="false">IF(AW48="x","x",IF(AW48="-","-",""))</f>
        <v/>
      </c>
      <c r="CF48" s="2" t="str">
        <f aca="false">IF(AX48="x","x",IF(AX48="-","-",""))</f>
        <v/>
      </c>
      <c r="CG48" s="2" t="str">
        <f aca="false">IF(AY48="x","x",IF(AY48="-","-",""))</f>
        <v/>
      </c>
      <c r="CH48" s="2" t="str">
        <f aca="false">IF(AZ48="x","x",IF(AZ48="-","-",""))</f>
        <v>x</v>
      </c>
      <c r="CI48" s="2" t="str">
        <f aca="false">IF(BA48="x","x",IF(BA48="-","-",""))</f>
        <v/>
      </c>
      <c r="CJ48" s="2" t="str">
        <f aca="false">IF(BB48="x","x",IF(BB48="-","-",""))</f>
        <v/>
      </c>
      <c r="CK48" s="2" t="str">
        <f aca="false">IF(BC48="x","x",IF(BC48="-","-",""))</f>
        <v/>
      </c>
      <c r="CL48" s="2" t="str">
        <f aca="false">IF(BD48="x","x",IF(BD48="-","-",""))</f>
        <v/>
      </c>
      <c r="CM48" s="2" t="str">
        <f aca="false">IF(BE48="x","x",IF(BE48="-","-",""))</f>
        <v/>
      </c>
      <c r="CN48" s="2" t="str">
        <f aca="false">IF(BF48="x","x",IF(BF48="-","-",""))</f>
        <v/>
      </c>
      <c r="CO48" s="2" t="str">
        <f aca="false">IF(BG48="x","x",IF(BG48="-","-",""))</f>
        <v/>
      </c>
      <c r="CP48" s="2" t="str">
        <f aca="false">IF(BH48="x","x",IF(BH48="-","-",""))</f>
        <v/>
      </c>
      <c r="CQ48" s="2" t="str">
        <f aca="false">IF(BI48="x","x",IF(BI48="-","-",""))</f>
        <v/>
      </c>
      <c r="CR48" s="2" t="str">
        <f aca="false">IF(BJ48="x","x",IF(BJ48="-","-",""))</f>
        <v/>
      </c>
      <c r="CS48" s="2" t="str">
        <f aca="false">IF(BK48="x","x",IF(BK48="-","-",""))</f>
        <v/>
      </c>
      <c r="CT48" s="2" t="str">
        <f aca="false">IF(BL48="x","x",IF(BL48="-","-",""))</f>
        <v/>
      </c>
      <c r="CU48" s="2" t="str">
        <f aca="false">IF(BM48="x","x",IF(BM48="-","-",""))</f>
        <v/>
      </c>
      <c r="CV48" s="2" t="str">
        <f aca="false">IF(BN48="x","x",IF(BN48="-","-",""))</f>
        <v/>
      </c>
      <c r="CW48" s="2" t="str">
        <f aca="false">IF(BO48="x","x",IF(BO48="-","-",""))</f>
        <v/>
      </c>
      <c r="CX48" s="2" t="str">
        <f aca="false">IF(BP48="x","x",IF(BP48="-","-",""))</f>
        <v/>
      </c>
      <c r="CZ48" s="2" t="str">
        <f aca="false">IF(P48="x","x",IF(P48="-","-",""))</f>
        <v>-</v>
      </c>
      <c r="DA48" s="2" t="str">
        <f aca="false">IF(Q48="x","x",IF(Q48="-","-",""))</f>
        <v>-</v>
      </c>
      <c r="DB48" s="2" t="str">
        <f aca="false">IF(R48="x","x",IF(R48="-","-",""))</f>
        <v>-</v>
      </c>
      <c r="DC48" s="2" t="str">
        <f aca="false">IF(S48="x","x",IF(S48="-","-",""))</f>
        <v>-</v>
      </c>
      <c r="DD48" s="2" t="str">
        <f aca="false">IF(T48="x","x",IF(T48="-","-",""))</f>
        <v>-</v>
      </c>
      <c r="DE48" s="2" t="str">
        <f aca="false">IF(U48="x","x",IF(U48="-","-",""))</f>
        <v>-</v>
      </c>
      <c r="DF48" s="2" t="str">
        <f aca="false">IF(V48="x","x",IF(V48="-","-",""))</f>
        <v>-</v>
      </c>
      <c r="DG48" s="2" t="str">
        <f aca="false">IF(W48="x","x",IF(W48="-","-",""))</f>
        <v>-</v>
      </c>
      <c r="DH48" s="2" t="str">
        <f aca="false">IF(X48="x","x",IF(X48="-","-",""))</f>
        <v>-</v>
      </c>
      <c r="DI48" s="2" t="str">
        <f aca="false">IF(Y48="x","x",IF(Y48="-","-",""))</f>
        <v>-</v>
      </c>
      <c r="DJ48" s="2" t="str">
        <f aca="false">IF(Z48="x","x",IF(Z48="-","-",""))</f>
        <v>-</v>
      </c>
      <c r="DK48" s="2" t="str">
        <f aca="false">IF(AA48="x","x",IF(AA48="-","-",""))</f>
        <v>-</v>
      </c>
      <c r="DL48" s="10"/>
      <c r="DM48" s="2" t="str">
        <f aca="false">IF(AC48="x","x",IF(AC48="-","-",""))</f>
        <v>-</v>
      </c>
      <c r="DN48" s="2" t="str">
        <f aca="false">IF(AD48="x","x",IF(AD48="-","-",""))</f>
        <v>-</v>
      </c>
      <c r="DO48" s="2" t="str">
        <f aca="false">IF(AE48="x","x",IF(AE48="-","-",""))</f>
        <v>-</v>
      </c>
      <c r="DP48" s="2" t="str">
        <f aca="false">IF(AF48="x","x",IF(AF48="-","-",""))</f>
        <v>-</v>
      </c>
      <c r="DQ48" s="2" t="str">
        <f aca="false">IF(AG48="x","x",IF(AG48="-","-",""))</f>
        <v>-</v>
      </c>
      <c r="DR48" s="2" t="str">
        <f aca="false">IF(AH48="x","x",IF(AH48="-","-",""))</f>
        <v>-</v>
      </c>
      <c r="DS48" s="2" t="str">
        <f aca="false">IF(AI48="x","x",IF(AI48="-","-",""))</f>
        <v>-</v>
      </c>
      <c r="DT48" s="2" t="str">
        <f aca="false">IF(AJ48="x","x",IF(AJ48="-","-",""))</f>
        <v>-</v>
      </c>
      <c r="DU48" s="2" t="str">
        <f aca="false">IF(AK48="x","x",IF(AK48="-","-",""))</f>
        <v>-</v>
      </c>
      <c r="DV48" s="2" t="str">
        <f aca="false">IF(AL48="x","x",IF(AL48="-","-",""))</f>
        <v>-</v>
      </c>
      <c r="DW48" s="2" t="str">
        <f aca="false">IF(AM48="x","x",IF(AM48="-","-",""))</f>
        <v>-</v>
      </c>
      <c r="DX48" s="2" t="str">
        <f aca="false">IF(AN48="x","x",IF(AN48="-","-",""))</f>
        <v>-</v>
      </c>
    </row>
    <row r="49" customFormat="false" ht="13.8" hidden="false" customHeight="false" outlineLevel="0" collapsed="false">
      <c r="A49" s="10" t="s">
        <v>73</v>
      </c>
      <c r="B49" s="2" t="n">
        <v>48</v>
      </c>
      <c r="C49" s="11" t="s">
        <v>126</v>
      </c>
      <c r="D49" s="10" t="s">
        <v>123</v>
      </c>
      <c r="E49" s="10" t="s">
        <v>76</v>
      </c>
      <c r="F49" s="10" t="n">
        <v>48</v>
      </c>
      <c r="G49" s="10" t="s">
        <v>77</v>
      </c>
      <c r="H49" s="10" t="s">
        <v>77</v>
      </c>
      <c r="I49" s="10" t="s">
        <v>77</v>
      </c>
      <c r="J49" s="10" t="s">
        <v>77</v>
      </c>
      <c r="K49" s="10" t="s">
        <v>77</v>
      </c>
      <c r="L49" s="10" t="s">
        <v>77</v>
      </c>
      <c r="M49" s="2" t="n">
        <v>20</v>
      </c>
      <c r="N49" s="10" t="s">
        <v>77</v>
      </c>
      <c r="O49" s="10"/>
      <c r="P49" s="10" t="s">
        <v>77</v>
      </c>
      <c r="Q49" s="10" t="s">
        <v>77</v>
      </c>
      <c r="R49" s="10" t="s">
        <v>77</v>
      </c>
      <c r="S49" s="10" t="s">
        <v>77</v>
      </c>
      <c r="T49" s="10" t="s">
        <v>77</v>
      </c>
      <c r="U49" s="10" t="s">
        <v>77</v>
      </c>
      <c r="V49" s="10" t="s">
        <v>77</v>
      </c>
      <c r="W49" s="10" t="s">
        <v>77</v>
      </c>
      <c r="X49" s="10" t="s">
        <v>77</v>
      </c>
      <c r="Y49" s="10" t="s">
        <v>77</v>
      </c>
      <c r="Z49" s="10" t="s">
        <v>77</v>
      </c>
      <c r="AA49" s="10" t="s">
        <v>77</v>
      </c>
      <c r="AB49" s="10"/>
      <c r="AC49" s="10" t="s">
        <v>77</v>
      </c>
      <c r="AD49" s="10" t="s">
        <v>77</v>
      </c>
      <c r="AE49" s="10" t="s">
        <v>77</v>
      </c>
      <c r="AF49" s="10" t="s">
        <v>77</v>
      </c>
      <c r="AG49" s="10" t="s">
        <v>77</v>
      </c>
      <c r="AH49" s="10" t="s">
        <v>77</v>
      </c>
      <c r="AI49" s="10" t="s">
        <v>77</v>
      </c>
      <c r="AJ49" s="10" t="s">
        <v>77</v>
      </c>
      <c r="AK49" s="10" t="s">
        <v>77</v>
      </c>
      <c r="AL49" s="10" t="s">
        <v>77</v>
      </c>
      <c r="AM49" s="10" t="s">
        <v>77</v>
      </c>
      <c r="AN49" s="10" t="s">
        <v>77</v>
      </c>
      <c r="AO49" s="10"/>
      <c r="AP49" s="10" t="s">
        <v>73</v>
      </c>
      <c r="AQ49" s="10" t="s">
        <v>73</v>
      </c>
      <c r="AS49" s="10"/>
      <c r="AT49" s="10"/>
      <c r="AU49" s="10"/>
      <c r="AV49" s="10"/>
      <c r="AW49" s="10"/>
      <c r="AX49" s="10"/>
      <c r="AY49" s="10"/>
      <c r="AZ49" s="10" t="s">
        <v>78</v>
      </c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R49" s="10"/>
      <c r="BS49" s="10" t="s">
        <v>78</v>
      </c>
      <c r="BT49" s="10"/>
      <c r="BU49" s="10"/>
      <c r="BV49" s="10"/>
      <c r="BW49" s="10"/>
      <c r="BX49" s="10"/>
      <c r="BY49" s="10"/>
      <c r="CA49" s="2" t="str">
        <f aca="false">IF(AS49="x","x",IF(AS49="-","-",""))</f>
        <v/>
      </c>
      <c r="CB49" s="2" t="str">
        <f aca="false">IF(AT49="x","x",IF(AT49="-","-",""))</f>
        <v/>
      </c>
      <c r="CC49" s="2" t="str">
        <f aca="false">IF(AU49="x","x",IF(AU49="-","-",""))</f>
        <v/>
      </c>
      <c r="CD49" s="2" t="str">
        <f aca="false">IF(AV49="x","x",IF(AV49="-","-",""))</f>
        <v/>
      </c>
      <c r="CE49" s="2" t="str">
        <f aca="false">IF(AW49="x","x",IF(AW49="-","-",""))</f>
        <v/>
      </c>
      <c r="CF49" s="2" t="str">
        <f aca="false">IF(AX49="x","x",IF(AX49="-","-",""))</f>
        <v/>
      </c>
      <c r="CG49" s="2" t="str">
        <f aca="false">IF(AY49="x","x",IF(AY49="-","-",""))</f>
        <v/>
      </c>
      <c r="CH49" s="2" t="str">
        <f aca="false">IF(AZ49="x","x",IF(AZ49="-","-",""))</f>
        <v>x</v>
      </c>
      <c r="CI49" s="2" t="str">
        <f aca="false">IF(BA49="x","x",IF(BA49="-","-",""))</f>
        <v/>
      </c>
      <c r="CJ49" s="2" t="str">
        <f aca="false">IF(BB49="x","x",IF(BB49="-","-",""))</f>
        <v/>
      </c>
      <c r="CK49" s="2" t="str">
        <f aca="false">IF(BC49="x","x",IF(BC49="-","-",""))</f>
        <v/>
      </c>
      <c r="CL49" s="2" t="str">
        <f aca="false">IF(BD49="x","x",IF(BD49="-","-",""))</f>
        <v/>
      </c>
      <c r="CM49" s="2" t="str">
        <f aca="false">IF(BE49="x","x",IF(BE49="-","-",""))</f>
        <v/>
      </c>
      <c r="CN49" s="2" t="str">
        <f aca="false">IF(BF49="x","x",IF(BF49="-","-",""))</f>
        <v/>
      </c>
      <c r="CO49" s="2" t="str">
        <f aca="false">IF(BG49="x","x",IF(BG49="-","-",""))</f>
        <v/>
      </c>
      <c r="CP49" s="2" t="str">
        <f aca="false">IF(BH49="x","x",IF(BH49="-","-",""))</f>
        <v/>
      </c>
      <c r="CQ49" s="2" t="str">
        <f aca="false">IF(BI49="x","x",IF(BI49="-","-",""))</f>
        <v/>
      </c>
      <c r="CR49" s="2" t="str">
        <f aca="false">IF(BJ49="x","x",IF(BJ49="-","-",""))</f>
        <v/>
      </c>
      <c r="CS49" s="2" t="str">
        <f aca="false">IF(BK49="x","x",IF(BK49="-","-",""))</f>
        <v/>
      </c>
      <c r="CT49" s="2" t="str">
        <f aca="false">IF(BL49="x","x",IF(BL49="-","-",""))</f>
        <v/>
      </c>
      <c r="CU49" s="2" t="str">
        <f aca="false">IF(BM49="x","x",IF(BM49="-","-",""))</f>
        <v/>
      </c>
      <c r="CV49" s="2" t="str">
        <f aca="false">IF(BN49="x","x",IF(BN49="-","-",""))</f>
        <v/>
      </c>
      <c r="CW49" s="2" t="str">
        <f aca="false">IF(BO49="x","x",IF(BO49="-","-",""))</f>
        <v/>
      </c>
      <c r="CX49" s="2" t="str">
        <f aca="false">IF(BP49="x","x",IF(BP49="-","-",""))</f>
        <v/>
      </c>
      <c r="CZ49" s="2" t="str">
        <f aca="false">IF(P49="x","x",IF(P49="-","-",""))</f>
        <v>-</v>
      </c>
      <c r="DA49" s="2" t="str">
        <f aca="false">IF(Q49="x","x",IF(Q49="-","-",""))</f>
        <v>-</v>
      </c>
      <c r="DB49" s="2" t="str">
        <f aca="false">IF(R49="x","x",IF(R49="-","-",""))</f>
        <v>-</v>
      </c>
      <c r="DC49" s="2" t="str">
        <f aca="false">IF(S49="x","x",IF(S49="-","-",""))</f>
        <v>-</v>
      </c>
      <c r="DD49" s="2" t="str">
        <f aca="false">IF(T49="x","x",IF(T49="-","-",""))</f>
        <v>-</v>
      </c>
      <c r="DE49" s="2" t="str">
        <f aca="false">IF(U49="x","x",IF(U49="-","-",""))</f>
        <v>-</v>
      </c>
      <c r="DF49" s="2" t="str">
        <f aca="false">IF(V49="x","x",IF(V49="-","-",""))</f>
        <v>-</v>
      </c>
      <c r="DG49" s="2" t="str">
        <f aca="false">IF(W49="x","x",IF(W49="-","-",""))</f>
        <v>-</v>
      </c>
      <c r="DH49" s="2" t="str">
        <f aca="false">IF(X49="x","x",IF(X49="-","-",""))</f>
        <v>-</v>
      </c>
      <c r="DI49" s="2" t="str">
        <f aca="false">IF(Y49="x","x",IF(Y49="-","-",""))</f>
        <v>-</v>
      </c>
      <c r="DJ49" s="2" t="str">
        <f aca="false">IF(Z49="x","x",IF(Z49="-","-",""))</f>
        <v>-</v>
      </c>
      <c r="DK49" s="2" t="str">
        <f aca="false">IF(AA49="x","x",IF(AA49="-","-",""))</f>
        <v>-</v>
      </c>
      <c r="DL49" s="10"/>
      <c r="DM49" s="2" t="str">
        <f aca="false">IF(AC49="x","x",IF(AC49="-","-",""))</f>
        <v>-</v>
      </c>
      <c r="DN49" s="2" t="str">
        <f aca="false">IF(AD49="x","x",IF(AD49="-","-",""))</f>
        <v>-</v>
      </c>
      <c r="DO49" s="2" t="str">
        <f aca="false">IF(AE49="x","x",IF(AE49="-","-",""))</f>
        <v>-</v>
      </c>
      <c r="DP49" s="2" t="str">
        <f aca="false">IF(AF49="x","x",IF(AF49="-","-",""))</f>
        <v>-</v>
      </c>
      <c r="DQ49" s="2" t="str">
        <f aca="false">IF(AG49="x","x",IF(AG49="-","-",""))</f>
        <v>-</v>
      </c>
      <c r="DR49" s="2" t="str">
        <f aca="false">IF(AH49="x","x",IF(AH49="-","-",""))</f>
        <v>-</v>
      </c>
      <c r="DS49" s="2" t="str">
        <f aca="false">IF(AI49="x","x",IF(AI49="-","-",""))</f>
        <v>-</v>
      </c>
      <c r="DT49" s="2" t="str">
        <f aca="false">IF(AJ49="x","x",IF(AJ49="-","-",""))</f>
        <v>-</v>
      </c>
      <c r="DU49" s="2" t="str">
        <f aca="false">IF(AK49="x","x",IF(AK49="-","-",""))</f>
        <v>-</v>
      </c>
      <c r="DV49" s="2" t="str">
        <f aca="false">IF(AL49="x","x",IF(AL49="-","-",""))</f>
        <v>-</v>
      </c>
      <c r="DW49" s="2" t="str">
        <f aca="false">IF(AM49="x","x",IF(AM49="-","-",""))</f>
        <v>-</v>
      </c>
      <c r="DX49" s="2" t="str">
        <f aca="false">IF(AN49="x","x",IF(AN49="-","-",""))</f>
        <v>-</v>
      </c>
    </row>
    <row r="50" customFormat="false" ht="13.8" hidden="false" customHeight="false" outlineLevel="0" collapsed="false">
      <c r="A50" s="10" t="s">
        <v>73</v>
      </c>
      <c r="B50" s="2" t="n">
        <v>49</v>
      </c>
      <c r="C50" s="1" t="s">
        <v>77</v>
      </c>
      <c r="D50" s="10" t="s">
        <v>92</v>
      </c>
      <c r="E50" s="10" t="s">
        <v>127</v>
      </c>
      <c r="F50" s="10"/>
      <c r="G50" s="10" t="s">
        <v>77</v>
      </c>
      <c r="H50" s="10" t="s">
        <v>77</v>
      </c>
      <c r="I50" s="10" t="s">
        <v>77</v>
      </c>
      <c r="J50" s="10" t="s">
        <v>77</v>
      </c>
      <c r="K50" s="10" t="s">
        <v>77</v>
      </c>
      <c r="L50" s="10" t="s">
        <v>77</v>
      </c>
      <c r="M50" s="2" t="n">
        <v>20</v>
      </c>
      <c r="N50" s="10" t="s">
        <v>77</v>
      </c>
      <c r="O50" s="10"/>
      <c r="P50" s="10" t="s">
        <v>77</v>
      </c>
      <c r="Q50" s="10" t="s">
        <v>77</v>
      </c>
      <c r="R50" s="10" t="s">
        <v>77</v>
      </c>
      <c r="S50" s="10" t="s">
        <v>77</v>
      </c>
      <c r="T50" s="10" t="s">
        <v>77</v>
      </c>
      <c r="U50" s="10" t="s">
        <v>77</v>
      </c>
      <c r="V50" s="10" t="s">
        <v>77</v>
      </c>
      <c r="W50" s="10" t="s">
        <v>77</v>
      </c>
      <c r="X50" s="10" t="s">
        <v>77</v>
      </c>
      <c r="Y50" s="10" t="s">
        <v>77</v>
      </c>
      <c r="Z50" s="10" t="s">
        <v>77</v>
      </c>
      <c r="AA50" s="10" t="s">
        <v>77</v>
      </c>
      <c r="AB50" s="10"/>
      <c r="AC50" s="10" t="s">
        <v>77</v>
      </c>
      <c r="AD50" s="10" t="s">
        <v>77</v>
      </c>
      <c r="AE50" s="10" t="s">
        <v>77</v>
      </c>
      <c r="AF50" s="10" t="s">
        <v>77</v>
      </c>
      <c r="AG50" s="10" t="s">
        <v>77</v>
      </c>
      <c r="AH50" s="10" t="s">
        <v>77</v>
      </c>
      <c r="AI50" s="10" t="s">
        <v>77</v>
      </c>
      <c r="AJ50" s="10" t="s">
        <v>77</v>
      </c>
      <c r="AK50" s="10" t="s">
        <v>77</v>
      </c>
      <c r="AL50" s="10" t="s">
        <v>77</v>
      </c>
      <c r="AM50" s="10" t="s">
        <v>77</v>
      </c>
      <c r="AN50" s="10" t="s">
        <v>77</v>
      </c>
      <c r="AO50" s="10"/>
      <c r="AP50" s="10" t="s">
        <v>73</v>
      </c>
      <c r="AQ50" s="10" t="s">
        <v>73</v>
      </c>
      <c r="AS50" s="10" t="s">
        <v>77</v>
      </c>
      <c r="AT50" s="10" t="s">
        <v>77</v>
      </c>
      <c r="AU50" s="10" t="s">
        <v>77</v>
      </c>
      <c r="AV50" s="10" t="s">
        <v>77</v>
      </c>
      <c r="AW50" s="10" t="s">
        <v>77</v>
      </c>
      <c r="AX50" s="10" t="s">
        <v>77</v>
      </c>
      <c r="AY50" s="10" t="s">
        <v>77</v>
      </c>
      <c r="AZ50" s="10" t="s">
        <v>77</v>
      </c>
      <c r="BA50" s="10" t="s">
        <v>77</v>
      </c>
      <c r="BB50" s="10" t="s">
        <v>77</v>
      </c>
      <c r="BC50" s="10" t="s">
        <v>77</v>
      </c>
      <c r="BD50" s="10" t="s">
        <v>77</v>
      </c>
      <c r="BE50" s="10" t="s">
        <v>77</v>
      </c>
      <c r="BF50" s="10" t="s">
        <v>77</v>
      </c>
      <c r="BG50" s="10" t="s">
        <v>77</v>
      </c>
      <c r="BH50" s="10" t="s">
        <v>77</v>
      </c>
      <c r="BI50" s="10" t="s">
        <v>77</v>
      </c>
      <c r="BJ50" s="10" t="s">
        <v>77</v>
      </c>
      <c r="BK50" s="10" t="s">
        <v>77</v>
      </c>
      <c r="BL50" s="10" t="s">
        <v>77</v>
      </c>
      <c r="BM50" s="10" t="s">
        <v>77</v>
      </c>
      <c r="BN50" s="10" t="s">
        <v>77</v>
      </c>
      <c r="BO50" s="10" t="s">
        <v>77</v>
      </c>
      <c r="BP50" s="10" t="s">
        <v>77</v>
      </c>
      <c r="BR50" s="10" t="s">
        <v>77</v>
      </c>
      <c r="BS50" s="10" t="s">
        <v>77</v>
      </c>
      <c r="BT50" s="10" t="s">
        <v>77</v>
      </c>
      <c r="BU50" s="10" t="s">
        <v>77</v>
      </c>
      <c r="BV50" s="10" t="s">
        <v>77</v>
      </c>
      <c r="BW50" s="10" t="s">
        <v>77</v>
      </c>
      <c r="BX50" s="10" t="s">
        <v>77</v>
      </c>
      <c r="BY50" s="10" t="s">
        <v>77</v>
      </c>
      <c r="CA50" s="2" t="str">
        <f aca="false">IF(AS50="x","x",IF(AS50="-","-",""))</f>
        <v>-</v>
      </c>
      <c r="CB50" s="2" t="str">
        <f aca="false">IF(AT50="x","x",IF(AT50="-","-",""))</f>
        <v>-</v>
      </c>
      <c r="CC50" s="2" t="str">
        <f aca="false">IF(AU50="x","x",IF(AU50="-","-",""))</f>
        <v>-</v>
      </c>
      <c r="CD50" s="2" t="str">
        <f aca="false">IF(AV50="x","x",IF(AV50="-","-",""))</f>
        <v>-</v>
      </c>
      <c r="CE50" s="2" t="str">
        <f aca="false">IF(AW50="x","x",IF(AW50="-","-",""))</f>
        <v>-</v>
      </c>
      <c r="CF50" s="2" t="str">
        <f aca="false">IF(AX50="x","x",IF(AX50="-","-",""))</f>
        <v>-</v>
      </c>
      <c r="CG50" s="2" t="str">
        <f aca="false">IF(AY50="x","x",IF(AY50="-","-",""))</f>
        <v>-</v>
      </c>
      <c r="CH50" s="2" t="str">
        <f aca="false">IF(AZ50="x","x",IF(AZ50="-","-",""))</f>
        <v>-</v>
      </c>
      <c r="CI50" s="2" t="str">
        <f aca="false">IF(BA50="x","x",IF(BA50="-","-",""))</f>
        <v>-</v>
      </c>
      <c r="CJ50" s="2" t="str">
        <f aca="false">IF(BB50="x","x",IF(BB50="-","-",""))</f>
        <v>-</v>
      </c>
      <c r="CK50" s="2" t="str">
        <f aca="false">IF(BC50="x","x",IF(BC50="-","-",""))</f>
        <v>-</v>
      </c>
      <c r="CL50" s="2" t="str">
        <f aca="false">IF(BD50="x","x",IF(BD50="-","-",""))</f>
        <v>-</v>
      </c>
      <c r="CM50" s="2" t="str">
        <f aca="false">IF(BE50="x","x",IF(BE50="-","-",""))</f>
        <v>-</v>
      </c>
      <c r="CN50" s="2" t="str">
        <f aca="false">IF(BF50="x","x",IF(BF50="-","-",""))</f>
        <v>-</v>
      </c>
      <c r="CO50" s="2" t="str">
        <f aca="false">IF(BG50="x","x",IF(BG50="-","-",""))</f>
        <v>-</v>
      </c>
      <c r="CP50" s="2" t="str">
        <f aca="false">IF(BH50="x","x",IF(BH50="-","-",""))</f>
        <v>-</v>
      </c>
      <c r="CQ50" s="2" t="str">
        <f aca="false">IF(BI50="x","x",IF(BI50="-","-",""))</f>
        <v>-</v>
      </c>
      <c r="CR50" s="2" t="str">
        <f aca="false">IF(BJ50="x","x",IF(BJ50="-","-",""))</f>
        <v>-</v>
      </c>
      <c r="CS50" s="2" t="str">
        <f aca="false">IF(BK50="x","x",IF(BK50="-","-",""))</f>
        <v>-</v>
      </c>
      <c r="CT50" s="2" t="str">
        <f aca="false">IF(BL50="x","x",IF(BL50="-","-",""))</f>
        <v>-</v>
      </c>
      <c r="CU50" s="2" t="str">
        <f aca="false">IF(BM50="x","x",IF(BM50="-","-",""))</f>
        <v>-</v>
      </c>
      <c r="CV50" s="2" t="str">
        <f aca="false">IF(BN50="x","x",IF(BN50="-","-",""))</f>
        <v>-</v>
      </c>
      <c r="CW50" s="2" t="str">
        <f aca="false">IF(BO50="x","x",IF(BO50="-","-",""))</f>
        <v>-</v>
      </c>
      <c r="CX50" s="2" t="str">
        <f aca="false">IF(BP50="x","x",IF(BP50="-","-",""))</f>
        <v>-</v>
      </c>
      <c r="CZ50" s="2" t="str">
        <f aca="false">IF(P50="x","x",IF(P50="-","-",""))</f>
        <v>-</v>
      </c>
      <c r="DA50" s="2" t="str">
        <f aca="false">IF(Q50="x","x",IF(Q50="-","-",""))</f>
        <v>-</v>
      </c>
      <c r="DB50" s="2" t="str">
        <f aca="false">IF(R50="x","x",IF(R50="-","-",""))</f>
        <v>-</v>
      </c>
      <c r="DC50" s="2" t="str">
        <f aca="false">IF(S50="x","x",IF(S50="-","-",""))</f>
        <v>-</v>
      </c>
      <c r="DD50" s="2" t="str">
        <f aca="false">IF(T50="x","x",IF(T50="-","-",""))</f>
        <v>-</v>
      </c>
      <c r="DE50" s="2" t="str">
        <f aca="false">IF(U50="x","x",IF(U50="-","-",""))</f>
        <v>-</v>
      </c>
      <c r="DF50" s="2" t="str">
        <f aca="false">IF(V50="x","x",IF(V50="-","-",""))</f>
        <v>-</v>
      </c>
      <c r="DG50" s="2" t="str">
        <f aca="false">IF(W50="x","x",IF(W50="-","-",""))</f>
        <v>-</v>
      </c>
      <c r="DH50" s="2" t="str">
        <f aca="false">IF(X50="x","x",IF(X50="-","-",""))</f>
        <v>-</v>
      </c>
      <c r="DI50" s="2" t="str">
        <f aca="false">IF(Y50="x","x",IF(Y50="-","-",""))</f>
        <v>-</v>
      </c>
      <c r="DJ50" s="2" t="str">
        <f aca="false">IF(Z50="x","x",IF(Z50="-","-",""))</f>
        <v>-</v>
      </c>
      <c r="DK50" s="2" t="str">
        <f aca="false">IF(AA50="x","x",IF(AA50="-","-",""))</f>
        <v>-</v>
      </c>
      <c r="DL50" s="10"/>
      <c r="DM50" s="2" t="str">
        <f aca="false">IF(AC50="x","x",IF(AC50="-","-",""))</f>
        <v>-</v>
      </c>
      <c r="DN50" s="2" t="str">
        <f aca="false">IF(AD50="x","x",IF(AD50="-","-",""))</f>
        <v>-</v>
      </c>
      <c r="DO50" s="2" t="str">
        <f aca="false">IF(AE50="x","x",IF(AE50="-","-",""))</f>
        <v>-</v>
      </c>
      <c r="DP50" s="2" t="str">
        <f aca="false">IF(AF50="x","x",IF(AF50="-","-",""))</f>
        <v>-</v>
      </c>
      <c r="DQ50" s="2" t="str">
        <f aca="false">IF(AG50="x","x",IF(AG50="-","-",""))</f>
        <v>-</v>
      </c>
      <c r="DR50" s="2" t="str">
        <f aca="false">IF(AH50="x","x",IF(AH50="-","-",""))</f>
        <v>-</v>
      </c>
      <c r="DS50" s="2" t="str">
        <f aca="false">IF(AI50="x","x",IF(AI50="-","-",""))</f>
        <v>-</v>
      </c>
      <c r="DT50" s="2" t="str">
        <f aca="false">IF(AJ50="x","x",IF(AJ50="-","-",""))</f>
        <v>-</v>
      </c>
      <c r="DU50" s="2" t="str">
        <f aca="false">IF(AK50="x","x",IF(AK50="-","-",""))</f>
        <v>-</v>
      </c>
      <c r="DV50" s="2" t="str">
        <f aca="false">IF(AL50="x","x",IF(AL50="-","-",""))</f>
        <v>-</v>
      </c>
      <c r="DW50" s="2" t="str">
        <f aca="false">IF(AM50="x","x",IF(AM50="-","-",""))</f>
        <v>-</v>
      </c>
      <c r="DX50" s="2" t="str">
        <f aca="false">IF(AN50="x","x",IF(AN50="-","-",""))</f>
        <v>-</v>
      </c>
    </row>
    <row r="51" customFormat="false" ht="13.8" hidden="false" customHeight="false" outlineLevel="0" collapsed="false">
      <c r="A51" s="10" t="s">
        <v>73</v>
      </c>
      <c r="B51" s="2" t="n">
        <v>50</v>
      </c>
      <c r="C51" s="1" t="s">
        <v>77</v>
      </c>
      <c r="D51" s="10" t="s">
        <v>92</v>
      </c>
      <c r="E51" s="10" t="s">
        <v>127</v>
      </c>
      <c r="F51" s="10"/>
      <c r="G51" s="10" t="s">
        <v>77</v>
      </c>
      <c r="H51" s="10" t="s">
        <v>77</v>
      </c>
      <c r="I51" s="10" t="s">
        <v>77</v>
      </c>
      <c r="J51" s="10" t="s">
        <v>77</v>
      </c>
      <c r="K51" s="10" t="s">
        <v>77</v>
      </c>
      <c r="L51" s="10" t="s">
        <v>77</v>
      </c>
      <c r="M51" s="2" t="n">
        <v>20</v>
      </c>
      <c r="N51" s="10" t="s">
        <v>77</v>
      </c>
      <c r="O51" s="10"/>
      <c r="P51" s="10" t="s">
        <v>77</v>
      </c>
      <c r="Q51" s="10" t="s">
        <v>77</v>
      </c>
      <c r="R51" s="10" t="s">
        <v>77</v>
      </c>
      <c r="S51" s="10" t="s">
        <v>77</v>
      </c>
      <c r="T51" s="10" t="s">
        <v>77</v>
      </c>
      <c r="U51" s="10" t="s">
        <v>77</v>
      </c>
      <c r="V51" s="10" t="s">
        <v>77</v>
      </c>
      <c r="W51" s="10" t="s">
        <v>77</v>
      </c>
      <c r="X51" s="10" t="s">
        <v>77</v>
      </c>
      <c r="Y51" s="10" t="s">
        <v>77</v>
      </c>
      <c r="Z51" s="10" t="s">
        <v>77</v>
      </c>
      <c r="AA51" s="10" t="s">
        <v>77</v>
      </c>
      <c r="AB51" s="10"/>
      <c r="AC51" s="10" t="s">
        <v>77</v>
      </c>
      <c r="AD51" s="10" t="s">
        <v>77</v>
      </c>
      <c r="AE51" s="10" t="s">
        <v>77</v>
      </c>
      <c r="AF51" s="10" t="s">
        <v>77</v>
      </c>
      <c r="AG51" s="10" t="s">
        <v>77</v>
      </c>
      <c r="AH51" s="10" t="s">
        <v>77</v>
      </c>
      <c r="AI51" s="10" t="s">
        <v>77</v>
      </c>
      <c r="AJ51" s="10" t="s">
        <v>77</v>
      </c>
      <c r="AK51" s="10" t="s">
        <v>77</v>
      </c>
      <c r="AL51" s="10" t="s">
        <v>77</v>
      </c>
      <c r="AM51" s="10" t="s">
        <v>77</v>
      </c>
      <c r="AN51" s="10" t="s">
        <v>77</v>
      </c>
      <c r="AO51" s="10"/>
      <c r="AP51" s="10" t="s">
        <v>73</v>
      </c>
      <c r="AQ51" s="10" t="s">
        <v>73</v>
      </c>
      <c r="AS51" s="10" t="s">
        <v>77</v>
      </c>
      <c r="AT51" s="10" t="s">
        <v>77</v>
      </c>
      <c r="AU51" s="10" t="s">
        <v>77</v>
      </c>
      <c r="AV51" s="10" t="s">
        <v>77</v>
      </c>
      <c r="AW51" s="10" t="s">
        <v>77</v>
      </c>
      <c r="AX51" s="10" t="s">
        <v>77</v>
      </c>
      <c r="AY51" s="10" t="s">
        <v>77</v>
      </c>
      <c r="AZ51" s="10" t="s">
        <v>77</v>
      </c>
      <c r="BA51" s="10" t="s">
        <v>77</v>
      </c>
      <c r="BB51" s="10" t="s">
        <v>77</v>
      </c>
      <c r="BC51" s="10" t="s">
        <v>77</v>
      </c>
      <c r="BD51" s="10" t="s">
        <v>77</v>
      </c>
      <c r="BE51" s="10" t="s">
        <v>77</v>
      </c>
      <c r="BF51" s="10" t="s">
        <v>77</v>
      </c>
      <c r="BG51" s="10" t="s">
        <v>77</v>
      </c>
      <c r="BH51" s="10" t="s">
        <v>77</v>
      </c>
      <c r="BI51" s="10" t="s">
        <v>77</v>
      </c>
      <c r="BJ51" s="10" t="s">
        <v>77</v>
      </c>
      <c r="BK51" s="10" t="s">
        <v>77</v>
      </c>
      <c r="BL51" s="10" t="s">
        <v>77</v>
      </c>
      <c r="BM51" s="10" t="s">
        <v>77</v>
      </c>
      <c r="BN51" s="10" t="s">
        <v>77</v>
      </c>
      <c r="BO51" s="10" t="s">
        <v>77</v>
      </c>
      <c r="BP51" s="10" t="s">
        <v>77</v>
      </c>
      <c r="BR51" s="10" t="s">
        <v>77</v>
      </c>
      <c r="BS51" s="10" t="s">
        <v>77</v>
      </c>
      <c r="BT51" s="10" t="s">
        <v>77</v>
      </c>
      <c r="BU51" s="10" t="s">
        <v>77</v>
      </c>
      <c r="BV51" s="10" t="s">
        <v>77</v>
      </c>
      <c r="BW51" s="10" t="s">
        <v>77</v>
      </c>
      <c r="BX51" s="10" t="s">
        <v>77</v>
      </c>
      <c r="BY51" s="10" t="s">
        <v>77</v>
      </c>
      <c r="CA51" s="2" t="str">
        <f aca="false">IF(AS51="x","x",IF(AS51="-","-",""))</f>
        <v>-</v>
      </c>
      <c r="CB51" s="2" t="str">
        <f aca="false">IF(AT51="x","x",IF(AT51="-","-",""))</f>
        <v>-</v>
      </c>
      <c r="CC51" s="2" t="str">
        <f aca="false">IF(AU51="x","x",IF(AU51="-","-",""))</f>
        <v>-</v>
      </c>
      <c r="CD51" s="2" t="str">
        <f aca="false">IF(AV51="x","x",IF(AV51="-","-",""))</f>
        <v>-</v>
      </c>
      <c r="CE51" s="2" t="str">
        <f aca="false">IF(AW51="x","x",IF(AW51="-","-",""))</f>
        <v>-</v>
      </c>
      <c r="CF51" s="2" t="str">
        <f aca="false">IF(AX51="x","x",IF(AX51="-","-",""))</f>
        <v>-</v>
      </c>
      <c r="CG51" s="2" t="str">
        <f aca="false">IF(AY51="x","x",IF(AY51="-","-",""))</f>
        <v>-</v>
      </c>
      <c r="CH51" s="2" t="str">
        <f aca="false">IF(AZ51="x","x",IF(AZ51="-","-",""))</f>
        <v>-</v>
      </c>
      <c r="CI51" s="2" t="str">
        <f aca="false">IF(BA51="x","x",IF(BA51="-","-",""))</f>
        <v>-</v>
      </c>
      <c r="CJ51" s="2" t="str">
        <f aca="false">IF(BB51="x","x",IF(BB51="-","-",""))</f>
        <v>-</v>
      </c>
      <c r="CK51" s="2" t="str">
        <f aca="false">IF(BC51="x","x",IF(BC51="-","-",""))</f>
        <v>-</v>
      </c>
      <c r="CL51" s="2" t="str">
        <f aca="false">IF(BD51="x","x",IF(BD51="-","-",""))</f>
        <v>-</v>
      </c>
      <c r="CM51" s="2" t="str">
        <f aca="false">IF(BE51="x","x",IF(BE51="-","-",""))</f>
        <v>-</v>
      </c>
      <c r="CN51" s="2" t="str">
        <f aca="false">IF(BF51="x","x",IF(BF51="-","-",""))</f>
        <v>-</v>
      </c>
      <c r="CO51" s="2" t="str">
        <f aca="false">IF(BG51="x","x",IF(BG51="-","-",""))</f>
        <v>-</v>
      </c>
      <c r="CP51" s="2" t="str">
        <f aca="false">IF(BH51="x","x",IF(BH51="-","-",""))</f>
        <v>-</v>
      </c>
      <c r="CQ51" s="2" t="str">
        <f aca="false">IF(BI51="x","x",IF(BI51="-","-",""))</f>
        <v>-</v>
      </c>
      <c r="CR51" s="2" t="str">
        <f aca="false">IF(BJ51="x","x",IF(BJ51="-","-",""))</f>
        <v>-</v>
      </c>
      <c r="CS51" s="2" t="str">
        <f aca="false">IF(BK51="x","x",IF(BK51="-","-",""))</f>
        <v>-</v>
      </c>
      <c r="CT51" s="2" t="str">
        <f aca="false">IF(BL51="x","x",IF(BL51="-","-",""))</f>
        <v>-</v>
      </c>
      <c r="CU51" s="2" t="str">
        <f aca="false">IF(BM51="x","x",IF(BM51="-","-",""))</f>
        <v>-</v>
      </c>
      <c r="CV51" s="2" t="str">
        <f aca="false">IF(BN51="x","x",IF(BN51="-","-",""))</f>
        <v>-</v>
      </c>
      <c r="CW51" s="2" t="str">
        <f aca="false">IF(BO51="x","x",IF(BO51="-","-",""))</f>
        <v>-</v>
      </c>
      <c r="CX51" s="2" t="str">
        <f aca="false">IF(BP51="x","x",IF(BP51="-","-",""))</f>
        <v>-</v>
      </c>
      <c r="CZ51" s="2" t="str">
        <f aca="false">IF(P51="x","x",IF(P51="-","-",""))</f>
        <v>-</v>
      </c>
      <c r="DA51" s="2" t="str">
        <f aca="false">IF(Q51="x","x",IF(Q51="-","-",""))</f>
        <v>-</v>
      </c>
      <c r="DB51" s="2" t="str">
        <f aca="false">IF(R51="x","x",IF(R51="-","-",""))</f>
        <v>-</v>
      </c>
      <c r="DC51" s="2" t="str">
        <f aca="false">IF(S51="x","x",IF(S51="-","-",""))</f>
        <v>-</v>
      </c>
      <c r="DD51" s="2" t="str">
        <f aca="false">IF(T51="x","x",IF(T51="-","-",""))</f>
        <v>-</v>
      </c>
      <c r="DE51" s="2" t="str">
        <f aca="false">IF(U51="x","x",IF(U51="-","-",""))</f>
        <v>-</v>
      </c>
      <c r="DF51" s="2" t="str">
        <f aca="false">IF(V51="x","x",IF(V51="-","-",""))</f>
        <v>-</v>
      </c>
      <c r="DG51" s="2" t="str">
        <f aca="false">IF(W51="x","x",IF(W51="-","-",""))</f>
        <v>-</v>
      </c>
      <c r="DH51" s="2" t="str">
        <f aca="false">IF(X51="x","x",IF(X51="-","-",""))</f>
        <v>-</v>
      </c>
      <c r="DI51" s="2" t="str">
        <f aca="false">IF(Y51="x","x",IF(Y51="-","-",""))</f>
        <v>-</v>
      </c>
      <c r="DJ51" s="2" t="str">
        <f aca="false">IF(Z51="x","x",IF(Z51="-","-",""))</f>
        <v>-</v>
      </c>
      <c r="DK51" s="2" t="str">
        <f aca="false">IF(AA51="x","x",IF(AA51="-","-",""))</f>
        <v>-</v>
      </c>
      <c r="DL51" s="10"/>
      <c r="DM51" s="2" t="str">
        <f aca="false">IF(AC51="x","x",IF(AC51="-","-",""))</f>
        <v>-</v>
      </c>
      <c r="DN51" s="2" t="str">
        <f aca="false">IF(AD51="x","x",IF(AD51="-","-",""))</f>
        <v>-</v>
      </c>
      <c r="DO51" s="2" t="str">
        <f aca="false">IF(AE51="x","x",IF(AE51="-","-",""))</f>
        <v>-</v>
      </c>
      <c r="DP51" s="2" t="str">
        <f aca="false">IF(AF51="x","x",IF(AF51="-","-",""))</f>
        <v>-</v>
      </c>
      <c r="DQ51" s="2" t="str">
        <f aca="false">IF(AG51="x","x",IF(AG51="-","-",""))</f>
        <v>-</v>
      </c>
      <c r="DR51" s="2" t="str">
        <f aca="false">IF(AH51="x","x",IF(AH51="-","-",""))</f>
        <v>-</v>
      </c>
      <c r="DS51" s="2" t="str">
        <f aca="false">IF(AI51="x","x",IF(AI51="-","-",""))</f>
        <v>-</v>
      </c>
      <c r="DT51" s="2" t="str">
        <f aca="false">IF(AJ51="x","x",IF(AJ51="-","-",""))</f>
        <v>-</v>
      </c>
      <c r="DU51" s="2" t="str">
        <f aca="false">IF(AK51="x","x",IF(AK51="-","-",""))</f>
        <v>-</v>
      </c>
      <c r="DV51" s="2" t="str">
        <f aca="false">IF(AL51="x","x",IF(AL51="-","-",""))</f>
        <v>-</v>
      </c>
      <c r="DW51" s="2" t="str">
        <f aca="false">IF(AM51="x","x",IF(AM51="-","-",""))</f>
        <v>-</v>
      </c>
      <c r="DX51" s="2" t="str">
        <f aca="false">IF(AN51="x","x",IF(AN51="-","-",""))</f>
        <v>-</v>
      </c>
    </row>
    <row r="52" customFormat="false" ht="13.8" hidden="false" customHeight="false" outlineLevel="0" collapsed="false">
      <c r="A52" s="10" t="s">
        <v>73</v>
      </c>
      <c r="B52" s="2" t="n">
        <v>51</v>
      </c>
      <c r="C52" s="1" t="s">
        <v>77</v>
      </c>
      <c r="D52" s="10" t="s">
        <v>92</v>
      </c>
      <c r="E52" s="10" t="s">
        <v>127</v>
      </c>
      <c r="F52" s="10"/>
      <c r="G52" s="10" t="s">
        <v>77</v>
      </c>
      <c r="H52" s="10" t="s">
        <v>77</v>
      </c>
      <c r="I52" s="10" t="s">
        <v>77</v>
      </c>
      <c r="J52" s="10" t="s">
        <v>77</v>
      </c>
      <c r="K52" s="10" t="s">
        <v>77</v>
      </c>
      <c r="L52" s="10" t="s">
        <v>77</v>
      </c>
      <c r="M52" s="2" t="n">
        <v>20</v>
      </c>
      <c r="N52" s="10" t="s">
        <v>77</v>
      </c>
      <c r="O52" s="10"/>
      <c r="P52" s="10" t="s">
        <v>77</v>
      </c>
      <c r="Q52" s="10" t="s">
        <v>77</v>
      </c>
      <c r="R52" s="10" t="s">
        <v>77</v>
      </c>
      <c r="S52" s="10" t="s">
        <v>77</v>
      </c>
      <c r="T52" s="10" t="s">
        <v>77</v>
      </c>
      <c r="U52" s="10" t="s">
        <v>77</v>
      </c>
      <c r="V52" s="10" t="s">
        <v>77</v>
      </c>
      <c r="W52" s="10" t="s">
        <v>77</v>
      </c>
      <c r="X52" s="10" t="s">
        <v>77</v>
      </c>
      <c r="Y52" s="10" t="s">
        <v>77</v>
      </c>
      <c r="Z52" s="10" t="s">
        <v>77</v>
      </c>
      <c r="AA52" s="10" t="s">
        <v>77</v>
      </c>
      <c r="AB52" s="10"/>
      <c r="AC52" s="10" t="s">
        <v>77</v>
      </c>
      <c r="AD52" s="10" t="s">
        <v>77</v>
      </c>
      <c r="AE52" s="10" t="s">
        <v>77</v>
      </c>
      <c r="AF52" s="10" t="s">
        <v>77</v>
      </c>
      <c r="AG52" s="10" t="s">
        <v>77</v>
      </c>
      <c r="AH52" s="10" t="s">
        <v>77</v>
      </c>
      <c r="AI52" s="10" t="s">
        <v>77</v>
      </c>
      <c r="AJ52" s="10" t="s">
        <v>77</v>
      </c>
      <c r="AK52" s="10" t="s">
        <v>77</v>
      </c>
      <c r="AL52" s="10" t="s">
        <v>77</v>
      </c>
      <c r="AM52" s="10" t="s">
        <v>77</v>
      </c>
      <c r="AN52" s="10" t="s">
        <v>77</v>
      </c>
      <c r="AO52" s="10"/>
      <c r="AP52" s="10" t="s">
        <v>73</v>
      </c>
      <c r="AQ52" s="10" t="s">
        <v>73</v>
      </c>
      <c r="AS52" s="10" t="s">
        <v>77</v>
      </c>
      <c r="AT52" s="10" t="s">
        <v>77</v>
      </c>
      <c r="AU52" s="10" t="s">
        <v>77</v>
      </c>
      <c r="AV52" s="10" t="s">
        <v>77</v>
      </c>
      <c r="AW52" s="10" t="s">
        <v>77</v>
      </c>
      <c r="AX52" s="10" t="s">
        <v>77</v>
      </c>
      <c r="AY52" s="10" t="s">
        <v>77</v>
      </c>
      <c r="AZ52" s="10" t="s">
        <v>77</v>
      </c>
      <c r="BA52" s="10" t="s">
        <v>77</v>
      </c>
      <c r="BB52" s="10" t="s">
        <v>77</v>
      </c>
      <c r="BC52" s="10" t="s">
        <v>77</v>
      </c>
      <c r="BD52" s="10" t="s">
        <v>77</v>
      </c>
      <c r="BE52" s="10" t="s">
        <v>77</v>
      </c>
      <c r="BF52" s="10" t="s">
        <v>77</v>
      </c>
      <c r="BG52" s="10" t="s">
        <v>77</v>
      </c>
      <c r="BH52" s="10" t="s">
        <v>77</v>
      </c>
      <c r="BI52" s="10" t="s">
        <v>77</v>
      </c>
      <c r="BJ52" s="10" t="s">
        <v>77</v>
      </c>
      <c r="BK52" s="10" t="s">
        <v>77</v>
      </c>
      <c r="BL52" s="10" t="s">
        <v>77</v>
      </c>
      <c r="BM52" s="10" t="s">
        <v>77</v>
      </c>
      <c r="BN52" s="10" t="s">
        <v>77</v>
      </c>
      <c r="BO52" s="10" t="s">
        <v>77</v>
      </c>
      <c r="BP52" s="10" t="s">
        <v>77</v>
      </c>
      <c r="BR52" s="10" t="s">
        <v>77</v>
      </c>
      <c r="BS52" s="10" t="s">
        <v>77</v>
      </c>
      <c r="BT52" s="10" t="s">
        <v>77</v>
      </c>
      <c r="BU52" s="10" t="s">
        <v>77</v>
      </c>
      <c r="BV52" s="10" t="s">
        <v>77</v>
      </c>
      <c r="BW52" s="10" t="s">
        <v>77</v>
      </c>
      <c r="BX52" s="10" t="s">
        <v>77</v>
      </c>
      <c r="BY52" s="10" t="s">
        <v>77</v>
      </c>
      <c r="CA52" s="2" t="str">
        <f aca="false">IF(AS52="x","x",IF(AS52="-","-",""))</f>
        <v>-</v>
      </c>
      <c r="CB52" s="2" t="str">
        <f aca="false">IF(AT52="x","x",IF(AT52="-","-",""))</f>
        <v>-</v>
      </c>
      <c r="CC52" s="2" t="str">
        <f aca="false">IF(AU52="x","x",IF(AU52="-","-",""))</f>
        <v>-</v>
      </c>
      <c r="CD52" s="2" t="str">
        <f aca="false">IF(AV52="x","x",IF(AV52="-","-",""))</f>
        <v>-</v>
      </c>
      <c r="CE52" s="2" t="str">
        <f aca="false">IF(AW52="x","x",IF(AW52="-","-",""))</f>
        <v>-</v>
      </c>
      <c r="CF52" s="2" t="str">
        <f aca="false">IF(AX52="x","x",IF(AX52="-","-",""))</f>
        <v>-</v>
      </c>
      <c r="CG52" s="2" t="str">
        <f aca="false">IF(AY52="x","x",IF(AY52="-","-",""))</f>
        <v>-</v>
      </c>
      <c r="CH52" s="2" t="str">
        <f aca="false">IF(AZ52="x","x",IF(AZ52="-","-",""))</f>
        <v>-</v>
      </c>
      <c r="CI52" s="2" t="str">
        <f aca="false">IF(BA52="x","x",IF(BA52="-","-",""))</f>
        <v>-</v>
      </c>
      <c r="CJ52" s="2" t="str">
        <f aca="false">IF(BB52="x","x",IF(BB52="-","-",""))</f>
        <v>-</v>
      </c>
      <c r="CK52" s="2" t="str">
        <f aca="false">IF(BC52="x","x",IF(BC52="-","-",""))</f>
        <v>-</v>
      </c>
      <c r="CL52" s="2" t="str">
        <f aca="false">IF(BD52="x","x",IF(BD52="-","-",""))</f>
        <v>-</v>
      </c>
      <c r="CM52" s="2" t="str">
        <f aca="false">IF(BE52="x","x",IF(BE52="-","-",""))</f>
        <v>-</v>
      </c>
      <c r="CN52" s="2" t="str">
        <f aca="false">IF(BF52="x","x",IF(BF52="-","-",""))</f>
        <v>-</v>
      </c>
      <c r="CO52" s="2" t="str">
        <f aca="false">IF(BG52="x","x",IF(BG52="-","-",""))</f>
        <v>-</v>
      </c>
      <c r="CP52" s="2" t="str">
        <f aca="false">IF(BH52="x","x",IF(BH52="-","-",""))</f>
        <v>-</v>
      </c>
      <c r="CQ52" s="2" t="str">
        <f aca="false">IF(BI52="x","x",IF(BI52="-","-",""))</f>
        <v>-</v>
      </c>
      <c r="CR52" s="2" t="str">
        <f aca="false">IF(BJ52="x","x",IF(BJ52="-","-",""))</f>
        <v>-</v>
      </c>
      <c r="CS52" s="2" t="str">
        <f aca="false">IF(BK52="x","x",IF(BK52="-","-",""))</f>
        <v>-</v>
      </c>
      <c r="CT52" s="2" t="str">
        <f aca="false">IF(BL52="x","x",IF(BL52="-","-",""))</f>
        <v>-</v>
      </c>
      <c r="CU52" s="2" t="str">
        <f aca="false">IF(BM52="x","x",IF(BM52="-","-",""))</f>
        <v>-</v>
      </c>
      <c r="CV52" s="2" t="str">
        <f aca="false">IF(BN52="x","x",IF(BN52="-","-",""))</f>
        <v>-</v>
      </c>
      <c r="CW52" s="2" t="str">
        <f aca="false">IF(BO52="x","x",IF(BO52="-","-",""))</f>
        <v>-</v>
      </c>
      <c r="CX52" s="2" t="str">
        <f aca="false">IF(BP52="x","x",IF(BP52="-","-",""))</f>
        <v>-</v>
      </c>
      <c r="CZ52" s="2" t="str">
        <f aca="false">IF(P52="x","x",IF(P52="-","-",""))</f>
        <v>-</v>
      </c>
      <c r="DA52" s="2" t="str">
        <f aca="false">IF(Q52="x","x",IF(Q52="-","-",""))</f>
        <v>-</v>
      </c>
      <c r="DB52" s="2" t="str">
        <f aca="false">IF(R52="x","x",IF(R52="-","-",""))</f>
        <v>-</v>
      </c>
      <c r="DC52" s="2" t="str">
        <f aca="false">IF(S52="x","x",IF(S52="-","-",""))</f>
        <v>-</v>
      </c>
      <c r="DD52" s="2" t="str">
        <f aca="false">IF(T52="x","x",IF(T52="-","-",""))</f>
        <v>-</v>
      </c>
      <c r="DE52" s="2" t="str">
        <f aca="false">IF(U52="x","x",IF(U52="-","-",""))</f>
        <v>-</v>
      </c>
      <c r="DF52" s="2" t="str">
        <f aca="false">IF(V52="x","x",IF(V52="-","-",""))</f>
        <v>-</v>
      </c>
      <c r="DG52" s="2" t="str">
        <f aca="false">IF(W52="x","x",IF(W52="-","-",""))</f>
        <v>-</v>
      </c>
      <c r="DH52" s="2" t="str">
        <f aca="false">IF(X52="x","x",IF(X52="-","-",""))</f>
        <v>-</v>
      </c>
      <c r="DI52" s="2" t="str">
        <f aca="false">IF(Y52="x","x",IF(Y52="-","-",""))</f>
        <v>-</v>
      </c>
      <c r="DJ52" s="2" t="str">
        <f aca="false">IF(Z52="x","x",IF(Z52="-","-",""))</f>
        <v>-</v>
      </c>
      <c r="DK52" s="2" t="str">
        <f aca="false">IF(AA52="x","x",IF(AA52="-","-",""))</f>
        <v>-</v>
      </c>
      <c r="DL52" s="10"/>
      <c r="DM52" s="2" t="str">
        <f aca="false">IF(AC52="x","x",IF(AC52="-","-",""))</f>
        <v>-</v>
      </c>
      <c r="DN52" s="2" t="str">
        <f aca="false">IF(AD52="x","x",IF(AD52="-","-",""))</f>
        <v>-</v>
      </c>
      <c r="DO52" s="2" t="str">
        <f aca="false">IF(AE52="x","x",IF(AE52="-","-",""))</f>
        <v>-</v>
      </c>
      <c r="DP52" s="2" t="str">
        <f aca="false">IF(AF52="x","x",IF(AF52="-","-",""))</f>
        <v>-</v>
      </c>
      <c r="DQ52" s="2" t="str">
        <f aca="false">IF(AG52="x","x",IF(AG52="-","-",""))</f>
        <v>-</v>
      </c>
      <c r="DR52" s="2" t="str">
        <f aca="false">IF(AH52="x","x",IF(AH52="-","-",""))</f>
        <v>-</v>
      </c>
      <c r="DS52" s="2" t="str">
        <f aca="false">IF(AI52="x","x",IF(AI52="-","-",""))</f>
        <v>-</v>
      </c>
      <c r="DT52" s="2" t="str">
        <f aca="false">IF(AJ52="x","x",IF(AJ52="-","-",""))</f>
        <v>-</v>
      </c>
      <c r="DU52" s="2" t="str">
        <f aca="false">IF(AK52="x","x",IF(AK52="-","-",""))</f>
        <v>-</v>
      </c>
      <c r="DV52" s="2" t="str">
        <f aca="false">IF(AL52="x","x",IF(AL52="-","-",""))</f>
        <v>-</v>
      </c>
      <c r="DW52" s="2" t="str">
        <f aca="false">IF(AM52="x","x",IF(AM52="-","-",""))</f>
        <v>-</v>
      </c>
      <c r="DX52" s="2" t="str">
        <f aca="false">IF(AN52="x","x",IF(AN52="-","-",""))</f>
        <v>-</v>
      </c>
    </row>
    <row r="53" customFormat="false" ht="13.8" hidden="false" customHeight="false" outlineLevel="0" collapsed="false">
      <c r="A53" s="10" t="s">
        <v>73</v>
      </c>
      <c r="B53" s="2" t="n">
        <v>52</v>
      </c>
      <c r="C53" s="1" t="s">
        <v>77</v>
      </c>
      <c r="D53" s="10" t="s">
        <v>92</v>
      </c>
      <c r="E53" s="10" t="s">
        <v>127</v>
      </c>
      <c r="F53" s="10"/>
      <c r="G53" s="10" t="s">
        <v>77</v>
      </c>
      <c r="H53" s="10" t="s">
        <v>77</v>
      </c>
      <c r="I53" s="10" t="s">
        <v>77</v>
      </c>
      <c r="J53" s="10" t="s">
        <v>77</v>
      </c>
      <c r="K53" s="10" t="s">
        <v>77</v>
      </c>
      <c r="L53" s="10" t="s">
        <v>77</v>
      </c>
      <c r="M53" s="2" t="n">
        <v>20</v>
      </c>
      <c r="N53" s="10" t="s">
        <v>77</v>
      </c>
      <c r="O53" s="10"/>
      <c r="P53" s="10" t="s">
        <v>77</v>
      </c>
      <c r="Q53" s="10" t="s">
        <v>77</v>
      </c>
      <c r="R53" s="10" t="s">
        <v>77</v>
      </c>
      <c r="S53" s="10" t="s">
        <v>77</v>
      </c>
      <c r="T53" s="10" t="s">
        <v>77</v>
      </c>
      <c r="U53" s="10" t="s">
        <v>77</v>
      </c>
      <c r="V53" s="10" t="s">
        <v>77</v>
      </c>
      <c r="W53" s="10" t="s">
        <v>77</v>
      </c>
      <c r="X53" s="10" t="s">
        <v>77</v>
      </c>
      <c r="Y53" s="10" t="s">
        <v>77</v>
      </c>
      <c r="Z53" s="10" t="s">
        <v>77</v>
      </c>
      <c r="AA53" s="10" t="s">
        <v>77</v>
      </c>
      <c r="AB53" s="10"/>
      <c r="AC53" s="10" t="s">
        <v>77</v>
      </c>
      <c r="AD53" s="10" t="s">
        <v>77</v>
      </c>
      <c r="AE53" s="10" t="s">
        <v>77</v>
      </c>
      <c r="AF53" s="10" t="s">
        <v>77</v>
      </c>
      <c r="AG53" s="10" t="s">
        <v>77</v>
      </c>
      <c r="AH53" s="10" t="s">
        <v>77</v>
      </c>
      <c r="AI53" s="10" t="s">
        <v>77</v>
      </c>
      <c r="AJ53" s="10" t="s">
        <v>77</v>
      </c>
      <c r="AK53" s="10" t="s">
        <v>77</v>
      </c>
      <c r="AL53" s="10" t="s">
        <v>77</v>
      </c>
      <c r="AM53" s="10" t="s">
        <v>77</v>
      </c>
      <c r="AN53" s="10" t="s">
        <v>77</v>
      </c>
      <c r="AO53" s="10"/>
      <c r="AP53" s="10" t="s">
        <v>73</v>
      </c>
      <c r="AQ53" s="10" t="s">
        <v>73</v>
      </c>
      <c r="AS53" s="10" t="s">
        <v>77</v>
      </c>
      <c r="AT53" s="10" t="s">
        <v>77</v>
      </c>
      <c r="AU53" s="10" t="s">
        <v>77</v>
      </c>
      <c r="AV53" s="10" t="s">
        <v>77</v>
      </c>
      <c r="AW53" s="10" t="s">
        <v>77</v>
      </c>
      <c r="AX53" s="10" t="s">
        <v>77</v>
      </c>
      <c r="AY53" s="10" t="s">
        <v>77</v>
      </c>
      <c r="AZ53" s="10" t="s">
        <v>77</v>
      </c>
      <c r="BA53" s="10" t="s">
        <v>77</v>
      </c>
      <c r="BB53" s="10" t="s">
        <v>77</v>
      </c>
      <c r="BC53" s="10" t="s">
        <v>77</v>
      </c>
      <c r="BD53" s="10" t="s">
        <v>77</v>
      </c>
      <c r="BE53" s="10" t="s">
        <v>77</v>
      </c>
      <c r="BF53" s="10" t="s">
        <v>77</v>
      </c>
      <c r="BG53" s="10" t="s">
        <v>77</v>
      </c>
      <c r="BH53" s="10" t="s">
        <v>77</v>
      </c>
      <c r="BI53" s="10" t="s">
        <v>77</v>
      </c>
      <c r="BJ53" s="10" t="s">
        <v>77</v>
      </c>
      <c r="BK53" s="10" t="s">
        <v>77</v>
      </c>
      <c r="BL53" s="10" t="s">
        <v>77</v>
      </c>
      <c r="BM53" s="10" t="s">
        <v>77</v>
      </c>
      <c r="BN53" s="10" t="s">
        <v>77</v>
      </c>
      <c r="BO53" s="10" t="s">
        <v>77</v>
      </c>
      <c r="BP53" s="10" t="s">
        <v>77</v>
      </c>
      <c r="BR53" s="10" t="s">
        <v>77</v>
      </c>
      <c r="BS53" s="10" t="s">
        <v>77</v>
      </c>
      <c r="BT53" s="10" t="s">
        <v>77</v>
      </c>
      <c r="BU53" s="10" t="s">
        <v>77</v>
      </c>
      <c r="BV53" s="10" t="s">
        <v>77</v>
      </c>
      <c r="BW53" s="10" t="s">
        <v>77</v>
      </c>
      <c r="BX53" s="10" t="s">
        <v>77</v>
      </c>
      <c r="BY53" s="10" t="s">
        <v>77</v>
      </c>
      <c r="CA53" s="2" t="str">
        <f aca="false">IF(AS53="x","x",IF(AS53="-","-",""))</f>
        <v>-</v>
      </c>
      <c r="CB53" s="2" t="str">
        <f aca="false">IF(AT53="x","x",IF(AT53="-","-",""))</f>
        <v>-</v>
      </c>
      <c r="CC53" s="2" t="str">
        <f aca="false">IF(AU53="x","x",IF(AU53="-","-",""))</f>
        <v>-</v>
      </c>
      <c r="CD53" s="2" t="str">
        <f aca="false">IF(AV53="x","x",IF(AV53="-","-",""))</f>
        <v>-</v>
      </c>
      <c r="CE53" s="2" t="str">
        <f aca="false">IF(AW53="x","x",IF(AW53="-","-",""))</f>
        <v>-</v>
      </c>
      <c r="CF53" s="2" t="str">
        <f aca="false">IF(AX53="x","x",IF(AX53="-","-",""))</f>
        <v>-</v>
      </c>
      <c r="CG53" s="2" t="str">
        <f aca="false">IF(AY53="x","x",IF(AY53="-","-",""))</f>
        <v>-</v>
      </c>
      <c r="CH53" s="2" t="str">
        <f aca="false">IF(AZ53="x","x",IF(AZ53="-","-",""))</f>
        <v>-</v>
      </c>
      <c r="CI53" s="2" t="str">
        <f aca="false">IF(BA53="x","x",IF(BA53="-","-",""))</f>
        <v>-</v>
      </c>
      <c r="CJ53" s="2" t="str">
        <f aca="false">IF(BB53="x","x",IF(BB53="-","-",""))</f>
        <v>-</v>
      </c>
      <c r="CK53" s="2" t="str">
        <f aca="false">IF(BC53="x","x",IF(BC53="-","-",""))</f>
        <v>-</v>
      </c>
      <c r="CL53" s="2" t="str">
        <f aca="false">IF(BD53="x","x",IF(BD53="-","-",""))</f>
        <v>-</v>
      </c>
      <c r="CM53" s="2" t="str">
        <f aca="false">IF(BE53="x","x",IF(BE53="-","-",""))</f>
        <v>-</v>
      </c>
      <c r="CN53" s="2" t="str">
        <f aca="false">IF(BF53="x","x",IF(BF53="-","-",""))</f>
        <v>-</v>
      </c>
      <c r="CO53" s="2" t="str">
        <f aca="false">IF(BG53="x","x",IF(BG53="-","-",""))</f>
        <v>-</v>
      </c>
      <c r="CP53" s="2" t="str">
        <f aca="false">IF(BH53="x","x",IF(BH53="-","-",""))</f>
        <v>-</v>
      </c>
      <c r="CQ53" s="2" t="str">
        <f aca="false">IF(BI53="x","x",IF(BI53="-","-",""))</f>
        <v>-</v>
      </c>
      <c r="CR53" s="2" t="str">
        <f aca="false">IF(BJ53="x","x",IF(BJ53="-","-",""))</f>
        <v>-</v>
      </c>
      <c r="CS53" s="2" t="str">
        <f aca="false">IF(BK53="x","x",IF(BK53="-","-",""))</f>
        <v>-</v>
      </c>
      <c r="CT53" s="2" t="str">
        <f aca="false">IF(BL53="x","x",IF(BL53="-","-",""))</f>
        <v>-</v>
      </c>
      <c r="CU53" s="2" t="str">
        <f aca="false">IF(BM53="x","x",IF(BM53="-","-",""))</f>
        <v>-</v>
      </c>
      <c r="CV53" s="2" t="str">
        <f aca="false">IF(BN53="x","x",IF(BN53="-","-",""))</f>
        <v>-</v>
      </c>
      <c r="CW53" s="2" t="str">
        <f aca="false">IF(BO53="x","x",IF(BO53="-","-",""))</f>
        <v>-</v>
      </c>
      <c r="CX53" s="2" t="str">
        <f aca="false">IF(BP53="x","x",IF(BP53="-","-",""))</f>
        <v>-</v>
      </c>
      <c r="CZ53" s="2" t="str">
        <f aca="false">IF(P53="x","x",IF(P53="-","-",""))</f>
        <v>-</v>
      </c>
      <c r="DA53" s="2" t="str">
        <f aca="false">IF(Q53="x","x",IF(Q53="-","-",""))</f>
        <v>-</v>
      </c>
      <c r="DB53" s="2" t="str">
        <f aca="false">IF(R53="x","x",IF(R53="-","-",""))</f>
        <v>-</v>
      </c>
      <c r="DC53" s="2" t="str">
        <f aca="false">IF(S53="x","x",IF(S53="-","-",""))</f>
        <v>-</v>
      </c>
      <c r="DD53" s="2" t="str">
        <f aca="false">IF(T53="x","x",IF(T53="-","-",""))</f>
        <v>-</v>
      </c>
      <c r="DE53" s="2" t="str">
        <f aca="false">IF(U53="x","x",IF(U53="-","-",""))</f>
        <v>-</v>
      </c>
      <c r="DF53" s="2" t="str">
        <f aca="false">IF(V53="x","x",IF(V53="-","-",""))</f>
        <v>-</v>
      </c>
      <c r="DG53" s="2" t="str">
        <f aca="false">IF(W53="x","x",IF(W53="-","-",""))</f>
        <v>-</v>
      </c>
      <c r="DH53" s="2" t="str">
        <f aca="false">IF(X53="x","x",IF(X53="-","-",""))</f>
        <v>-</v>
      </c>
      <c r="DI53" s="2" t="str">
        <f aca="false">IF(Y53="x","x",IF(Y53="-","-",""))</f>
        <v>-</v>
      </c>
      <c r="DJ53" s="2" t="str">
        <f aca="false">IF(Z53="x","x",IF(Z53="-","-",""))</f>
        <v>-</v>
      </c>
      <c r="DK53" s="2" t="str">
        <f aca="false">IF(AA53="x","x",IF(AA53="-","-",""))</f>
        <v>-</v>
      </c>
      <c r="DL53" s="10"/>
      <c r="DM53" s="2" t="str">
        <f aca="false">IF(AC53="x","x",IF(AC53="-","-",""))</f>
        <v>-</v>
      </c>
      <c r="DN53" s="2" t="str">
        <f aca="false">IF(AD53="x","x",IF(AD53="-","-",""))</f>
        <v>-</v>
      </c>
      <c r="DO53" s="2" t="str">
        <f aca="false">IF(AE53="x","x",IF(AE53="-","-",""))</f>
        <v>-</v>
      </c>
      <c r="DP53" s="2" t="str">
        <f aca="false">IF(AF53="x","x",IF(AF53="-","-",""))</f>
        <v>-</v>
      </c>
      <c r="DQ53" s="2" t="str">
        <f aca="false">IF(AG53="x","x",IF(AG53="-","-",""))</f>
        <v>-</v>
      </c>
      <c r="DR53" s="2" t="str">
        <f aca="false">IF(AH53="x","x",IF(AH53="-","-",""))</f>
        <v>-</v>
      </c>
      <c r="DS53" s="2" t="str">
        <f aca="false">IF(AI53="x","x",IF(AI53="-","-",""))</f>
        <v>-</v>
      </c>
      <c r="DT53" s="2" t="str">
        <f aca="false">IF(AJ53="x","x",IF(AJ53="-","-",""))</f>
        <v>-</v>
      </c>
      <c r="DU53" s="2" t="str">
        <f aca="false">IF(AK53="x","x",IF(AK53="-","-",""))</f>
        <v>-</v>
      </c>
      <c r="DV53" s="2" t="str">
        <f aca="false">IF(AL53="x","x",IF(AL53="-","-",""))</f>
        <v>-</v>
      </c>
      <c r="DW53" s="2" t="str">
        <f aca="false">IF(AM53="x","x",IF(AM53="-","-",""))</f>
        <v>-</v>
      </c>
      <c r="DX53" s="2" t="str">
        <f aca="false">IF(AN53="x","x",IF(AN53="-","-",""))</f>
        <v>-</v>
      </c>
    </row>
    <row r="54" customFormat="false" ht="13.8" hidden="false" customHeight="false" outlineLevel="0" collapsed="false">
      <c r="A54" s="10" t="s">
        <v>73</v>
      </c>
      <c r="B54" s="2" t="n">
        <v>53</v>
      </c>
      <c r="C54" s="1" t="s">
        <v>77</v>
      </c>
      <c r="D54" s="10" t="s">
        <v>92</v>
      </c>
      <c r="E54" s="10" t="s">
        <v>127</v>
      </c>
      <c r="F54" s="10"/>
      <c r="G54" s="10" t="s">
        <v>77</v>
      </c>
      <c r="H54" s="10" t="s">
        <v>77</v>
      </c>
      <c r="I54" s="10" t="s">
        <v>77</v>
      </c>
      <c r="J54" s="10" t="s">
        <v>77</v>
      </c>
      <c r="K54" s="10" t="s">
        <v>77</v>
      </c>
      <c r="L54" s="10" t="s">
        <v>77</v>
      </c>
      <c r="M54" s="2" t="n">
        <v>20</v>
      </c>
      <c r="N54" s="10" t="s">
        <v>77</v>
      </c>
      <c r="O54" s="10"/>
      <c r="P54" s="10" t="s">
        <v>77</v>
      </c>
      <c r="Q54" s="10" t="s">
        <v>77</v>
      </c>
      <c r="R54" s="10" t="s">
        <v>77</v>
      </c>
      <c r="S54" s="10" t="s">
        <v>77</v>
      </c>
      <c r="T54" s="10" t="s">
        <v>77</v>
      </c>
      <c r="U54" s="10" t="s">
        <v>77</v>
      </c>
      <c r="V54" s="10" t="s">
        <v>77</v>
      </c>
      <c r="W54" s="10" t="s">
        <v>77</v>
      </c>
      <c r="X54" s="10" t="s">
        <v>77</v>
      </c>
      <c r="Y54" s="10" t="s">
        <v>77</v>
      </c>
      <c r="Z54" s="10" t="s">
        <v>77</v>
      </c>
      <c r="AA54" s="10" t="s">
        <v>77</v>
      </c>
      <c r="AB54" s="10"/>
      <c r="AC54" s="10" t="s">
        <v>77</v>
      </c>
      <c r="AD54" s="10" t="s">
        <v>77</v>
      </c>
      <c r="AE54" s="10" t="s">
        <v>77</v>
      </c>
      <c r="AF54" s="10" t="s">
        <v>77</v>
      </c>
      <c r="AG54" s="10" t="s">
        <v>77</v>
      </c>
      <c r="AH54" s="10" t="s">
        <v>77</v>
      </c>
      <c r="AI54" s="10" t="s">
        <v>77</v>
      </c>
      <c r="AJ54" s="10" t="s">
        <v>77</v>
      </c>
      <c r="AK54" s="10" t="s">
        <v>77</v>
      </c>
      <c r="AL54" s="10" t="s">
        <v>77</v>
      </c>
      <c r="AM54" s="10" t="s">
        <v>77</v>
      </c>
      <c r="AN54" s="10" t="s">
        <v>77</v>
      </c>
      <c r="AO54" s="10"/>
      <c r="AP54" s="10" t="s">
        <v>73</v>
      </c>
      <c r="AQ54" s="10" t="s">
        <v>73</v>
      </c>
      <c r="AS54" s="10" t="s">
        <v>77</v>
      </c>
      <c r="AT54" s="10" t="s">
        <v>77</v>
      </c>
      <c r="AU54" s="10" t="s">
        <v>77</v>
      </c>
      <c r="AV54" s="10" t="s">
        <v>77</v>
      </c>
      <c r="AW54" s="10" t="s">
        <v>77</v>
      </c>
      <c r="AX54" s="10" t="s">
        <v>77</v>
      </c>
      <c r="AY54" s="10" t="s">
        <v>77</v>
      </c>
      <c r="AZ54" s="10" t="s">
        <v>77</v>
      </c>
      <c r="BA54" s="10" t="s">
        <v>77</v>
      </c>
      <c r="BB54" s="10" t="s">
        <v>77</v>
      </c>
      <c r="BC54" s="10" t="s">
        <v>77</v>
      </c>
      <c r="BD54" s="10" t="s">
        <v>77</v>
      </c>
      <c r="BE54" s="10" t="s">
        <v>77</v>
      </c>
      <c r="BF54" s="10" t="s">
        <v>77</v>
      </c>
      <c r="BG54" s="10" t="s">
        <v>77</v>
      </c>
      <c r="BH54" s="10" t="s">
        <v>77</v>
      </c>
      <c r="BI54" s="10" t="s">
        <v>77</v>
      </c>
      <c r="BJ54" s="10" t="s">
        <v>77</v>
      </c>
      <c r="BK54" s="10" t="s">
        <v>77</v>
      </c>
      <c r="BL54" s="10" t="s">
        <v>77</v>
      </c>
      <c r="BM54" s="10" t="s">
        <v>77</v>
      </c>
      <c r="BN54" s="10" t="s">
        <v>77</v>
      </c>
      <c r="BO54" s="10" t="s">
        <v>77</v>
      </c>
      <c r="BP54" s="10" t="s">
        <v>77</v>
      </c>
      <c r="BR54" s="10" t="s">
        <v>77</v>
      </c>
      <c r="BS54" s="10" t="s">
        <v>77</v>
      </c>
      <c r="BT54" s="10" t="s">
        <v>77</v>
      </c>
      <c r="BU54" s="10" t="s">
        <v>77</v>
      </c>
      <c r="BV54" s="10" t="s">
        <v>77</v>
      </c>
      <c r="BW54" s="10" t="s">
        <v>77</v>
      </c>
      <c r="BX54" s="10" t="s">
        <v>77</v>
      </c>
      <c r="BY54" s="10" t="s">
        <v>77</v>
      </c>
      <c r="CA54" s="2" t="str">
        <f aca="false">IF(AS54="x","x",IF(AS54="-","-",""))</f>
        <v>-</v>
      </c>
      <c r="CB54" s="2" t="str">
        <f aca="false">IF(AT54="x","x",IF(AT54="-","-",""))</f>
        <v>-</v>
      </c>
      <c r="CC54" s="2" t="str">
        <f aca="false">IF(AU54="x","x",IF(AU54="-","-",""))</f>
        <v>-</v>
      </c>
      <c r="CD54" s="2" t="str">
        <f aca="false">IF(AV54="x","x",IF(AV54="-","-",""))</f>
        <v>-</v>
      </c>
      <c r="CE54" s="2" t="str">
        <f aca="false">IF(AW54="x","x",IF(AW54="-","-",""))</f>
        <v>-</v>
      </c>
      <c r="CF54" s="2" t="str">
        <f aca="false">IF(AX54="x","x",IF(AX54="-","-",""))</f>
        <v>-</v>
      </c>
      <c r="CG54" s="2" t="str">
        <f aca="false">IF(AY54="x","x",IF(AY54="-","-",""))</f>
        <v>-</v>
      </c>
      <c r="CH54" s="2" t="str">
        <f aca="false">IF(AZ54="x","x",IF(AZ54="-","-",""))</f>
        <v>-</v>
      </c>
      <c r="CI54" s="2" t="str">
        <f aca="false">IF(BA54="x","x",IF(BA54="-","-",""))</f>
        <v>-</v>
      </c>
      <c r="CJ54" s="2" t="str">
        <f aca="false">IF(BB54="x","x",IF(BB54="-","-",""))</f>
        <v>-</v>
      </c>
      <c r="CK54" s="2" t="str">
        <f aca="false">IF(BC54="x","x",IF(BC54="-","-",""))</f>
        <v>-</v>
      </c>
      <c r="CL54" s="2" t="str">
        <f aca="false">IF(BD54="x","x",IF(BD54="-","-",""))</f>
        <v>-</v>
      </c>
      <c r="CM54" s="2" t="str">
        <f aca="false">IF(BE54="x","x",IF(BE54="-","-",""))</f>
        <v>-</v>
      </c>
      <c r="CN54" s="2" t="str">
        <f aca="false">IF(BF54="x","x",IF(BF54="-","-",""))</f>
        <v>-</v>
      </c>
      <c r="CO54" s="2" t="str">
        <f aca="false">IF(BG54="x","x",IF(BG54="-","-",""))</f>
        <v>-</v>
      </c>
      <c r="CP54" s="2" t="str">
        <f aca="false">IF(BH54="x","x",IF(BH54="-","-",""))</f>
        <v>-</v>
      </c>
      <c r="CQ54" s="2" t="str">
        <f aca="false">IF(BI54="x","x",IF(BI54="-","-",""))</f>
        <v>-</v>
      </c>
      <c r="CR54" s="2" t="str">
        <f aca="false">IF(BJ54="x","x",IF(BJ54="-","-",""))</f>
        <v>-</v>
      </c>
      <c r="CS54" s="2" t="str">
        <f aca="false">IF(BK54="x","x",IF(BK54="-","-",""))</f>
        <v>-</v>
      </c>
      <c r="CT54" s="2" t="str">
        <f aca="false">IF(BL54="x","x",IF(BL54="-","-",""))</f>
        <v>-</v>
      </c>
      <c r="CU54" s="2" t="str">
        <f aca="false">IF(BM54="x","x",IF(BM54="-","-",""))</f>
        <v>-</v>
      </c>
      <c r="CV54" s="2" t="str">
        <f aca="false">IF(BN54="x","x",IF(BN54="-","-",""))</f>
        <v>-</v>
      </c>
      <c r="CW54" s="2" t="str">
        <f aca="false">IF(BO54="x","x",IF(BO54="-","-",""))</f>
        <v>-</v>
      </c>
      <c r="CX54" s="2" t="str">
        <f aca="false">IF(BP54="x","x",IF(BP54="-","-",""))</f>
        <v>-</v>
      </c>
      <c r="CZ54" s="2" t="str">
        <f aca="false">IF(P54="x","x",IF(P54="-","-",""))</f>
        <v>-</v>
      </c>
      <c r="DA54" s="2" t="str">
        <f aca="false">IF(Q54="x","x",IF(Q54="-","-",""))</f>
        <v>-</v>
      </c>
      <c r="DB54" s="2" t="str">
        <f aca="false">IF(R54="x","x",IF(R54="-","-",""))</f>
        <v>-</v>
      </c>
      <c r="DC54" s="2" t="str">
        <f aca="false">IF(S54="x","x",IF(S54="-","-",""))</f>
        <v>-</v>
      </c>
      <c r="DD54" s="2" t="str">
        <f aca="false">IF(T54="x","x",IF(T54="-","-",""))</f>
        <v>-</v>
      </c>
      <c r="DE54" s="2" t="str">
        <f aca="false">IF(U54="x","x",IF(U54="-","-",""))</f>
        <v>-</v>
      </c>
      <c r="DF54" s="2" t="str">
        <f aca="false">IF(V54="x","x",IF(V54="-","-",""))</f>
        <v>-</v>
      </c>
      <c r="DG54" s="2" t="str">
        <f aca="false">IF(W54="x","x",IF(W54="-","-",""))</f>
        <v>-</v>
      </c>
      <c r="DH54" s="2" t="str">
        <f aca="false">IF(X54="x","x",IF(X54="-","-",""))</f>
        <v>-</v>
      </c>
      <c r="DI54" s="2" t="str">
        <f aca="false">IF(Y54="x","x",IF(Y54="-","-",""))</f>
        <v>-</v>
      </c>
      <c r="DJ54" s="2" t="str">
        <f aca="false">IF(Z54="x","x",IF(Z54="-","-",""))</f>
        <v>-</v>
      </c>
      <c r="DK54" s="2" t="str">
        <f aca="false">IF(AA54="x","x",IF(AA54="-","-",""))</f>
        <v>-</v>
      </c>
      <c r="DL54" s="10"/>
      <c r="DM54" s="2" t="str">
        <f aca="false">IF(AC54="x","x",IF(AC54="-","-",""))</f>
        <v>-</v>
      </c>
      <c r="DN54" s="2" t="str">
        <f aca="false">IF(AD54="x","x",IF(AD54="-","-",""))</f>
        <v>-</v>
      </c>
      <c r="DO54" s="2" t="str">
        <f aca="false">IF(AE54="x","x",IF(AE54="-","-",""))</f>
        <v>-</v>
      </c>
      <c r="DP54" s="2" t="str">
        <f aca="false">IF(AF54="x","x",IF(AF54="-","-",""))</f>
        <v>-</v>
      </c>
      <c r="DQ54" s="2" t="str">
        <f aca="false">IF(AG54="x","x",IF(AG54="-","-",""))</f>
        <v>-</v>
      </c>
      <c r="DR54" s="2" t="str">
        <f aca="false">IF(AH54="x","x",IF(AH54="-","-",""))</f>
        <v>-</v>
      </c>
      <c r="DS54" s="2" t="str">
        <f aca="false">IF(AI54="x","x",IF(AI54="-","-",""))</f>
        <v>-</v>
      </c>
      <c r="DT54" s="2" t="str">
        <f aca="false">IF(AJ54="x","x",IF(AJ54="-","-",""))</f>
        <v>-</v>
      </c>
      <c r="DU54" s="2" t="str">
        <f aca="false">IF(AK54="x","x",IF(AK54="-","-",""))</f>
        <v>-</v>
      </c>
      <c r="DV54" s="2" t="str">
        <f aca="false">IF(AL54="x","x",IF(AL54="-","-",""))</f>
        <v>-</v>
      </c>
      <c r="DW54" s="2" t="str">
        <f aca="false">IF(AM54="x","x",IF(AM54="-","-",""))</f>
        <v>-</v>
      </c>
      <c r="DX54" s="2" t="str">
        <f aca="false">IF(AN54="x","x",IF(AN54="-","-",""))</f>
        <v>-</v>
      </c>
    </row>
    <row r="55" customFormat="false" ht="13.8" hidden="false" customHeight="false" outlineLevel="0" collapsed="false">
      <c r="A55" s="10" t="s">
        <v>73</v>
      </c>
      <c r="B55" s="2" t="n">
        <v>54</v>
      </c>
      <c r="C55" s="1" t="s">
        <v>77</v>
      </c>
      <c r="D55" s="10" t="s">
        <v>92</v>
      </c>
      <c r="E55" s="10" t="s">
        <v>127</v>
      </c>
      <c r="F55" s="10"/>
      <c r="G55" s="10" t="s">
        <v>77</v>
      </c>
      <c r="H55" s="10" t="s">
        <v>77</v>
      </c>
      <c r="I55" s="10" t="s">
        <v>77</v>
      </c>
      <c r="J55" s="10" t="s">
        <v>77</v>
      </c>
      <c r="K55" s="10" t="s">
        <v>77</v>
      </c>
      <c r="L55" s="10" t="s">
        <v>77</v>
      </c>
      <c r="M55" s="2" t="n">
        <v>20</v>
      </c>
      <c r="N55" s="10" t="s">
        <v>77</v>
      </c>
      <c r="O55" s="10"/>
      <c r="P55" s="10" t="s">
        <v>77</v>
      </c>
      <c r="Q55" s="10" t="s">
        <v>77</v>
      </c>
      <c r="R55" s="10" t="s">
        <v>77</v>
      </c>
      <c r="S55" s="10" t="s">
        <v>77</v>
      </c>
      <c r="T55" s="10" t="s">
        <v>77</v>
      </c>
      <c r="U55" s="10" t="s">
        <v>77</v>
      </c>
      <c r="V55" s="10" t="s">
        <v>77</v>
      </c>
      <c r="W55" s="10" t="s">
        <v>77</v>
      </c>
      <c r="X55" s="10" t="s">
        <v>77</v>
      </c>
      <c r="Y55" s="10" t="s">
        <v>77</v>
      </c>
      <c r="Z55" s="10" t="s">
        <v>77</v>
      </c>
      <c r="AA55" s="10" t="s">
        <v>77</v>
      </c>
      <c r="AB55" s="10"/>
      <c r="AC55" s="10" t="s">
        <v>77</v>
      </c>
      <c r="AD55" s="10" t="s">
        <v>77</v>
      </c>
      <c r="AE55" s="10" t="s">
        <v>77</v>
      </c>
      <c r="AF55" s="10" t="s">
        <v>77</v>
      </c>
      <c r="AG55" s="10" t="s">
        <v>77</v>
      </c>
      <c r="AH55" s="10" t="s">
        <v>77</v>
      </c>
      <c r="AI55" s="10" t="s">
        <v>77</v>
      </c>
      <c r="AJ55" s="10" t="s">
        <v>77</v>
      </c>
      <c r="AK55" s="10" t="s">
        <v>77</v>
      </c>
      <c r="AL55" s="10" t="s">
        <v>77</v>
      </c>
      <c r="AM55" s="10" t="s">
        <v>77</v>
      </c>
      <c r="AN55" s="10" t="s">
        <v>77</v>
      </c>
      <c r="AO55" s="10"/>
      <c r="AP55" s="10" t="s">
        <v>73</v>
      </c>
      <c r="AQ55" s="10" t="s">
        <v>73</v>
      </c>
      <c r="AS55" s="10" t="s">
        <v>77</v>
      </c>
      <c r="AT55" s="10" t="s">
        <v>77</v>
      </c>
      <c r="AU55" s="10" t="s">
        <v>77</v>
      </c>
      <c r="AV55" s="10" t="s">
        <v>77</v>
      </c>
      <c r="AW55" s="10" t="s">
        <v>77</v>
      </c>
      <c r="AX55" s="10" t="s">
        <v>77</v>
      </c>
      <c r="AY55" s="10" t="s">
        <v>77</v>
      </c>
      <c r="AZ55" s="10" t="s">
        <v>77</v>
      </c>
      <c r="BA55" s="10" t="s">
        <v>77</v>
      </c>
      <c r="BB55" s="10" t="s">
        <v>77</v>
      </c>
      <c r="BC55" s="10" t="s">
        <v>77</v>
      </c>
      <c r="BD55" s="10" t="s">
        <v>77</v>
      </c>
      <c r="BE55" s="10" t="s">
        <v>77</v>
      </c>
      <c r="BF55" s="10" t="s">
        <v>77</v>
      </c>
      <c r="BG55" s="10" t="s">
        <v>77</v>
      </c>
      <c r="BH55" s="10" t="s">
        <v>77</v>
      </c>
      <c r="BI55" s="10" t="s">
        <v>77</v>
      </c>
      <c r="BJ55" s="10" t="s">
        <v>77</v>
      </c>
      <c r="BK55" s="10" t="s">
        <v>77</v>
      </c>
      <c r="BL55" s="10" t="s">
        <v>77</v>
      </c>
      <c r="BM55" s="10" t="s">
        <v>77</v>
      </c>
      <c r="BN55" s="10" t="s">
        <v>77</v>
      </c>
      <c r="BO55" s="10" t="s">
        <v>77</v>
      </c>
      <c r="BP55" s="10" t="s">
        <v>77</v>
      </c>
      <c r="BR55" s="10" t="s">
        <v>77</v>
      </c>
      <c r="BS55" s="10" t="s">
        <v>77</v>
      </c>
      <c r="BT55" s="10" t="s">
        <v>77</v>
      </c>
      <c r="BU55" s="10" t="s">
        <v>77</v>
      </c>
      <c r="BV55" s="10" t="s">
        <v>77</v>
      </c>
      <c r="BW55" s="10" t="s">
        <v>77</v>
      </c>
      <c r="BX55" s="10" t="s">
        <v>77</v>
      </c>
      <c r="BY55" s="10" t="s">
        <v>77</v>
      </c>
      <c r="CA55" s="2" t="str">
        <f aca="false">IF(AS55="x","x",IF(AS55="-","-",""))</f>
        <v>-</v>
      </c>
      <c r="CB55" s="2" t="str">
        <f aca="false">IF(AT55="x","x",IF(AT55="-","-",""))</f>
        <v>-</v>
      </c>
      <c r="CC55" s="2" t="str">
        <f aca="false">IF(AU55="x","x",IF(AU55="-","-",""))</f>
        <v>-</v>
      </c>
      <c r="CD55" s="2" t="str">
        <f aca="false">IF(AV55="x","x",IF(AV55="-","-",""))</f>
        <v>-</v>
      </c>
      <c r="CE55" s="2" t="str">
        <f aca="false">IF(AW55="x","x",IF(AW55="-","-",""))</f>
        <v>-</v>
      </c>
      <c r="CF55" s="2" t="str">
        <f aca="false">IF(AX55="x","x",IF(AX55="-","-",""))</f>
        <v>-</v>
      </c>
      <c r="CG55" s="2" t="str">
        <f aca="false">IF(AY55="x","x",IF(AY55="-","-",""))</f>
        <v>-</v>
      </c>
      <c r="CH55" s="2" t="str">
        <f aca="false">IF(AZ55="x","x",IF(AZ55="-","-",""))</f>
        <v>-</v>
      </c>
      <c r="CI55" s="2" t="str">
        <f aca="false">IF(BA55="x","x",IF(BA55="-","-",""))</f>
        <v>-</v>
      </c>
      <c r="CJ55" s="2" t="str">
        <f aca="false">IF(BB55="x","x",IF(BB55="-","-",""))</f>
        <v>-</v>
      </c>
      <c r="CK55" s="2" t="str">
        <f aca="false">IF(BC55="x","x",IF(BC55="-","-",""))</f>
        <v>-</v>
      </c>
      <c r="CL55" s="2" t="str">
        <f aca="false">IF(BD55="x","x",IF(BD55="-","-",""))</f>
        <v>-</v>
      </c>
      <c r="CM55" s="2" t="str">
        <f aca="false">IF(BE55="x","x",IF(BE55="-","-",""))</f>
        <v>-</v>
      </c>
      <c r="CN55" s="2" t="str">
        <f aca="false">IF(BF55="x","x",IF(BF55="-","-",""))</f>
        <v>-</v>
      </c>
      <c r="CO55" s="2" t="str">
        <f aca="false">IF(BG55="x","x",IF(BG55="-","-",""))</f>
        <v>-</v>
      </c>
      <c r="CP55" s="2" t="str">
        <f aca="false">IF(BH55="x","x",IF(BH55="-","-",""))</f>
        <v>-</v>
      </c>
      <c r="CQ55" s="2" t="str">
        <f aca="false">IF(BI55="x","x",IF(BI55="-","-",""))</f>
        <v>-</v>
      </c>
      <c r="CR55" s="2" t="str">
        <f aca="false">IF(BJ55="x","x",IF(BJ55="-","-",""))</f>
        <v>-</v>
      </c>
      <c r="CS55" s="2" t="str">
        <f aca="false">IF(BK55="x","x",IF(BK55="-","-",""))</f>
        <v>-</v>
      </c>
      <c r="CT55" s="2" t="str">
        <f aca="false">IF(BL55="x","x",IF(BL55="-","-",""))</f>
        <v>-</v>
      </c>
      <c r="CU55" s="2" t="str">
        <f aca="false">IF(BM55="x","x",IF(BM55="-","-",""))</f>
        <v>-</v>
      </c>
      <c r="CV55" s="2" t="str">
        <f aca="false">IF(BN55="x","x",IF(BN55="-","-",""))</f>
        <v>-</v>
      </c>
      <c r="CW55" s="2" t="str">
        <f aca="false">IF(BO55="x","x",IF(BO55="-","-",""))</f>
        <v>-</v>
      </c>
      <c r="CX55" s="2" t="str">
        <f aca="false">IF(BP55="x","x",IF(BP55="-","-",""))</f>
        <v>-</v>
      </c>
      <c r="CZ55" s="2" t="str">
        <f aca="false">IF(P55="x","x",IF(P55="-","-",""))</f>
        <v>-</v>
      </c>
      <c r="DA55" s="2" t="str">
        <f aca="false">IF(Q55="x","x",IF(Q55="-","-",""))</f>
        <v>-</v>
      </c>
      <c r="DB55" s="2" t="str">
        <f aca="false">IF(R55="x","x",IF(R55="-","-",""))</f>
        <v>-</v>
      </c>
      <c r="DC55" s="2" t="str">
        <f aca="false">IF(S55="x","x",IF(S55="-","-",""))</f>
        <v>-</v>
      </c>
      <c r="DD55" s="2" t="str">
        <f aca="false">IF(T55="x","x",IF(T55="-","-",""))</f>
        <v>-</v>
      </c>
      <c r="DE55" s="2" t="str">
        <f aca="false">IF(U55="x","x",IF(U55="-","-",""))</f>
        <v>-</v>
      </c>
      <c r="DF55" s="2" t="str">
        <f aca="false">IF(V55="x","x",IF(V55="-","-",""))</f>
        <v>-</v>
      </c>
      <c r="DG55" s="2" t="str">
        <f aca="false">IF(W55="x","x",IF(W55="-","-",""))</f>
        <v>-</v>
      </c>
      <c r="DH55" s="2" t="str">
        <f aca="false">IF(X55="x","x",IF(X55="-","-",""))</f>
        <v>-</v>
      </c>
      <c r="DI55" s="2" t="str">
        <f aca="false">IF(Y55="x","x",IF(Y55="-","-",""))</f>
        <v>-</v>
      </c>
      <c r="DJ55" s="2" t="str">
        <f aca="false">IF(Z55="x","x",IF(Z55="-","-",""))</f>
        <v>-</v>
      </c>
      <c r="DK55" s="2" t="str">
        <f aca="false">IF(AA55="x","x",IF(AA55="-","-",""))</f>
        <v>-</v>
      </c>
      <c r="DL55" s="10"/>
      <c r="DM55" s="2" t="str">
        <f aca="false">IF(AC55="x","x",IF(AC55="-","-",""))</f>
        <v>-</v>
      </c>
      <c r="DN55" s="2" t="str">
        <f aca="false">IF(AD55="x","x",IF(AD55="-","-",""))</f>
        <v>-</v>
      </c>
      <c r="DO55" s="2" t="str">
        <f aca="false">IF(AE55="x","x",IF(AE55="-","-",""))</f>
        <v>-</v>
      </c>
      <c r="DP55" s="2" t="str">
        <f aca="false">IF(AF55="x","x",IF(AF55="-","-",""))</f>
        <v>-</v>
      </c>
      <c r="DQ55" s="2" t="str">
        <f aca="false">IF(AG55="x","x",IF(AG55="-","-",""))</f>
        <v>-</v>
      </c>
      <c r="DR55" s="2" t="str">
        <f aca="false">IF(AH55="x","x",IF(AH55="-","-",""))</f>
        <v>-</v>
      </c>
      <c r="DS55" s="2" t="str">
        <f aca="false">IF(AI55="x","x",IF(AI55="-","-",""))</f>
        <v>-</v>
      </c>
      <c r="DT55" s="2" t="str">
        <f aca="false">IF(AJ55="x","x",IF(AJ55="-","-",""))</f>
        <v>-</v>
      </c>
      <c r="DU55" s="2" t="str">
        <f aca="false">IF(AK55="x","x",IF(AK55="-","-",""))</f>
        <v>-</v>
      </c>
      <c r="DV55" s="2" t="str">
        <f aca="false">IF(AL55="x","x",IF(AL55="-","-",""))</f>
        <v>-</v>
      </c>
      <c r="DW55" s="2" t="str">
        <f aca="false">IF(AM55="x","x",IF(AM55="-","-",""))</f>
        <v>-</v>
      </c>
      <c r="DX55" s="2" t="str">
        <f aca="false">IF(AN55="x","x",IF(AN55="-","-",""))</f>
        <v>-</v>
      </c>
    </row>
    <row r="56" customFormat="false" ht="13.8" hidden="false" customHeight="false" outlineLevel="0" collapsed="false">
      <c r="A56" s="10" t="s">
        <v>73</v>
      </c>
      <c r="B56" s="2" t="n">
        <v>55</v>
      </c>
      <c r="C56" s="1" t="s">
        <v>77</v>
      </c>
      <c r="D56" s="10" t="s">
        <v>92</v>
      </c>
      <c r="E56" s="10" t="s">
        <v>127</v>
      </c>
      <c r="F56" s="10"/>
      <c r="G56" s="10" t="s">
        <v>77</v>
      </c>
      <c r="H56" s="10" t="s">
        <v>77</v>
      </c>
      <c r="I56" s="10" t="s">
        <v>77</v>
      </c>
      <c r="J56" s="10" t="s">
        <v>77</v>
      </c>
      <c r="K56" s="10" t="s">
        <v>77</v>
      </c>
      <c r="L56" s="10" t="s">
        <v>77</v>
      </c>
      <c r="M56" s="2" t="n">
        <v>20</v>
      </c>
      <c r="N56" s="10" t="s">
        <v>77</v>
      </c>
      <c r="O56" s="10"/>
      <c r="P56" s="10" t="s">
        <v>77</v>
      </c>
      <c r="Q56" s="10" t="s">
        <v>77</v>
      </c>
      <c r="R56" s="10" t="s">
        <v>77</v>
      </c>
      <c r="S56" s="10" t="s">
        <v>77</v>
      </c>
      <c r="T56" s="10" t="s">
        <v>77</v>
      </c>
      <c r="U56" s="10" t="s">
        <v>77</v>
      </c>
      <c r="V56" s="10" t="s">
        <v>77</v>
      </c>
      <c r="W56" s="10" t="s">
        <v>77</v>
      </c>
      <c r="X56" s="10" t="s">
        <v>77</v>
      </c>
      <c r="Y56" s="10" t="s">
        <v>77</v>
      </c>
      <c r="Z56" s="10" t="s">
        <v>77</v>
      </c>
      <c r="AA56" s="10" t="s">
        <v>77</v>
      </c>
      <c r="AB56" s="10"/>
      <c r="AC56" s="10" t="s">
        <v>77</v>
      </c>
      <c r="AD56" s="10" t="s">
        <v>77</v>
      </c>
      <c r="AE56" s="10" t="s">
        <v>77</v>
      </c>
      <c r="AF56" s="10" t="s">
        <v>77</v>
      </c>
      <c r="AG56" s="10" t="s">
        <v>77</v>
      </c>
      <c r="AH56" s="10" t="s">
        <v>77</v>
      </c>
      <c r="AI56" s="10" t="s">
        <v>77</v>
      </c>
      <c r="AJ56" s="10" t="s">
        <v>77</v>
      </c>
      <c r="AK56" s="10" t="s">
        <v>77</v>
      </c>
      <c r="AL56" s="10" t="s">
        <v>77</v>
      </c>
      <c r="AM56" s="10" t="s">
        <v>77</v>
      </c>
      <c r="AN56" s="10" t="s">
        <v>77</v>
      </c>
      <c r="AO56" s="10"/>
      <c r="AP56" s="10" t="s">
        <v>73</v>
      </c>
      <c r="AQ56" s="10" t="s">
        <v>73</v>
      </c>
      <c r="AS56" s="10" t="s">
        <v>77</v>
      </c>
      <c r="AT56" s="10" t="s">
        <v>77</v>
      </c>
      <c r="AU56" s="10" t="s">
        <v>77</v>
      </c>
      <c r="AV56" s="10" t="s">
        <v>77</v>
      </c>
      <c r="AW56" s="10" t="s">
        <v>77</v>
      </c>
      <c r="AX56" s="10" t="s">
        <v>77</v>
      </c>
      <c r="AY56" s="10" t="s">
        <v>77</v>
      </c>
      <c r="AZ56" s="10" t="s">
        <v>77</v>
      </c>
      <c r="BA56" s="10" t="s">
        <v>77</v>
      </c>
      <c r="BB56" s="10" t="s">
        <v>77</v>
      </c>
      <c r="BC56" s="10" t="s">
        <v>77</v>
      </c>
      <c r="BD56" s="10" t="s">
        <v>77</v>
      </c>
      <c r="BE56" s="10" t="s">
        <v>77</v>
      </c>
      <c r="BF56" s="10" t="s">
        <v>77</v>
      </c>
      <c r="BG56" s="10" t="s">
        <v>77</v>
      </c>
      <c r="BH56" s="10" t="s">
        <v>77</v>
      </c>
      <c r="BI56" s="10" t="s">
        <v>77</v>
      </c>
      <c r="BJ56" s="10" t="s">
        <v>77</v>
      </c>
      <c r="BK56" s="10" t="s">
        <v>77</v>
      </c>
      <c r="BL56" s="10" t="s">
        <v>77</v>
      </c>
      <c r="BM56" s="10" t="s">
        <v>77</v>
      </c>
      <c r="BN56" s="10" t="s">
        <v>77</v>
      </c>
      <c r="BO56" s="10" t="s">
        <v>77</v>
      </c>
      <c r="BP56" s="10" t="s">
        <v>77</v>
      </c>
      <c r="BR56" s="10" t="s">
        <v>77</v>
      </c>
      <c r="BS56" s="10" t="s">
        <v>77</v>
      </c>
      <c r="BT56" s="10" t="s">
        <v>77</v>
      </c>
      <c r="BU56" s="10" t="s">
        <v>77</v>
      </c>
      <c r="BV56" s="10" t="s">
        <v>77</v>
      </c>
      <c r="BW56" s="10" t="s">
        <v>77</v>
      </c>
      <c r="BX56" s="10" t="s">
        <v>77</v>
      </c>
      <c r="BY56" s="10" t="s">
        <v>77</v>
      </c>
      <c r="CA56" s="2" t="str">
        <f aca="false">IF(AS56="x","x",IF(AS56="-","-",""))</f>
        <v>-</v>
      </c>
      <c r="CB56" s="2" t="str">
        <f aca="false">IF(AT56="x","x",IF(AT56="-","-",""))</f>
        <v>-</v>
      </c>
      <c r="CC56" s="2" t="str">
        <f aca="false">IF(AU56="x","x",IF(AU56="-","-",""))</f>
        <v>-</v>
      </c>
      <c r="CD56" s="2" t="str">
        <f aca="false">IF(AV56="x","x",IF(AV56="-","-",""))</f>
        <v>-</v>
      </c>
      <c r="CE56" s="2" t="str">
        <f aca="false">IF(AW56="x","x",IF(AW56="-","-",""))</f>
        <v>-</v>
      </c>
      <c r="CF56" s="2" t="str">
        <f aca="false">IF(AX56="x","x",IF(AX56="-","-",""))</f>
        <v>-</v>
      </c>
      <c r="CG56" s="2" t="str">
        <f aca="false">IF(AY56="x","x",IF(AY56="-","-",""))</f>
        <v>-</v>
      </c>
      <c r="CH56" s="2" t="str">
        <f aca="false">IF(AZ56="x","x",IF(AZ56="-","-",""))</f>
        <v>-</v>
      </c>
      <c r="CI56" s="2" t="str">
        <f aca="false">IF(BA56="x","x",IF(BA56="-","-",""))</f>
        <v>-</v>
      </c>
      <c r="CJ56" s="2" t="str">
        <f aca="false">IF(BB56="x","x",IF(BB56="-","-",""))</f>
        <v>-</v>
      </c>
      <c r="CK56" s="2" t="str">
        <f aca="false">IF(BC56="x","x",IF(BC56="-","-",""))</f>
        <v>-</v>
      </c>
      <c r="CL56" s="2" t="str">
        <f aca="false">IF(BD56="x","x",IF(BD56="-","-",""))</f>
        <v>-</v>
      </c>
      <c r="CM56" s="2" t="str">
        <f aca="false">IF(BE56="x","x",IF(BE56="-","-",""))</f>
        <v>-</v>
      </c>
      <c r="CN56" s="2" t="str">
        <f aca="false">IF(BF56="x","x",IF(BF56="-","-",""))</f>
        <v>-</v>
      </c>
      <c r="CO56" s="2" t="str">
        <f aca="false">IF(BG56="x","x",IF(BG56="-","-",""))</f>
        <v>-</v>
      </c>
      <c r="CP56" s="2" t="str">
        <f aca="false">IF(BH56="x","x",IF(BH56="-","-",""))</f>
        <v>-</v>
      </c>
      <c r="CQ56" s="2" t="str">
        <f aca="false">IF(BI56="x","x",IF(BI56="-","-",""))</f>
        <v>-</v>
      </c>
      <c r="CR56" s="2" t="str">
        <f aca="false">IF(BJ56="x","x",IF(BJ56="-","-",""))</f>
        <v>-</v>
      </c>
      <c r="CS56" s="2" t="str">
        <f aca="false">IF(BK56="x","x",IF(BK56="-","-",""))</f>
        <v>-</v>
      </c>
      <c r="CT56" s="2" t="str">
        <f aca="false">IF(BL56="x","x",IF(BL56="-","-",""))</f>
        <v>-</v>
      </c>
      <c r="CU56" s="2" t="str">
        <f aca="false">IF(BM56="x","x",IF(BM56="-","-",""))</f>
        <v>-</v>
      </c>
      <c r="CV56" s="2" t="str">
        <f aca="false">IF(BN56="x","x",IF(BN56="-","-",""))</f>
        <v>-</v>
      </c>
      <c r="CW56" s="2" t="str">
        <f aca="false">IF(BO56="x","x",IF(BO56="-","-",""))</f>
        <v>-</v>
      </c>
      <c r="CX56" s="2" t="str">
        <f aca="false">IF(BP56="x","x",IF(BP56="-","-",""))</f>
        <v>-</v>
      </c>
      <c r="CZ56" s="2" t="str">
        <f aca="false">IF(P56="x","x",IF(P56="-","-",""))</f>
        <v>-</v>
      </c>
      <c r="DA56" s="2" t="str">
        <f aca="false">IF(Q56="x","x",IF(Q56="-","-",""))</f>
        <v>-</v>
      </c>
      <c r="DB56" s="2" t="str">
        <f aca="false">IF(R56="x","x",IF(R56="-","-",""))</f>
        <v>-</v>
      </c>
      <c r="DC56" s="2" t="str">
        <f aca="false">IF(S56="x","x",IF(S56="-","-",""))</f>
        <v>-</v>
      </c>
      <c r="DD56" s="2" t="str">
        <f aca="false">IF(T56="x","x",IF(T56="-","-",""))</f>
        <v>-</v>
      </c>
      <c r="DE56" s="2" t="str">
        <f aca="false">IF(U56="x","x",IF(U56="-","-",""))</f>
        <v>-</v>
      </c>
      <c r="DF56" s="2" t="str">
        <f aca="false">IF(V56="x","x",IF(V56="-","-",""))</f>
        <v>-</v>
      </c>
      <c r="DG56" s="2" t="str">
        <f aca="false">IF(W56="x","x",IF(W56="-","-",""))</f>
        <v>-</v>
      </c>
      <c r="DH56" s="2" t="str">
        <f aca="false">IF(X56="x","x",IF(X56="-","-",""))</f>
        <v>-</v>
      </c>
      <c r="DI56" s="2" t="str">
        <f aca="false">IF(Y56="x","x",IF(Y56="-","-",""))</f>
        <v>-</v>
      </c>
      <c r="DJ56" s="2" t="str">
        <f aca="false">IF(Z56="x","x",IF(Z56="-","-",""))</f>
        <v>-</v>
      </c>
      <c r="DK56" s="2" t="str">
        <f aca="false">IF(AA56="x","x",IF(AA56="-","-",""))</f>
        <v>-</v>
      </c>
      <c r="DL56" s="10"/>
      <c r="DM56" s="2" t="str">
        <f aca="false">IF(AC56="x","x",IF(AC56="-","-",""))</f>
        <v>-</v>
      </c>
      <c r="DN56" s="2" t="str">
        <f aca="false">IF(AD56="x","x",IF(AD56="-","-",""))</f>
        <v>-</v>
      </c>
      <c r="DO56" s="2" t="str">
        <f aca="false">IF(AE56="x","x",IF(AE56="-","-",""))</f>
        <v>-</v>
      </c>
      <c r="DP56" s="2" t="str">
        <f aca="false">IF(AF56="x","x",IF(AF56="-","-",""))</f>
        <v>-</v>
      </c>
      <c r="DQ56" s="2" t="str">
        <f aca="false">IF(AG56="x","x",IF(AG56="-","-",""))</f>
        <v>-</v>
      </c>
      <c r="DR56" s="2" t="str">
        <f aca="false">IF(AH56="x","x",IF(AH56="-","-",""))</f>
        <v>-</v>
      </c>
      <c r="DS56" s="2" t="str">
        <f aca="false">IF(AI56="x","x",IF(AI56="-","-",""))</f>
        <v>-</v>
      </c>
      <c r="DT56" s="2" t="str">
        <f aca="false">IF(AJ56="x","x",IF(AJ56="-","-",""))</f>
        <v>-</v>
      </c>
      <c r="DU56" s="2" t="str">
        <f aca="false">IF(AK56="x","x",IF(AK56="-","-",""))</f>
        <v>-</v>
      </c>
      <c r="DV56" s="2" t="str">
        <f aca="false">IF(AL56="x","x",IF(AL56="-","-",""))</f>
        <v>-</v>
      </c>
      <c r="DW56" s="2" t="str">
        <f aca="false">IF(AM56="x","x",IF(AM56="-","-",""))</f>
        <v>-</v>
      </c>
      <c r="DX56" s="2" t="str">
        <f aca="false">IF(AN56="x","x",IF(AN56="-","-",""))</f>
        <v>-</v>
      </c>
    </row>
    <row r="57" customFormat="false" ht="13.8" hidden="false" customHeight="false" outlineLevel="0" collapsed="false">
      <c r="A57" s="10" t="s">
        <v>73</v>
      </c>
      <c r="B57" s="2" t="n">
        <v>56</v>
      </c>
      <c r="C57" s="1" t="s">
        <v>77</v>
      </c>
      <c r="D57" s="10" t="s">
        <v>92</v>
      </c>
      <c r="E57" s="10" t="s">
        <v>127</v>
      </c>
      <c r="F57" s="10"/>
      <c r="G57" s="10" t="s">
        <v>77</v>
      </c>
      <c r="H57" s="10" t="s">
        <v>77</v>
      </c>
      <c r="I57" s="10" t="s">
        <v>77</v>
      </c>
      <c r="J57" s="10" t="s">
        <v>77</v>
      </c>
      <c r="K57" s="10" t="s">
        <v>77</v>
      </c>
      <c r="L57" s="10" t="s">
        <v>77</v>
      </c>
      <c r="M57" s="2" t="n">
        <v>20</v>
      </c>
      <c r="N57" s="10" t="s">
        <v>77</v>
      </c>
      <c r="O57" s="10"/>
      <c r="P57" s="10" t="s">
        <v>77</v>
      </c>
      <c r="Q57" s="10" t="s">
        <v>77</v>
      </c>
      <c r="R57" s="10" t="s">
        <v>77</v>
      </c>
      <c r="S57" s="10" t="s">
        <v>77</v>
      </c>
      <c r="T57" s="10" t="s">
        <v>77</v>
      </c>
      <c r="U57" s="10" t="s">
        <v>77</v>
      </c>
      <c r="V57" s="10" t="s">
        <v>77</v>
      </c>
      <c r="W57" s="10" t="s">
        <v>77</v>
      </c>
      <c r="X57" s="10" t="s">
        <v>77</v>
      </c>
      <c r="Y57" s="10" t="s">
        <v>77</v>
      </c>
      <c r="Z57" s="10" t="s">
        <v>77</v>
      </c>
      <c r="AA57" s="10" t="s">
        <v>77</v>
      </c>
      <c r="AB57" s="10"/>
      <c r="AC57" s="10" t="s">
        <v>77</v>
      </c>
      <c r="AD57" s="10" t="s">
        <v>77</v>
      </c>
      <c r="AE57" s="10" t="s">
        <v>77</v>
      </c>
      <c r="AF57" s="10" t="s">
        <v>77</v>
      </c>
      <c r="AG57" s="10" t="s">
        <v>77</v>
      </c>
      <c r="AH57" s="10" t="s">
        <v>77</v>
      </c>
      <c r="AI57" s="10" t="s">
        <v>77</v>
      </c>
      <c r="AJ57" s="10" t="s">
        <v>77</v>
      </c>
      <c r="AK57" s="10" t="s">
        <v>77</v>
      </c>
      <c r="AL57" s="10" t="s">
        <v>77</v>
      </c>
      <c r="AM57" s="10" t="s">
        <v>77</v>
      </c>
      <c r="AN57" s="10" t="s">
        <v>77</v>
      </c>
      <c r="AO57" s="10"/>
      <c r="AP57" s="10" t="s">
        <v>73</v>
      </c>
      <c r="AQ57" s="10" t="s">
        <v>73</v>
      </c>
      <c r="AS57" s="10" t="s">
        <v>77</v>
      </c>
      <c r="AT57" s="10" t="s">
        <v>77</v>
      </c>
      <c r="AU57" s="10" t="s">
        <v>77</v>
      </c>
      <c r="AV57" s="10" t="s">
        <v>77</v>
      </c>
      <c r="AW57" s="10" t="s">
        <v>77</v>
      </c>
      <c r="AX57" s="10" t="s">
        <v>77</v>
      </c>
      <c r="AY57" s="10" t="s">
        <v>77</v>
      </c>
      <c r="AZ57" s="10" t="s">
        <v>77</v>
      </c>
      <c r="BA57" s="10" t="s">
        <v>77</v>
      </c>
      <c r="BB57" s="10" t="s">
        <v>77</v>
      </c>
      <c r="BC57" s="10" t="s">
        <v>77</v>
      </c>
      <c r="BD57" s="10" t="s">
        <v>77</v>
      </c>
      <c r="BE57" s="10" t="s">
        <v>77</v>
      </c>
      <c r="BF57" s="10" t="s">
        <v>77</v>
      </c>
      <c r="BG57" s="10" t="s">
        <v>77</v>
      </c>
      <c r="BH57" s="10" t="s">
        <v>77</v>
      </c>
      <c r="BI57" s="10" t="s">
        <v>77</v>
      </c>
      <c r="BJ57" s="10" t="s">
        <v>77</v>
      </c>
      <c r="BK57" s="10" t="s">
        <v>77</v>
      </c>
      <c r="BL57" s="10" t="s">
        <v>77</v>
      </c>
      <c r="BM57" s="10" t="s">
        <v>77</v>
      </c>
      <c r="BN57" s="10" t="s">
        <v>77</v>
      </c>
      <c r="BO57" s="10" t="s">
        <v>77</v>
      </c>
      <c r="BP57" s="10" t="s">
        <v>77</v>
      </c>
      <c r="BR57" s="10" t="s">
        <v>77</v>
      </c>
      <c r="BS57" s="10" t="s">
        <v>77</v>
      </c>
      <c r="BT57" s="10" t="s">
        <v>77</v>
      </c>
      <c r="BU57" s="10" t="s">
        <v>77</v>
      </c>
      <c r="BV57" s="10" t="s">
        <v>77</v>
      </c>
      <c r="BW57" s="10" t="s">
        <v>77</v>
      </c>
      <c r="BX57" s="10" t="s">
        <v>77</v>
      </c>
      <c r="BY57" s="10" t="s">
        <v>77</v>
      </c>
      <c r="CA57" s="2" t="str">
        <f aca="false">IF(AS57="x","x",IF(AS57="-","-",""))</f>
        <v>-</v>
      </c>
      <c r="CB57" s="2" t="str">
        <f aca="false">IF(AT57="x","x",IF(AT57="-","-",""))</f>
        <v>-</v>
      </c>
      <c r="CC57" s="2" t="str">
        <f aca="false">IF(AU57="x","x",IF(AU57="-","-",""))</f>
        <v>-</v>
      </c>
      <c r="CD57" s="2" t="str">
        <f aca="false">IF(AV57="x","x",IF(AV57="-","-",""))</f>
        <v>-</v>
      </c>
      <c r="CE57" s="2" t="str">
        <f aca="false">IF(AW57="x","x",IF(AW57="-","-",""))</f>
        <v>-</v>
      </c>
      <c r="CF57" s="2" t="str">
        <f aca="false">IF(AX57="x","x",IF(AX57="-","-",""))</f>
        <v>-</v>
      </c>
      <c r="CG57" s="2" t="str">
        <f aca="false">IF(AY57="x","x",IF(AY57="-","-",""))</f>
        <v>-</v>
      </c>
      <c r="CH57" s="2" t="str">
        <f aca="false">IF(AZ57="x","x",IF(AZ57="-","-",""))</f>
        <v>-</v>
      </c>
      <c r="CI57" s="2" t="str">
        <f aca="false">IF(BA57="x","x",IF(BA57="-","-",""))</f>
        <v>-</v>
      </c>
      <c r="CJ57" s="2" t="str">
        <f aca="false">IF(BB57="x","x",IF(BB57="-","-",""))</f>
        <v>-</v>
      </c>
      <c r="CK57" s="2" t="str">
        <f aca="false">IF(BC57="x","x",IF(BC57="-","-",""))</f>
        <v>-</v>
      </c>
      <c r="CL57" s="2" t="str">
        <f aca="false">IF(BD57="x","x",IF(BD57="-","-",""))</f>
        <v>-</v>
      </c>
      <c r="CM57" s="2" t="str">
        <f aca="false">IF(BE57="x","x",IF(BE57="-","-",""))</f>
        <v>-</v>
      </c>
      <c r="CN57" s="2" t="str">
        <f aca="false">IF(BF57="x","x",IF(BF57="-","-",""))</f>
        <v>-</v>
      </c>
      <c r="CO57" s="2" t="str">
        <f aca="false">IF(BG57="x","x",IF(BG57="-","-",""))</f>
        <v>-</v>
      </c>
      <c r="CP57" s="2" t="str">
        <f aca="false">IF(BH57="x","x",IF(BH57="-","-",""))</f>
        <v>-</v>
      </c>
      <c r="CQ57" s="2" t="str">
        <f aca="false">IF(BI57="x","x",IF(BI57="-","-",""))</f>
        <v>-</v>
      </c>
      <c r="CR57" s="2" t="str">
        <f aca="false">IF(BJ57="x","x",IF(BJ57="-","-",""))</f>
        <v>-</v>
      </c>
      <c r="CS57" s="2" t="str">
        <f aca="false">IF(BK57="x","x",IF(BK57="-","-",""))</f>
        <v>-</v>
      </c>
      <c r="CT57" s="2" t="str">
        <f aca="false">IF(BL57="x","x",IF(BL57="-","-",""))</f>
        <v>-</v>
      </c>
      <c r="CU57" s="2" t="str">
        <f aca="false">IF(BM57="x","x",IF(BM57="-","-",""))</f>
        <v>-</v>
      </c>
      <c r="CV57" s="2" t="str">
        <f aca="false">IF(BN57="x","x",IF(BN57="-","-",""))</f>
        <v>-</v>
      </c>
      <c r="CW57" s="2" t="str">
        <f aca="false">IF(BO57="x","x",IF(BO57="-","-",""))</f>
        <v>-</v>
      </c>
      <c r="CX57" s="2" t="str">
        <f aca="false">IF(BP57="x","x",IF(BP57="-","-",""))</f>
        <v>-</v>
      </c>
      <c r="CZ57" s="2" t="str">
        <f aca="false">IF(P57="x","x",IF(P57="-","-",""))</f>
        <v>-</v>
      </c>
      <c r="DA57" s="2" t="str">
        <f aca="false">IF(Q57="x","x",IF(Q57="-","-",""))</f>
        <v>-</v>
      </c>
      <c r="DB57" s="2" t="str">
        <f aca="false">IF(R57="x","x",IF(R57="-","-",""))</f>
        <v>-</v>
      </c>
      <c r="DC57" s="2" t="str">
        <f aca="false">IF(S57="x","x",IF(S57="-","-",""))</f>
        <v>-</v>
      </c>
      <c r="DD57" s="2" t="str">
        <f aca="false">IF(T57="x","x",IF(T57="-","-",""))</f>
        <v>-</v>
      </c>
      <c r="DE57" s="2" t="str">
        <f aca="false">IF(U57="x","x",IF(U57="-","-",""))</f>
        <v>-</v>
      </c>
      <c r="DF57" s="2" t="str">
        <f aca="false">IF(V57="x","x",IF(V57="-","-",""))</f>
        <v>-</v>
      </c>
      <c r="DG57" s="2" t="str">
        <f aca="false">IF(W57="x","x",IF(W57="-","-",""))</f>
        <v>-</v>
      </c>
      <c r="DH57" s="2" t="str">
        <f aca="false">IF(X57="x","x",IF(X57="-","-",""))</f>
        <v>-</v>
      </c>
      <c r="DI57" s="2" t="str">
        <f aca="false">IF(Y57="x","x",IF(Y57="-","-",""))</f>
        <v>-</v>
      </c>
      <c r="DJ57" s="2" t="str">
        <f aca="false">IF(Z57="x","x",IF(Z57="-","-",""))</f>
        <v>-</v>
      </c>
      <c r="DK57" s="2" t="str">
        <f aca="false">IF(AA57="x","x",IF(AA57="-","-",""))</f>
        <v>-</v>
      </c>
      <c r="DL57" s="10"/>
      <c r="DM57" s="2" t="str">
        <f aca="false">IF(AC57="x","x",IF(AC57="-","-",""))</f>
        <v>-</v>
      </c>
      <c r="DN57" s="2" t="str">
        <f aca="false">IF(AD57="x","x",IF(AD57="-","-",""))</f>
        <v>-</v>
      </c>
      <c r="DO57" s="2" t="str">
        <f aca="false">IF(AE57="x","x",IF(AE57="-","-",""))</f>
        <v>-</v>
      </c>
      <c r="DP57" s="2" t="str">
        <f aca="false">IF(AF57="x","x",IF(AF57="-","-",""))</f>
        <v>-</v>
      </c>
      <c r="DQ57" s="2" t="str">
        <f aca="false">IF(AG57="x","x",IF(AG57="-","-",""))</f>
        <v>-</v>
      </c>
      <c r="DR57" s="2" t="str">
        <f aca="false">IF(AH57="x","x",IF(AH57="-","-",""))</f>
        <v>-</v>
      </c>
      <c r="DS57" s="2" t="str">
        <f aca="false">IF(AI57="x","x",IF(AI57="-","-",""))</f>
        <v>-</v>
      </c>
      <c r="DT57" s="2" t="str">
        <f aca="false">IF(AJ57="x","x",IF(AJ57="-","-",""))</f>
        <v>-</v>
      </c>
      <c r="DU57" s="2" t="str">
        <f aca="false">IF(AK57="x","x",IF(AK57="-","-",""))</f>
        <v>-</v>
      </c>
      <c r="DV57" s="2" t="str">
        <f aca="false">IF(AL57="x","x",IF(AL57="-","-",""))</f>
        <v>-</v>
      </c>
      <c r="DW57" s="2" t="str">
        <f aca="false">IF(AM57="x","x",IF(AM57="-","-",""))</f>
        <v>-</v>
      </c>
      <c r="DX57" s="2" t="str">
        <f aca="false">IF(AN57="x","x",IF(AN57="-","-",""))</f>
        <v>-</v>
      </c>
    </row>
    <row r="58" customFormat="false" ht="13.8" hidden="false" customHeight="false" outlineLevel="0" collapsed="false">
      <c r="A58" s="10" t="s">
        <v>73</v>
      </c>
      <c r="B58" s="2" t="n">
        <v>57</v>
      </c>
      <c r="C58" s="1" t="s">
        <v>77</v>
      </c>
      <c r="D58" s="10" t="s">
        <v>92</v>
      </c>
      <c r="E58" s="10" t="s">
        <v>127</v>
      </c>
      <c r="F58" s="10"/>
      <c r="G58" s="10" t="s">
        <v>77</v>
      </c>
      <c r="H58" s="10" t="s">
        <v>77</v>
      </c>
      <c r="I58" s="10" t="s">
        <v>77</v>
      </c>
      <c r="J58" s="10" t="s">
        <v>77</v>
      </c>
      <c r="K58" s="10" t="s">
        <v>77</v>
      </c>
      <c r="L58" s="10" t="s">
        <v>77</v>
      </c>
      <c r="M58" s="2" t="n">
        <v>20</v>
      </c>
      <c r="N58" s="10" t="s">
        <v>77</v>
      </c>
      <c r="O58" s="10"/>
      <c r="P58" s="10" t="s">
        <v>77</v>
      </c>
      <c r="Q58" s="10" t="s">
        <v>77</v>
      </c>
      <c r="R58" s="10" t="s">
        <v>77</v>
      </c>
      <c r="S58" s="10" t="s">
        <v>77</v>
      </c>
      <c r="T58" s="10" t="s">
        <v>77</v>
      </c>
      <c r="U58" s="10" t="s">
        <v>77</v>
      </c>
      <c r="V58" s="10" t="s">
        <v>77</v>
      </c>
      <c r="W58" s="10" t="s">
        <v>77</v>
      </c>
      <c r="X58" s="10" t="s">
        <v>77</v>
      </c>
      <c r="Y58" s="10" t="s">
        <v>77</v>
      </c>
      <c r="Z58" s="10" t="s">
        <v>77</v>
      </c>
      <c r="AA58" s="10" t="s">
        <v>77</v>
      </c>
      <c r="AB58" s="10"/>
      <c r="AC58" s="10" t="s">
        <v>77</v>
      </c>
      <c r="AD58" s="10" t="s">
        <v>77</v>
      </c>
      <c r="AE58" s="10" t="s">
        <v>77</v>
      </c>
      <c r="AF58" s="10" t="s">
        <v>77</v>
      </c>
      <c r="AG58" s="10" t="s">
        <v>77</v>
      </c>
      <c r="AH58" s="10" t="s">
        <v>77</v>
      </c>
      <c r="AI58" s="10" t="s">
        <v>77</v>
      </c>
      <c r="AJ58" s="10" t="s">
        <v>77</v>
      </c>
      <c r="AK58" s="10" t="s">
        <v>77</v>
      </c>
      <c r="AL58" s="10" t="s">
        <v>77</v>
      </c>
      <c r="AM58" s="10" t="s">
        <v>77</v>
      </c>
      <c r="AN58" s="10" t="s">
        <v>77</v>
      </c>
      <c r="AO58" s="10"/>
      <c r="AP58" s="10" t="s">
        <v>73</v>
      </c>
      <c r="AQ58" s="10" t="s">
        <v>73</v>
      </c>
      <c r="AS58" s="10" t="s">
        <v>77</v>
      </c>
      <c r="AT58" s="10" t="s">
        <v>77</v>
      </c>
      <c r="AU58" s="10" t="s">
        <v>77</v>
      </c>
      <c r="AV58" s="10" t="s">
        <v>77</v>
      </c>
      <c r="AW58" s="10" t="s">
        <v>77</v>
      </c>
      <c r="AX58" s="10" t="s">
        <v>77</v>
      </c>
      <c r="AY58" s="10" t="s">
        <v>77</v>
      </c>
      <c r="AZ58" s="10" t="s">
        <v>77</v>
      </c>
      <c r="BA58" s="10" t="s">
        <v>77</v>
      </c>
      <c r="BB58" s="10" t="s">
        <v>77</v>
      </c>
      <c r="BC58" s="10" t="s">
        <v>77</v>
      </c>
      <c r="BD58" s="10" t="s">
        <v>77</v>
      </c>
      <c r="BE58" s="10" t="s">
        <v>77</v>
      </c>
      <c r="BF58" s="10" t="s">
        <v>77</v>
      </c>
      <c r="BG58" s="10" t="s">
        <v>77</v>
      </c>
      <c r="BH58" s="10" t="s">
        <v>77</v>
      </c>
      <c r="BI58" s="10" t="s">
        <v>77</v>
      </c>
      <c r="BJ58" s="10" t="s">
        <v>77</v>
      </c>
      <c r="BK58" s="10" t="s">
        <v>77</v>
      </c>
      <c r="BL58" s="10" t="s">
        <v>77</v>
      </c>
      <c r="BM58" s="10" t="s">
        <v>77</v>
      </c>
      <c r="BN58" s="10" t="s">
        <v>77</v>
      </c>
      <c r="BO58" s="10" t="s">
        <v>77</v>
      </c>
      <c r="BP58" s="10" t="s">
        <v>77</v>
      </c>
      <c r="BR58" s="10" t="s">
        <v>77</v>
      </c>
      <c r="BS58" s="10" t="s">
        <v>77</v>
      </c>
      <c r="BT58" s="10" t="s">
        <v>77</v>
      </c>
      <c r="BU58" s="10" t="s">
        <v>77</v>
      </c>
      <c r="BV58" s="10" t="s">
        <v>77</v>
      </c>
      <c r="BW58" s="10" t="s">
        <v>77</v>
      </c>
      <c r="BX58" s="10" t="s">
        <v>77</v>
      </c>
      <c r="BY58" s="10" t="s">
        <v>77</v>
      </c>
      <c r="CA58" s="2" t="str">
        <f aca="false">IF(AS58="x","x",IF(AS58="-","-",""))</f>
        <v>-</v>
      </c>
      <c r="CB58" s="2" t="str">
        <f aca="false">IF(AT58="x","x",IF(AT58="-","-",""))</f>
        <v>-</v>
      </c>
      <c r="CC58" s="2" t="str">
        <f aca="false">IF(AU58="x","x",IF(AU58="-","-",""))</f>
        <v>-</v>
      </c>
      <c r="CD58" s="2" t="str">
        <f aca="false">IF(AV58="x","x",IF(AV58="-","-",""))</f>
        <v>-</v>
      </c>
      <c r="CE58" s="2" t="str">
        <f aca="false">IF(AW58="x","x",IF(AW58="-","-",""))</f>
        <v>-</v>
      </c>
      <c r="CF58" s="2" t="str">
        <f aca="false">IF(AX58="x","x",IF(AX58="-","-",""))</f>
        <v>-</v>
      </c>
      <c r="CG58" s="2" t="str">
        <f aca="false">IF(AY58="x","x",IF(AY58="-","-",""))</f>
        <v>-</v>
      </c>
      <c r="CH58" s="2" t="str">
        <f aca="false">IF(AZ58="x","x",IF(AZ58="-","-",""))</f>
        <v>-</v>
      </c>
      <c r="CI58" s="2" t="str">
        <f aca="false">IF(BA58="x","x",IF(BA58="-","-",""))</f>
        <v>-</v>
      </c>
      <c r="CJ58" s="2" t="str">
        <f aca="false">IF(BB58="x","x",IF(BB58="-","-",""))</f>
        <v>-</v>
      </c>
      <c r="CK58" s="2" t="str">
        <f aca="false">IF(BC58="x","x",IF(BC58="-","-",""))</f>
        <v>-</v>
      </c>
      <c r="CL58" s="2" t="str">
        <f aca="false">IF(BD58="x","x",IF(BD58="-","-",""))</f>
        <v>-</v>
      </c>
      <c r="CM58" s="2" t="str">
        <f aca="false">IF(BE58="x","x",IF(BE58="-","-",""))</f>
        <v>-</v>
      </c>
      <c r="CN58" s="2" t="str">
        <f aca="false">IF(BF58="x","x",IF(BF58="-","-",""))</f>
        <v>-</v>
      </c>
      <c r="CO58" s="2" t="str">
        <f aca="false">IF(BG58="x","x",IF(BG58="-","-",""))</f>
        <v>-</v>
      </c>
      <c r="CP58" s="2" t="str">
        <f aca="false">IF(BH58="x","x",IF(BH58="-","-",""))</f>
        <v>-</v>
      </c>
      <c r="CQ58" s="2" t="str">
        <f aca="false">IF(BI58="x","x",IF(BI58="-","-",""))</f>
        <v>-</v>
      </c>
      <c r="CR58" s="2" t="str">
        <f aca="false">IF(BJ58="x","x",IF(BJ58="-","-",""))</f>
        <v>-</v>
      </c>
      <c r="CS58" s="2" t="str">
        <f aca="false">IF(BK58="x","x",IF(BK58="-","-",""))</f>
        <v>-</v>
      </c>
      <c r="CT58" s="2" t="str">
        <f aca="false">IF(BL58="x","x",IF(BL58="-","-",""))</f>
        <v>-</v>
      </c>
      <c r="CU58" s="2" t="str">
        <f aca="false">IF(BM58="x","x",IF(BM58="-","-",""))</f>
        <v>-</v>
      </c>
      <c r="CV58" s="2" t="str">
        <f aca="false">IF(BN58="x","x",IF(BN58="-","-",""))</f>
        <v>-</v>
      </c>
      <c r="CW58" s="2" t="str">
        <f aca="false">IF(BO58="x","x",IF(BO58="-","-",""))</f>
        <v>-</v>
      </c>
      <c r="CX58" s="2" t="str">
        <f aca="false">IF(BP58="x","x",IF(BP58="-","-",""))</f>
        <v>-</v>
      </c>
      <c r="CZ58" s="2" t="str">
        <f aca="false">IF(P58="x","x",IF(P58="-","-",""))</f>
        <v>-</v>
      </c>
      <c r="DA58" s="2" t="str">
        <f aca="false">IF(Q58="x","x",IF(Q58="-","-",""))</f>
        <v>-</v>
      </c>
      <c r="DB58" s="2" t="str">
        <f aca="false">IF(R58="x","x",IF(R58="-","-",""))</f>
        <v>-</v>
      </c>
      <c r="DC58" s="2" t="str">
        <f aca="false">IF(S58="x","x",IF(S58="-","-",""))</f>
        <v>-</v>
      </c>
      <c r="DD58" s="2" t="str">
        <f aca="false">IF(T58="x","x",IF(T58="-","-",""))</f>
        <v>-</v>
      </c>
      <c r="DE58" s="2" t="str">
        <f aca="false">IF(U58="x","x",IF(U58="-","-",""))</f>
        <v>-</v>
      </c>
      <c r="DF58" s="2" t="str">
        <f aca="false">IF(V58="x","x",IF(V58="-","-",""))</f>
        <v>-</v>
      </c>
      <c r="DG58" s="2" t="str">
        <f aca="false">IF(W58="x","x",IF(W58="-","-",""))</f>
        <v>-</v>
      </c>
      <c r="DH58" s="2" t="str">
        <f aca="false">IF(X58="x","x",IF(X58="-","-",""))</f>
        <v>-</v>
      </c>
      <c r="DI58" s="2" t="str">
        <f aca="false">IF(Y58="x","x",IF(Y58="-","-",""))</f>
        <v>-</v>
      </c>
      <c r="DJ58" s="2" t="str">
        <f aca="false">IF(Z58="x","x",IF(Z58="-","-",""))</f>
        <v>-</v>
      </c>
      <c r="DK58" s="2" t="str">
        <f aca="false">IF(AA58="x","x",IF(AA58="-","-",""))</f>
        <v>-</v>
      </c>
      <c r="DL58" s="10"/>
      <c r="DM58" s="2" t="str">
        <f aca="false">IF(AC58="x","x",IF(AC58="-","-",""))</f>
        <v>-</v>
      </c>
      <c r="DN58" s="2" t="str">
        <f aca="false">IF(AD58="x","x",IF(AD58="-","-",""))</f>
        <v>-</v>
      </c>
      <c r="DO58" s="2" t="str">
        <f aca="false">IF(AE58="x","x",IF(AE58="-","-",""))</f>
        <v>-</v>
      </c>
      <c r="DP58" s="2" t="str">
        <f aca="false">IF(AF58="x","x",IF(AF58="-","-",""))</f>
        <v>-</v>
      </c>
      <c r="DQ58" s="2" t="str">
        <f aca="false">IF(AG58="x","x",IF(AG58="-","-",""))</f>
        <v>-</v>
      </c>
      <c r="DR58" s="2" t="str">
        <f aca="false">IF(AH58="x","x",IF(AH58="-","-",""))</f>
        <v>-</v>
      </c>
      <c r="DS58" s="2" t="str">
        <f aca="false">IF(AI58="x","x",IF(AI58="-","-",""))</f>
        <v>-</v>
      </c>
      <c r="DT58" s="2" t="str">
        <f aca="false">IF(AJ58="x","x",IF(AJ58="-","-",""))</f>
        <v>-</v>
      </c>
      <c r="DU58" s="2" t="str">
        <f aca="false">IF(AK58="x","x",IF(AK58="-","-",""))</f>
        <v>-</v>
      </c>
      <c r="DV58" s="2" t="str">
        <f aca="false">IF(AL58="x","x",IF(AL58="-","-",""))</f>
        <v>-</v>
      </c>
      <c r="DW58" s="2" t="str">
        <f aca="false">IF(AM58="x","x",IF(AM58="-","-",""))</f>
        <v>-</v>
      </c>
      <c r="DX58" s="2" t="str">
        <f aca="false">IF(AN58="x","x",IF(AN58="-","-",""))</f>
        <v>-</v>
      </c>
    </row>
    <row r="59" customFormat="false" ht="13.8" hidden="false" customHeight="false" outlineLevel="0" collapsed="false">
      <c r="A59" s="10" t="s">
        <v>73</v>
      </c>
      <c r="B59" s="2" t="n">
        <v>58</v>
      </c>
      <c r="C59" s="1" t="s">
        <v>77</v>
      </c>
      <c r="D59" s="10" t="s">
        <v>92</v>
      </c>
      <c r="E59" s="10" t="s">
        <v>127</v>
      </c>
      <c r="F59" s="10"/>
      <c r="G59" s="10" t="s">
        <v>77</v>
      </c>
      <c r="H59" s="10" t="s">
        <v>77</v>
      </c>
      <c r="I59" s="10" t="s">
        <v>77</v>
      </c>
      <c r="J59" s="10" t="s">
        <v>77</v>
      </c>
      <c r="K59" s="10" t="s">
        <v>77</v>
      </c>
      <c r="L59" s="10" t="s">
        <v>77</v>
      </c>
      <c r="M59" s="2" t="n">
        <v>20</v>
      </c>
      <c r="N59" s="10" t="s">
        <v>77</v>
      </c>
      <c r="O59" s="10"/>
      <c r="P59" s="10" t="s">
        <v>77</v>
      </c>
      <c r="Q59" s="10" t="s">
        <v>77</v>
      </c>
      <c r="R59" s="10" t="s">
        <v>77</v>
      </c>
      <c r="S59" s="10" t="s">
        <v>77</v>
      </c>
      <c r="T59" s="10" t="s">
        <v>77</v>
      </c>
      <c r="U59" s="10" t="s">
        <v>77</v>
      </c>
      <c r="V59" s="10" t="s">
        <v>77</v>
      </c>
      <c r="W59" s="10" t="s">
        <v>77</v>
      </c>
      <c r="X59" s="10" t="s">
        <v>77</v>
      </c>
      <c r="Y59" s="10" t="s">
        <v>77</v>
      </c>
      <c r="Z59" s="10" t="s">
        <v>77</v>
      </c>
      <c r="AA59" s="10" t="s">
        <v>77</v>
      </c>
      <c r="AB59" s="10"/>
      <c r="AC59" s="10" t="s">
        <v>77</v>
      </c>
      <c r="AD59" s="10" t="s">
        <v>77</v>
      </c>
      <c r="AE59" s="10" t="s">
        <v>77</v>
      </c>
      <c r="AF59" s="10" t="s">
        <v>77</v>
      </c>
      <c r="AG59" s="10" t="s">
        <v>77</v>
      </c>
      <c r="AH59" s="10" t="s">
        <v>77</v>
      </c>
      <c r="AI59" s="10" t="s">
        <v>77</v>
      </c>
      <c r="AJ59" s="10" t="s">
        <v>77</v>
      </c>
      <c r="AK59" s="10" t="s">
        <v>77</v>
      </c>
      <c r="AL59" s="10" t="s">
        <v>77</v>
      </c>
      <c r="AM59" s="10" t="s">
        <v>77</v>
      </c>
      <c r="AN59" s="10" t="s">
        <v>77</v>
      </c>
      <c r="AO59" s="10"/>
      <c r="AP59" s="10" t="s">
        <v>73</v>
      </c>
      <c r="AQ59" s="10" t="s">
        <v>73</v>
      </c>
      <c r="AS59" s="10" t="s">
        <v>77</v>
      </c>
      <c r="AT59" s="10" t="s">
        <v>77</v>
      </c>
      <c r="AU59" s="10" t="s">
        <v>77</v>
      </c>
      <c r="AV59" s="10" t="s">
        <v>77</v>
      </c>
      <c r="AW59" s="10" t="s">
        <v>77</v>
      </c>
      <c r="AX59" s="10" t="s">
        <v>77</v>
      </c>
      <c r="AY59" s="10" t="s">
        <v>77</v>
      </c>
      <c r="AZ59" s="10" t="s">
        <v>77</v>
      </c>
      <c r="BA59" s="10" t="s">
        <v>77</v>
      </c>
      <c r="BB59" s="10" t="s">
        <v>77</v>
      </c>
      <c r="BC59" s="10" t="s">
        <v>77</v>
      </c>
      <c r="BD59" s="10" t="s">
        <v>77</v>
      </c>
      <c r="BE59" s="10" t="s">
        <v>77</v>
      </c>
      <c r="BF59" s="10" t="s">
        <v>77</v>
      </c>
      <c r="BG59" s="10" t="s">
        <v>77</v>
      </c>
      <c r="BH59" s="10" t="s">
        <v>77</v>
      </c>
      <c r="BI59" s="10" t="s">
        <v>77</v>
      </c>
      <c r="BJ59" s="10" t="s">
        <v>77</v>
      </c>
      <c r="BK59" s="10" t="s">
        <v>77</v>
      </c>
      <c r="BL59" s="10" t="s">
        <v>77</v>
      </c>
      <c r="BM59" s="10" t="s">
        <v>77</v>
      </c>
      <c r="BN59" s="10" t="s">
        <v>77</v>
      </c>
      <c r="BO59" s="10" t="s">
        <v>77</v>
      </c>
      <c r="BP59" s="10" t="s">
        <v>77</v>
      </c>
      <c r="BR59" s="10" t="s">
        <v>77</v>
      </c>
      <c r="BS59" s="10" t="s">
        <v>77</v>
      </c>
      <c r="BT59" s="10" t="s">
        <v>77</v>
      </c>
      <c r="BU59" s="10" t="s">
        <v>77</v>
      </c>
      <c r="BV59" s="10" t="s">
        <v>77</v>
      </c>
      <c r="BW59" s="10" t="s">
        <v>77</v>
      </c>
      <c r="BX59" s="10" t="s">
        <v>77</v>
      </c>
      <c r="BY59" s="10" t="s">
        <v>77</v>
      </c>
      <c r="CA59" s="2" t="str">
        <f aca="false">IF(AS59="x","x",IF(AS59="-","-",""))</f>
        <v>-</v>
      </c>
      <c r="CB59" s="2" t="str">
        <f aca="false">IF(AT59="x","x",IF(AT59="-","-",""))</f>
        <v>-</v>
      </c>
      <c r="CC59" s="2" t="str">
        <f aca="false">IF(AU59="x","x",IF(AU59="-","-",""))</f>
        <v>-</v>
      </c>
      <c r="CD59" s="2" t="str">
        <f aca="false">IF(AV59="x","x",IF(AV59="-","-",""))</f>
        <v>-</v>
      </c>
      <c r="CE59" s="2" t="str">
        <f aca="false">IF(AW59="x","x",IF(AW59="-","-",""))</f>
        <v>-</v>
      </c>
      <c r="CF59" s="2" t="str">
        <f aca="false">IF(AX59="x","x",IF(AX59="-","-",""))</f>
        <v>-</v>
      </c>
      <c r="CG59" s="2" t="str">
        <f aca="false">IF(AY59="x","x",IF(AY59="-","-",""))</f>
        <v>-</v>
      </c>
      <c r="CH59" s="2" t="str">
        <f aca="false">IF(AZ59="x","x",IF(AZ59="-","-",""))</f>
        <v>-</v>
      </c>
      <c r="CI59" s="2" t="str">
        <f aca="false">IF(BA59="x","x",IF(BA59="-","-",""))</f>
        <v>-</v>
      </c>
      <c r="CJ59" s="2" t="str">
        <f aca="false">IF(BB59="x","x",IF(BB59="-","-",""))</f>
        <v>-</v>
      </c>
      <c r="CK59" s="2" t="str">
        <f aca="false">IF(BC59="x","x",IF(BC59="-","-",""))</f>
        <v>-</v>
      </c>
      <c r="CL59" s="2" t="str">
        <f aca="false">IF(BD59="x","x",IF(BD59="-","-",""))</f>
        <v>-</v>
      </c>
      <c r="CM59" s="2" t="str">
        <f aca="false">IF(BE59="x","x",IF(BE59="-","-",""))</f>
        <v>-</v>
      </c>
      <c r="CN59" s="2" t="str">
        <f aca="false">IF(BF59="x","x",IF(BF59="-","-",""))</f>
        <v>-</v>
      </c>
      <c r="CO59" s="2" t="str">
        <f aca="false">IF(BG59="x","x",IF(BG59="-","-",""))</f>
        <v>-</v>
      </c>
      <c r="CP59" s="2" t="str">
        <f aca="false">IF(BH59="x","x",IF(BH59="-","-",""))</f>
        <v>-</v>
      </c>
      <c r="CQ59" s="2" t="str">
        <f aca="false">IF(BI59="x","x",IF(BI59="-","-",""))</f>
        <v>-</v>
      </c>
      <c r="CR59" s="2" t="str">
        <f aca="false">IF(BJ59="x","x",IF(BJ59="-","-",""))</f>
        <v>-</v>
      </c>
      <c r="CS59" s="2" t="str">
        <f aca="false">IF(BK59="x","x",IF(BK59="-","-",""))</f>
        <v>-</v>
      </c>
      <c r="CT59" s="2" t="str">
        <f aca="false">IF(BL59="x","x",IF(BL59="-","-",""))</f>
        <v>-</v>
      </c>
      <c r="CU59" s="2" t="str">
        <f aca="false">IF(BM59="x","x",IF(BM59="-","-",""))</f>
        <v>-</v>
      </c>
      <c r="CV59" s="2" t="str">
        <f aca="false">IF(BN59="x","x",IF(BN59="-","-",""))</f>
        <v>-</v>
      </c>
      <c r="CW59" s="2" t="str">
        <f aca="false">IF(BO59="x","x",IF(BO59="-","-",""))</f>
        <v>-</v>
      </c>
      <c r="CX59" s="2" t="str">
        <f aca="false">IF(BP59="x","x",IF(BP59="-","-",""))</f>
        <v>-</v>
      </c>
      <c r="CZ59" s="2" t="str">
        <f aca="false">IF(P59="x","x",IF(P59="-","-",""))</f>
        <v>-</v>
      </c>
      <c r="DA59" s="2" t="str">
        <f aca="false">IF(Q59="x","x",IF(Q59="-","-",""))</f>
        <v>-</v>
      </c>
      <c r="DB59" s="2" t="str">
        <f aca="false">IF(R59="x","x",IF(R59="-","-",""))</f>
        <v>-</v>
      </c>
      <c r="DC59" s="2" t="str">
        <f aca="false">IF(S59="x","x",IF(S59="-","-",""))</f>
        <v>-</v>
      </c>
      <c r="DD59" s="2" t="str">
        <f aca="false">IF(T59="x","x",IF(T59="-","-",""))</f>
        <v>-</v>
      </c>
      <c r="DE59" s="2" t="str">
        <f aca="false">IF(U59="x","x",IF(U59="-","-",""))</f>
        <v>-</v>
      </c>
      <c r="DF59" s="2" t="str">
        <f aca="false">IF(V59="x","x",IF(V59="-","-",""))</f>
        <v>-</v>
      </c>
      <c r="DG59" s="2" t="str">
        <f aca="false">IF(W59="x","x",IF(W59="-","-",""))</f>
        <v>-</v>
      </c>
      <c r="DH59" s="2" t="str">
        <f aca="false">IF(X59="x","x",IF(X59="-","-",""))</f>
        <v>-</v>
      </c>
      <c r="DI59" s="2" t="str">
        <f aca="false">IF(Y59="x","x",IF(Y59="-","-",""))</f>
        <v>-</v>
      </c>
      <c r="DJ59" s="2" t="str">
        <f aca="false">IF(Z59="x","x",IF(Z59="-","-",""))</f>
        <v>-</v>
      </c>
      <c r="DK59" s="2" t="str">
        <f aca="false">IF(AA59="x","x",IF(AA59="-","-",""))</f>
        <v>-</v>
      </c>
      <c r="DL59" s="10"/>
      <c r="DM59" s="2" t="str">
        <f aca="false">IF(AC59="x","x",IF(AC59="-","-",""))</f>
        <v>-</v>
      </c>
      <c r="DN59" s="2" t="str">
        <f aca="false">IF(AD59="x","x",IF(AD59="-","-",""))</f>
        <v>-</v>
      </c>
      <c r="DO59" s="2" t="str">
        <f aca="false">IF(AE59="x","x",IF(AE59="-","-",""))</f>
        <v>-</v>
      </c>
      <c r="DP59" s="2" t="str">
        <f aca="false">IF(AF59="x","x",IF(AF59="-","-",""))</f>
        <v>-</v>
      </c>
      <c r="DQ59" s="2" t="str">
        <f aca="false">IF(AG59="x","x",IF(AG59="-","-",""))</f>
        <v>-</v>
      </c>
      <c r="DR59" s="2" t="str">
        <f aca="false">IF(AH59="x","x",IF(AH59="-","-",""))</f>
        <v>-</v>
      </c>
      <c r="DS59" s="2" t="str">
        <f aca="false">IF(AI59="x","x",IF(AI59="-","-",""))</f>
        <v>-</v>
      </c>
      <c r="DT59" s="2" t="str">
        <f aca="false">IF(AJ59="x","x",IF(AJ59="-","-",""))</f>
        <v>-</v>
      </c>
      <c r="DU59" s="2" t="str">
        <f aca="false">IF(AK59="x","x",IF(AK59="-","-",""))</f>
        <v>-</v>
      </c>
      <c r="DV59" s="2" t="str">
        <f aca="false">IF(AL59="x","x",IF(AL59="-","-",""))</f>
        <v>-</v>
      </c>
      <c r="DW59" s="2" t="str">
        <f aca="false">IF(AM59="x","x",IF(AM59="-","-",""))</f>
        <v>-</v>
      </c>
      <c r="DX59" s="2" t="str">
        <f aca="false">IF(AN59="x","x",IF(AN59="-","-",""))</f>
        <v>-</v>
      </c>
    </row>
    <row r="60" customFormat="false" ht="13.8" hidden="false" customHeight="false" outlineLevel="0" collapsed="false">
      <c r="A60" s="10" t="s">
        <v>73</v>
      </c>
      <c r="B60" s="2" t="n">
        <v>59</v>
      </c>
      <c r="C60" s="1" t="s">
        <v>77</v>
      </c>
      <c r="D60" s="10" t="s">
        <v>92</v>
      </c>
      <c r="E60" s="10" t="s">
        <v>127</v>
      </c>
      <c r="F60" s="10"/>
      <c r="G60" s="10" t="s">
        <v>77</v>
      </c>
      <c r="H60" s="10" t="s">
        <v>77</v>
      </c>
      <c r="I60" s="10" t="s">
        <v>77</v>
      </c>
      <c r="J60" s="10" t="s">
        <v>77</v>
      </c>
      <c r="K60" s="10" t="s">
        <v>77</v>
      </c>
      <c r="L60" s="10" t="s">
        <v>77</v>
      </c>
      <c r="M60" s="2" t="n">
        <v>20</v>
      </c>
      <c r="N60" s="10" t="s">
        <v>77</v>
      </c>
      <c r="O60" s="10"/>
      <c r="P60" s="10" t="s">
        <v>77</v>
      </c>
      <c r="Q60" s="10" t="s">
        <v>77</v>
      </c>
      <c r="R60" s="10" t="s">
        <v>77</v>
      </c>
      <c r="S60" s="10" t="s">
        <v>77</v>
      </c>
      <c r="T60" s="10" t="s">
        <v>77</v>
      </c>
      <c r="U60" s="10" t="s">
        <v>77</v>
      </c>
      <c r="V60" s="10" t="s">
        <v>77</v>
      </c>
      <c r="W60" s="10" t="s">
        <v>77</v>
      </c>
      <c r="X60" s="10" t="s">
        <v>77</v>
      </c>
      <c r="Y60" s="10" t="s">
        <v>77</v>
      </c>
      <c r="Z60" s="10" t="s">
        <v>77</v>
      </c>
      <c r="AA60" s="10" t="s">
        <v>77</v>
      </c>
      <c r="AB60" s="10"/>
      <c r="AC60" s="10" t="s">
        <v>77</v>
      </c>
      <c r="AD60" s="10" t="s">
        <v>77</v>
      </c>
      <c r="AE60" s="10" t="s">
        <v>77</v>
      </c>
      <c r="AF60" s="10" t="s">
        <v>77</v>
      </c>
      <c r="AG60" s="10" t="s">
        <v>77</v>
      </c>
      <c r="AH60" s="10" t="s">
        <v>77</v>
      </c>
      <c r="AI60" s="10" t="s">
        <v>77</v>
      </c>
      <c r="AJ60" s="10" t="s">
        <v>77</v>
      </c>
      <c r="AK60" s="10" t="s">
        <v>77</v>
      </c>
      <c r="AL60" s="10" t="s">
        <v>77</v>
      </c>
      <c r="AM60" s="10" t="s">
        <v>77</v>
      </c>
      <c r="AN60" s="10" t="s">
        <v>77</v>
      </c>
      <c r="AO60" s="10"/>
      <c r="AP60" s="10" t="s">
        <v>73</v>
      </c>
      <c r="AQ60" s="10" t="s">
        <v>73</v>
      </c>
      <c r="AS60" s="10" t="s">
        <v>77</v>
      </c>
      <c r="AT60" s="10" t="s">
        <v>77</v>
      </c>
      <c r="AU60" s="10" t="s">
        <v>77</v>
      </c>
      <c r="AV60" s="10" t="s">
        <v>77</v>
      </c>
      <c r="AW60" s="10" t="s">
        <v>77</v>
      </c>
      <c r="AX60" s="10" t="s">
        <v>77</v>
      </c>
      <c r="AY60" s="10" t="s">
        <v>77</v>
      </c>
      <c r="AZ60" s="10" t="s">
        <v>77</v>
      </c>
      <c r="BA60" s="10" t="s">
        <v>77</v>
      </c>
      <c r="BB60" s="10" t="s">
        <v>77</v>
      </c>
      <c r="BC60" s="10" t="s">
        <v>77</v>
      </c>
      <c r="BD60" s="10" t="s">
        <v>77</v>
      </c>
      <c r="BE60" s="10" t="s">
        <v>77</v>
      </c>
      <c r="BF60" s="10" t="s">
        <v>77</v>
      </c>
      <c r="BG60" s="10" t="s">
        <v>77</v>
      </c>
      <c r="BH60" s="10" t="s">
        <v>77</v>
      </c>
      <c r="BI60" s="10" t="s">
        <v>77</v>
      </c>
      <c r="BJ60" s="10" t="s">
        <v>77</v>
      </c>
      <c r="BK60" s="10" t="s">
        <v>77</v>
      </c>
      <c r="BL60" s="10" t="s">
        <v>77</v>
      </c>
      <c r="BM60" s="10" t="s">
        <v>77</v>
      </c>
      <c r="BN60" s="10" t="s">
        <v>77</v>
      </c>
      <c r="BO60" s="10" t="s">
        <v>77</v>
      </c>
      <c r="BP60" s="10" t="s">
        <v>77</v>
      </c>
      <c r="BR60" s="10" t="s">
        <v>77</v>
      </c>
      <c r="BS60" s="10" t="s">
        <v>77</v>
      </c>
      <c r="BT60" s="10" t="s">
        <v>77</v>
      </c>
      <c r="BU60" s="10" t="s">
        <v>77</v>
      </c>
      <c r="BV60" s="10" t="s">
        <v>77</v>
      </c>
      <c r="BW60" s="10" t="s">
        <v>77</v>
      </c>
      <c r="BX60" s="10" t="s">
        <v>77</v>
      </c>
      <c r="BY60" s="10" t="s">
        <v>77</v>
      </c>
      <c r="CA60" s="2" t="str">
        <f aca="false">IF(AS60="x","x",IF(AS60="-","-",""))</f>
        <v>-</v>
      </c>
      <c r="CB60" s="2" t="str">
        <f aca="false">IF(AT60="x","x",IF(AT60="-","-",""))</f>
        <v>-</v>
      </c>
      <c r="CC60" s="2" t="str">
        <f aca="false">IF(AU60="x","x",IF(AU60="-","-",""))</f>
        <v>-</v>
      </c>
      <c r="CD60" s="2" t="str">
        <f aca="false">IF(AV60="x","x",IF(AV60="-","-",""))</f>
        <v>-</v>
      </c>
      <c r="CE60" s="2" t="str">
        <f aca="false">IF(AW60="x","x",IF(AW60="-","-",""))</f>
        <v>-</v>
      </c>
      <c r="CF60" s="2" t="str">
        <f aca="false">IF(AX60="x","x",IF(AX60="-","-",""))</f>
        <v>-</v>
      </c>
      <c r="CG60" s="2" t="str">
        <f aca="false">IF(AY60="x","x",IF(AY60="-","-",""))</f>
        <v>-</v>
      </c>
      <c r="CH60" s="2" t="str">
        <f aca="false">IF(AZ60="x","x",IF(AZ60="-","-",""))</f>
        <v>-</v>
      </c>
      <c r="CI60" s="2" t="str">
        <f aca="false">IF(BA60="x","x",IF(BA60="-","-",""))</f>
        <v>-</v>
      </c>
      <c r="CJ60" s="2" t="str">
        <f aca="false">IF(BB60="x","x",IF(BB60="-","-",""))</f>
        <v>-</v>
      </c>
      <c r="CK60" s="2" t="str">
        <f aca="false">IF(BC60="x","x",IF(BC60="-","-",""))</f>
        <v>-</v>
      </c>
      <c r="CL60" s="2" t="str">
        <f aca="false">IF(BD60="x","x",IF(BD60="-","-",""))</f>
        <v>-</v>
      </c>
      <c r="CM60" s="2" t="str">
        <f aca="false">IF(BE60="x","x",IF(BE60="-","-",""))</f>
        <v>-</v>
      </c>
      <c r="CN60" s="2" t="str">
        <f aca="false">IF(BF60="x","x",IF(BF60="-","-",""))</f>
        <v>-</v>
      </c>
      <c r="CO60" s="2" t="str">
        <f aca="false">IF(BG60="x","x",IF(BG60="-","-",""))</f>
        <v>-</v>
      </c>
      <c r="CP60" s="2" t="str">
        <f aca="false">IF(BH60="x","x",IF(BH60="-","-",""))</f>
        <v>-</v>
      </c>
      <c r="CQ60" s="2" t="str">
        <f aca="false">IF(BI60="x","x",IF(BI60="-","-",""))</f>
        <v>-</v>
      </c>
      <c r="CR60" s="2" t="str">
        <f aca="false">IF(BJ60="x","x",IF(BJ60="-","-",""))</f>
        <v>-</v>
      </c>
      <c r="CS60" s="2" t="str">
        <f aca="false">IF(BK60="x","x",IF(BK60="-","-",""))</f>
        <v>-</v>
      </c>
      <c r="CT60" s="2" t="str">
        <f aca="false">IF(BL60="x","x",IF(BL60="-","-",""))</f>
        <v>-</v>
      </c>
      <c r="CU60" s="2" t="str">
        <f aca="false">IF(BM60="x","x",IF(BM60="-","-",""))</f>
        <v>-</v>
      </c>
      <c r="CV60" s="2" t="str">
        <f aca="false">IF(BN60="x","x",IF(BN60="-","-",""))</f>
        <v>-</v>
      </c>
      <c r="CW60" s="2" t="str">
        <f aca="false">IF(BO60="x","x",IF(BO60="-","-",""))</f>
        <v>-</v>
      </c>
      <c r="CX60" s="2" t="str">
        <f aca="false">IF(BP60="x","x",IF(BP60="-","-",""))</f>
        <v>-</v>
      </c>
      <c r="CZ60" s="2" t="str">
        <f aca="false">IF(P60="x","x",IF(P60="-","-",""))</f>
        <v>-</v>
      </c>
      <c r="DA60" s="2" t="str">
        <f aca="false">IF(Q60="x","x",IF(Q60="-","-",""))</f>
        <v>-</v>
      </c>
      <c r="DB60" s="2" t="str">
        <f aca="false">IF(R60="x","x",IF(R60="-","-",""))</f>
        <v>-</v>
      </c>
      <c r="DC60" s="2" t="str">
        <f aca="false">IF(S60="x","x",IF(S60="-","-",""))</f>
        <v>-</v>
      </c>
      <c r="DD60" s="2" t="str">
        <f aca="false">IF(T60="x","x",IF(T60="-","-",""))</f>
        <v>-</v>
      </c>
      <c r="DE60" s="2" t="str">
        <f aca="false">IF(U60="x","x",IF(U60="-","-",""))</f>
        <v>-</v>
      </c>
      <c r="DF60" s="2" t="str">
        <f aca="false">IF(V60="x","x",IF(V60="-","-",""))</f>
        <v>-</v>
      </c>
      <c r="DG60" s="2" t="str">
        <f aca="false">IF(W60="x","x",IF(W60="-","-",""))</f>
        <v>-</v>
      </c>
      <c r="DH60" s="2" t="str">
        <f aca="false">IF(X60="x","x",IF(X60="-","-",""))</f>
        <v>-</v>
      </c>
      <c r="DI60" s="2" t="str">
        <f aca="false">IF(Y60="x","x",IF(Y60="-","-",""))</f>
        <v>-</v>
      </c>
      <c r="DJ60" s="2" t="str">
        <f aca="false">IF(Z60="x","x",IF(Z60="-","-",""))</f>
        <v>-</v>
      </c>
      <c r="DK60" s="2" t="str">
        <f aca="false">IF(AA60="x","x",IF(AA60="-","-",""))</f>
        <v>-</v>
      </c>
      <c r="DL60" s="10"/>
      <c r="DM60" s="2" t="str">
        <f aca="false">IF(AC60="x","x",IF(AC60="-","-",""))</f>
        <v>-</v>
      </c>
      <c r="DN60" s="2" t="str">
        <f aca="false">IF(AD60="x","x",IF(AD60="-","-",""))</f>
        <v>-</v>
      </c>
      <c r="DO60" s="2" t="str">
        <f aca="false">IF(AE60="x","x",IF(AE60="-","-",""))</f>
        <v>-</v>
      </c>
      <c r="DP60" s="2" t="str">
        <f aca="false">IF(AF60="x","x",IF(AF60="-","-",""))</f>
        <v>-</v>
      </c>
      <c r="DQ60" s="2" t="str">
        <f aca="false">IF(AG60="x","x",IF(AG60="-","-",""))</f>
        <v>-</v>
      </c>
      <c r="DR60" s="2" t="str">
        <f aca="false">IF(AH60="x","x",IF(AH60="-","-",""))</f>
        <v>-</v>
      </c>
      <c r="DS60" s="2" t="str">
        <f aca="false">IF(AI60="x","x",IF(AI60="-","-",""))</f>
        <v>-</v>
      </c>
      <c r="DT60" s="2" t="str">
        <f aca="false">IF(AJ60="x","x",IF(AJ60="-","-",""))</f>
        <v>-</v>
      </c>
      <c r="DU60" s="2" t="str">
        <f aca="false">IF(AK60="x","x",IF(AK60="-","-",""))</f>
        <v>-</v>
      </c>
      <c r="DV60" s="2" t="str">
        <f aca="false">IF(AL60="x","x",IF(AL60="-","-",""))</f>
        <v>-</v>
      </c>
      <c r="DW60" s="2" t="str">
        <f aca="false">IF(AM60="x","x",IF(AM60="-","-",""))</f>
        <v>-</v>
      </c>
      <c r="DX60" s="2" t="str">
        <f aca="false">IF(AN60="x","x",IF(AN60="-","-",""))</f>
        <v>-</v>
      </c>
    </row>
    <row r="61" customFormat="false" ht="13.8" hidden="false" customHeight="false" outlineLevel="0" collapsed="false">
      <c r="A61" s="10" t="s">
        <v>73</v>
      </c>
      <c r="B61" s="2" t="n">
        <v>60</v>
      </c>
      <c r="C61" s="1" t="s">
        <v>77</v>
      </c>
      <c r="D61" s="10" t="s">
        <v>92</v>
      </c>
      <c r="E61" s="10" t="s">
        <v>127</v>
      </c>
      <c r="F61" s="10"/>
      <c r="G61" s="10" t="s">
        <v>77</v>
      </c>
      <c r="H61" s="10" t="s">
        <v>77</v>
      </c>
      <c r="I61" s="10" t="s">
        <v>77</v>
      </c>
      <c r="J61" s="10" t="s">
        <v>77</v>
      </c>
      <c r="K61" s="10" t="s">
        <v>77</v>
      </c>
      <c r="L61" s="10" t="s">
        <v>77</v>
      </c>
      <c r="M61" s="2" t="n">
        <v>20</v>
      </c>
      <c r="N61" s="10" t="s">
        <v>77</v>
      </c>
      <c r="O61" s="10"/>
      <c r="P61" s="10" t="s">
        <v>77</v>
      </c>
      <c r="Q61" s="10" t="s">
        <v>77</v>
      </c>
      <c r="R61" s="10" t="s">
        <v>77</v>
      </c>
      <c r="S61" s="10" t="s">
        <v>77</v>
      </c>
      <c r="T61" s="10" t="s">
        <v>77</v>
      </c>
      <c r="U61" s="10" t="s">
        <v>77</v>
      </c>
      <c r="V61" s="10" t="s">
        <v>77</v>
      </c>
      <c r="W61" s="10" t="s">
        <v>77</v>
      </c>
      <c r="X61" s="10" t="s">
        <v>77</v>
      </c>
      <c r="Y61" s="10" t="s">
        <v>77</v>
      </c>
      <c r="Z61" s="10" t="s">
        <v>77</v>
      </c>
      <c r="AA61" s="10" t="s">
        <v>77</v>
      </c>
      <c r="AB61" s="10"/>
      <c r="AC61" s="10" t="s">
        <v>77</v>
      </c>
      <c r="AD61" s="10" t="s">
        <v>77</v>
      </c>
      <c r="AE61" s="10" t="s">
        <v>77</v>
      </c>
      <c r="AF61" s="10" t="s">
        <v>77</v>
      </c>
      <c r="AG61" s="10" t="s">
        <v>77</v>
      </c>
      <c r="AH61" s="10" t="s">
        <v>77</v>
      </c>
      <c r="AI61" s="10" t="s">
        <v>77</v>
      </c>
      <c r="AJ61" s="10" t="s">
        <v>77</v>
      </c>
      <c r="AK61" s="10" t="s">
        <v>77</v>
      </c>
      <c r="AL61" s="10" t="s">
        <v>77</v>
      </c>
      <c r="AM61" s="10" t="s">
        <v>77</v>
      </c>
      <c r="AN61" s="10" t="s">
        <v>77</v>
      </c>
      <c r="AO61" s="10"/>
      <c r="AP61" s="10" t="s">
        <v>73</v>
      </c>
      <c r="AQ61" s="10" t="s">
        <v>73</v>
      </c>
      <c r="AS61" s="10" t="s">
        <v>77</v>
      </c>
      <c r="AT61" s="10" t="s">
        <v>77</v>
      </c>
      <c r="AU61" s="10" t="s">
        <v>77</v>
      </c>
      <c r="AV61" s="10" t="s">
        <v>77</v>
      </c>
      <c r="AW61" s="10" t="s">
        <v>77</v>
      </c>
      <c r="AX61" s="10" t="s">
        <v>77</v>
      </c>
      <c r="AY61" s="10" t="s">
        <v>77</v>
      </c>
      <c r="AZ61" s="10" t="s">
        <v>77</v>
      </c>
      <c r="BA61" s="10" t="s">
        <v>77</v>
      </c>
      <c r="BB61" s="10" t="s">
        <v>77</v>
      </c>
      <c r="BC61" s="10" t="s">
        <v>77</v>
      </c>
      <c r="BD61" s="10" t="s">
        <v>77</v>
      </c>
      <c r="BE61" s="10" t="s">
        <v>77</v>
      </c>
      <c r="BF61" s="10" t="s">
        <v>77</v>
      </c>
      <c r="BG61" s="10" t="s">
        <v>77</v>
      </c>
      <c r="BH61" s="10" t="s">
        <v>77</v>
      </c>
      <c r="BI61" s="10" t="s">
        <v>77</v>
      </c>
      <c r="BJ61" s="10" t="s">
        <v>77</v>
      </c>
      <c r="BK61" s="10" t="s">
        <v>77</v>
      </c>
      <c r="BL61" s="10" t="s">
        <v>77</v>
      </c>
      <c r="BM61" s="10" t="s">
        <v>77</v>
      </c>
      <c r="BN61" s="10" t="s">
        <v>77</v>
      </c>
      <c r="BO61" s="10" t="s">
        <v>77</v>
      </c>
      <c r="BP61" s="10" t="s">
        <v>77</v>
      </c>
      <c r="BR61" s="10" t="s">
        <v>77</v>
      </c>
      <c r="BS61" s="10" t="s">
        <v>77</v>
      </c>
      <c r="BT61" s="10" t="s">
        <v>77</v>
      </c>
      <c r="BU61" s="10" t="s">
        <v>77</v>
      </c>
      <c r="BV61" s="10" t="s">
        <v>77</v>
      </c>
      <c r="BW61" s="10" t="s">
        <v>77</v>
      </c>
      <c r="BX61" s="10" t="s">
        <v>77</v>
      </c>
      <c r="BY61" s="10" t="s">
        <v>77</v>
      </c>
      <c r="CA61" s="2" t="str">
        <f aca="false">IF(AS61="x","x",IF(AS61="-","-",""))</f>
        <v>-</v>
      </c>
      <c r="CB61" s="2" t="str">
        <f aca="false">IF(AT61="x","x",IF(AT61="-","-",""))</f>
        <v>-</v>
      </c>
      <c r="CC61" s="2" t="str">
        <f aca="false">IF(AU61="x","x",IF(AU61="-","-",""))</f>
        <v>-</v>
      </c>
      <c r="CD61" s="2" t="str">
        <f aca="false">IF(AV61="x","x",IF(AV61="-","-",""))</f>
        <v>-</v>
      </c>
      <c r="CE61" s="2" t="str">
        <f aca="false">IF(AW61="x","x",IF(AW61="-","-",""))</f>
        <v>-</v>
      </c>
      <c r="CF61" s="2" t="str">
        <f aca="false">IF(AX61="x","x",IF(AX61="-","-",""))</f>
        <v>-</v>
      </c>
      <c r="CG61" s="2" t="str">
        <f aca="false">IF(AY61="x","x",IF(AY61="-","-",""))</f>
        <v>-</v>
      </c>
      <c r="CH61" s="2" t="str">
        <f aca="false">IF(AZ61="x","x",IF(AZ61="-","-",""))</f>
        <v>-</v>
      </c>
      <c r="CI61" s="2" t="str">
        <f aca="false">IF(BA61="x","x",IF(BA61="-","-",""))</f>
        <v>-</v>
      </c>
      <c r="CJ61" s="2" t="str">
        <f aca="false">IF(BB61="x","x",IF(BB61="-","-",""))</f>
        <v>-</v>
      </c>
      <c r="CK61" s="2" t="str">
        <f aca="false">IF(BC61="x","x",IF(BC61="-","-",""))</f>
        <v>-</v>
      </c>
      <c r="CL61" s="2" t="str">
        <f aca="false">IF(BD61="x","x",IF(BD61="-","-",""))</f>
        <v>-</v>
      </c>
      <c r="CM61" s="2" t="str">
        <f aca="false">IF(BE61="x","x",IF(BE61="-","-",""))</f>
        <v>-</v>
      </c>
      <c r="CN61" s="2" t="str">
        <f aca="false">IF(BF61="x","x",IF(BF61="-","-",""))</f>
        <v>-</v>
      </c>
      <c r="CO61" s="2" t="str">
        <f aca="false">IF(BG61="x","x",IF(BG61="-","-",""))</f>
        <v>-</v>
      </c>
      <c r="CP61" s="2" t="str">
        <f aca="false">IF(BH61="x","x",IF(BH61="-","-",""))</f>
        <v>-</v>
      </c>
      <c r="CQ61" s="2" t="str">
        <f aca="false">IF(BI61="x","x",IF(BI61="-","-",""))</f>
        <v>-</v>
      </c>
      <c r="CR61" s="2" t="str">
        <f aca="false">IF(BJ61="x","x",IF(BJ61="-","-",""))</f>
        <v>-</v>
      </c>
      <c r="CS61" s="2" t="str">
        <f aca="false">IF(BK61="x","x",IF(BK61="-","-",""))</f>
        <v>-</v>
      </c>
      <c r="CT61" s="2" t="str">
        <f aca="false">IF(BL61="x","x",IF(BL61="-","-",""))</f>
        <v>-</v>
      </c>
      <c r="CU61" s="2" t="str">
        <f aca="false">IF(BM61="x","x",IF(BM61="-","-",""))</f>
        <v>-</v>
      </c>
      <c r="CV61" s="2" t="str">
        <f aca="false">IF(BN61="x","x",IF(BN61="-","-",""))</f>
        <v>-</v>
      </c>
      <c r="CW61" s="2" t="str">
        <f aca="false">IF(BO61="x","x",IF(BO61="-","-",""))</f>
        <v>-</v>
      </c>
      <c r="CX61" s="2" t="str">
        <f aca="false">IF(BP61="x","x",IF(BP61="-","-",""))</f>
        <v>-</v>
      </c>
      <c r="CZ61" s="2" t="str">
        <f aca="false">IF(P61="x","x",IF(P61="-","-",""))</f>
        <v>-</v>
      </c>
      <c r="DA61" s="2" t="str">
        <f aca="false">IF(Q61="x","x",IF(Q61="-","-",""))</f>
        <v>-</v>
      </c>
      <c r="DB61" s="2" t="str">
        <f aca="false">IF(R61="x","x",IF(R61="-","-",""))</f>
        <v>-</v>
      </c>
      <c r="DC61" s="2" t="str">
        <f aca="false">IF(S61="x","x",IF(S61="-","-",""))</f>
        <v>-</v>
      </c>
      <c r="DD61" s="2" t="str">
        <f aca="false">IF(T61="x","x",IF(T61="-","-",""))</f>
        <v>-</v>
      </c>
      <c r="DE61" s="2" t="str">
        <f aca="false">IF(U61="x","x",IF(U61="-","-",""))</f>
        <v>-</v>
      </c>
      <c r="DF61" s="2" t="str">
        <f aca="false">IF(V61="x","x",IF(V61="-","-",""))</f>
        <v>-</v>
      </c>
      <c r="DG61" s="2" t="str">
        <f aca="false">IF(W61="x","x",IF(W61="-","-",""))</f>
        <v>-</v>
      </c>
      <c r="DH61" s="2" t="str">
        <f aca="false">IF(X61="x","x",IF(X61="-","-",""))</f>
        <v>-</v>
      </c>
      <c r="DI61" s="2" t="str">
        <f aca="false">IF(Y61="x","x",IF(Y61="-","-",""))</f>
        <v>-</v>
      </c>
      <c r="DJ61" s="2" t="str">
        <f aca="false">IF(Z61="x","x",IF(Z61="-","-",""))</f>
        <v>-</v>
      </c>
      <c r="DK61" s="2" t="str">
        <f aca="false">IF(AA61="x","x",IF(AA61="-","-",""))</f>
        <v>-</v>
      </c>
      <c r="DL61" s="10"/>
      <c r="DM61" s="2" t="str">
        <f aca="false">IF(AC61="x","x",IF(AC61="-","-",""))</f>
        <v>-</v>
      </c>
      <c r="DN61" s="2" t="str">
        <f aca="false">IF(AD61="x","x",IF(AD61="-","-",""))</f>
        <v>-</v>
      </c>
      <c r="DO61" s="2" t="str">
        <f aca="false">IF(AE61="x","x",IF(AE61="-","-",""))</f>
        <v>-</v>
      </c>
      <c r="DP61" s="2" t="str">
        <f aca="false">IF(AF61="x","x",IF(AF61="-","-",""))</f>
        <v>-</v>
      </c>
      <c r="DQ61" s="2" t="str">
        <f aca="false">IF(AG61="x","x",IF(AG61="-","-",""))</f>
        <v>-</v>
      </c>
      <c r="DR61" s="2" t="str">
        <f aca="false">IF(AH61="x","x",IF(AH61="-","-",""))</f>
        <v>-</v>
      </c>
      <c r="DS61" s="2" t="str">
        <f aca="false">IF(AI61="x","x",IF(AI61="-","-",""))</f>
        <v>-</v>
      </c>
      <c r="DT61" s="2" t="str">
        <f aca="false">IF(AJ61="x","x",IF(AJ61="-","-",""))</f>
        <v>-</v>
      </c>
      <c r="DU61" s="2" t="str">
        <f aca="false">IF(AK61="x","x",IF(AK61="-","-",""))</f>
        <v>-</v>
      </c>
      <c r="DV61" s="2" t="str">
        <f aca="false">IF(AL61="x","x",IF(AL61="-","-",""))</f>
        <v>-</v>
      </c>
      <c r="DW61" s="2" t="str">
        <f aca="false">IF(AM61="x","x",IF(AM61="-","-",""))</f>
        <v>-</v>
      </c>
      <c r="DX61" s="2" t="str">
        <f aca="false">IF(AN61="x","x",IF(AN61="-","-",""))</f>
        <v>-</v>
      </c>
    </row>
    <row r="62" customFormat="false" ht="13.8" hidden="false" customHeight="false" outlineLevel="0" collapsed="false">
      <c r="A62" s="10" t="s">
        <v>73</v>
      </c>
      <c r="B62" s="2" t="n">
        <v>61</v>
      </c>
      <c r="C62" s="1" t="s">
        <v>77</v>
      </c>
      <c r="D62" s="10" t="s">
        <v>92</v>
      </c>
      <c r="E62" s="10" t="s">
        <v>127</v>
      </c>
      <c r="F62" s="10"/>
      <c r="G62" s="10" t="s">
        <v>77</v>
      </c>
      <c r="H62" s="10" t="s">
        <v>77</v>
      </c>
      <c r="I62" s="10" t="s">
        <v>77</v>
      </c>
      <c r="J62" s="10" t="s">
        <v>77</v>
      </c>
      <c r="K62" s="10" t="s">
        <v>77</v>
      </c>
      <c r="L62" s="10" t="s">
        <v>77</v>
      </c>
      <c r="M62" s="2" t="n">
        <v>20</v>
      </c>
      <c r="N62" s="10" t="s">
        <v>77</v>
      </c>
      <c r="O62" s="10"/>
      <c r="P62" s="10" t="s">
        <v>77</v>
      </c>
      <c r="Q62" s="10" t="s">
        <v>77</v>
      </c>
      <c r="R62" s="10" t="s">
        <v>77</v>
      </c>
      <c r="S62" s="10" t="s">
        <v>77</v>
      </c>
      <c r="T62" s="10" t="s">
        <v>77</v>
      </c>
      <c r="U62" s="10" t="s">
        <v>77</v>
      </c>
      <c r="V62" s="10" t="s">
        <v>77</v>
      </c>
      <c r="W62" s="10" t="s">
        <v>77</v>
      </c>
      <c r="X62" s="10" t="s">
        <v>77</v>
      </c>
      <c r="Y62" s="10" t="s">
        <v>77</v>
      </c>
      <c r="Z62" s="10" t="s">
        <v>77</v>
      </c>
      <c r="AA62" s="10" t="s">
        <v>77</v>
      </c>
      <c r="AB62" s="10"/>
      <c r="AC62" s="10" t="s">
        <v>77</v>
      </c>
      <c r="AD62" s="10" t="s">
        <v>77</v>
      </c>
      <c r="AE62" s="10" t="s">
        <v>77</v>
      </c>
      <c r="AF62" s="10" t="s">
        <v>77</v>
      </c>
      <c r="AG62" s="10" t="s">
        <v>77</v>
      </c>
      <c r="AH62" s="10" t="s">
        <v>77</v>
      </c>
      <c r="AI62" s="10" t="s">
        <v>77</v>
      </c>
      <c r="AJ62" s="10" t="s">
        <v>77</v>
      </c>
      <c r="AK62" s="10" t="s">
        <v>77</v>
      </c>
      <c r="AL62" s="10" t="s">
        <v>77</v>
      </c>
      <c r="AM62" s="10" t="s">
        <v>77</v>
      </c>
      <c r="AN62" s="10" t="s">
        <v>77</v>
      </c>
      <c r="AO62" s="10"/>
      <c r="AP62" s="10" t="s">
        <v>73</v>
      </c>
      <c r="AQ62" s="10" t="s">
        <v>73</v>
      </c>
      <c r="AS62" s="10" t="s">
        <v>77</v>
      </c>
      <c r="AT62" s="10" t="s">
        <v>77</v>
      </c>
      <c r="AU62" s="10" t="s">
        <v>77</v>
      </c>
      <c r="AV62" s="10" t="s">
        <v>77</v>
      </c>
      <c r="AW62" s="10" t="s">
        <v>77</v>
      </c>
      <c r="AX62" s="10" t="s">
        <v>77</v>
      </c>
      <c r="AY62" s="10" t="s">
        <v>77</v>
      </c>
      <c r="AZ62" s="10" t="s">
        <v>77</v>
      </c>
      <c r="BA62" s="10" t="s">
        <v>77</v>
      </c>
      <c r="BB62" s="10" t="s">
        <v>77</v>
      </c>
      <c r="BC62" s="10" t="s">
        <v>77</v>
      </c>
      <c r="BD62" s="10" t="s">
        <v>77</v>
      </c>
      <c r="BE62" s="10" t="s">
        <v>77</v>
      </c>
      <c r="BF62" s="10" t="s">
        <v>77</v>
      </c>
      <c r="BG62" s="10" t="s">
        <v>77</v>
      </c>
      <c r="BH62" s="10" t="s">
        <v>77</v>
      </c>
      <c r="BI62" s="10" t="s">
        <v>77</v>
      </c>
      <c r="BJ62" s="10" t="s">
        <v>77</v>
      </c>
      <c r="BK62" s="10" t="s">
        <v>77</v>
      </c>
      <c r="BL62" s="10" t="s">
        <v>77</v>
      </c>
      <c r="BM62" s="10" t="s">
        <v>77</v>
      </c>
      <c r="BN62" s="10" t="s">
        <v>77</v>
      </c>
      <c r="BO62" s="10" t="s">
        <v>77</v>
      </c>
      <c r="BP62" s="10" t="s">
        <v>77</v>
      </c>
      <c r="BR62" s="10" t="s">
        <v>77</v>
      </c>
      <c r="BS62" s="10" t="s">
        <v>77</v>
      </c>
      <c r="BT62" s="10" t="s">
        <v>77</v>
      </c>
      <c r="BU62" s="10" t="s">
        <v>77</v>
      </c>
      <c r="BV62" s="10" t="s">
        <v>77</v>
      </c>
      <c r="BW62" s="10" t="s">
        <v>77</v>
      </c>
      <c r="BX62" s="10" t="s">
        <v>77</v>
      </c>
      <c r="BY62" s="10" t="s">
        <v>77</v>
      </c>
      <c r="CA62" s="2" t="str">
        <f aca="false">IF(AS62="x","x",IF(AS62="-","-",""))</f>
        <v>-</v>
      </c>
      <c r="CB62" s="2" t="str">
        <f aca="false">IF(AT62="x","x",IF(AT62="-","-",""))</f>
        <v>-</v>
      </c>
      <c r="CC62" s="2" t="str">
        <f aca="false">IF(AU62="x","x",IF(AU62="-","-",""))</f>
        <v>-</v>
      </c>
      <c r="CD62" s="2" t="str">
        <f aca="false">IF(AV62="x","x",IF(AV62="-","-",""))</f>
        <v>-</v>
      </c>
      <c r="CE62" s="2" t="str">
        <f aca="false">IF(AW62="x","x",IF(AW62="-","-",""))</f>
        <v>-</v>
      </c>
      <c r="CF62" s="2" t="str">
        <f aca="false">IF(AX62="x","x",IF(AX62="-","-",""))</f>
        <v>-</v>
      </c>
      <c r="CG62" s="2" t="str">
        <f aca="false">IF(AY62="x","x",IF(AY62="-","-",""))</f>
        <v>-</v>
      </c>
      <c r="CH62" s="2" t="str">
        <f aca="false">IF(AZ62="x","x",IF(AZ62="-","-",""))</f>
        <v>-</v>
      </c>
      <c r="CI62" s="2" t="str">
        <f aca="false">IF(BA62="x","x",IF(BA62="-","-",""))</f>
        <v>-</v>
      </c>
      <c r="CJ62" s="2" t="str">
        <f aca="false">IF(BB62="x","x",IF(BB62="-","-",""))</f>
        <v>-</v>
      </c>
      <c r="CK62" s="2" t="str">
        <f aca="false">IF(BC62="x","x",IF(BC62="-","-",""))</f>
        <v>-</v>
      </c>
      <c r="CL62" s="2" t="str">
        <f aca="false">IF(BD62="x","x",IF(BD62="-","-",""))</f>
        <v>-</v>
      </c>
      <c r="CM62" s="2" t="str">
        <f aca="false">IF(BE62="x","x",IF(BE62="-","-",""))</f>
        <v>-</v>
      </c>
      <c r="CN62" s="2" t="str">
        <f aca="false">IF(BF62="x","x",IF(BF62="-","-",""))</f>
        <v>-</v>
      </c>
      <c r="CO62" s="2" t="str">
        <f aca="false">IF(BG62="x","x",IF(BG62="-","-",""))</f>
        <v>-</v>
      </c>
      <c r="CP62" s="2" t="str">
        <f aca="false">IF(BH62="x","x",IF(BH62="-","-",""))</f>
        <v>-</v>
      </c>
      <c r="CQ62" s="2" t="str">
        <f aca="false">IF(BI62="x","x",IF(BI62="-","-",""))</f>
        <v>-</v>
      </c>
      <c r="CR62" s="2" t="str">
        <f aca="false">IF(BJ62="x","x",IF(BJ62="-","-",""))</f>
        <v>-</v>
      </c>
      <c r="CS62" s="2" t="str">
        <f aca="false">IF(BK62="x","x",IF(BK62="-","-",""))</f>
        <v>-</v>
      </c>
      <c r="CT62" s="2" t="str">
        <f aca="false">IF(BL62="x","x",IF(BL62="-","-",""))</f>
        <v>-</v>
      </c>
      <c r="CU62" s="2" t="str">
        <f aca="false">IF(BM62="x","x",IF(BM62="-","-",""))</f>
        <v>-</v>
      </c>
      <c r="CV62" s="2" t="str">
        <f aca="false">IF(BN62="x","x",IF(BN62="-","-",""))</f>
        <v>-</v>
      </c>
      <c r="CW62" s="2" t="str">
        <f aca="false">IF(BO62="x","x",IF(BO62="-","-",""))</f>
        <v>-</v>
      </c>
      <c r="CX62" s="2" t="str">
        <f aca="false">IF(BP62="x","x",IF(BP62="-","-",""))</f>
        <v>-</v>
      </c>
      <c r="CZ62" s="2" t="str">
        <f aca="false">IF(P62="x","x",IF(P62="-","-",""))</f>
        <v>-</v>
      </c>
      <c r="DA62" s="2" t="str">
        <f aca="false">IF(Q62="x","x",IF(Q62="-","-",""))</f>
        <v>-</v>
      </c>
      <c r="DB62" s="2" t="str">
        <f aca="false">IF(R62="x","x",IF(R62="-","-",""))</f>
        <v>-</v>
      </c>
      <c r="DC62" s="2" t="str">
        <f aca="false">IF(S62="x","x",IF(S62="-","-",""))</f>
        <v>-</v>
      </c>
      <c r="DD62" s="2" t="str">
        <f aca="false">IF(T62="x","x",IF(T62="-","-",""))</f>
        <v>-</v>
      </c>
      <c r="DE62" s="2" t="str">
        <f aca="false">IF(U62="x","x",IF(U62="-","-",""))</f>
        <v>-</v>
      </c>
      <c r="DF62" s="2" t="str">
        <f aca="false">IF(V62="x","x",IF(V62="-","-",""))</f>
        <v>-</v>
      </c>
      <c r="DG62" s="2" t="str">
        <f aca="false">IF(W62="x","x",IF(W62="-","-",""))</f>
        <v>-</v>
      </c>
      <c r="DH62" s="2" t="str">
        <f aca="false">IF(X62="x","x",IF(X62="-","-",""))</f>
        <v>-</v>
      </c>
      <c r="DI62" s="2" t="str">
        <f aca="false">IF(Y62="x","x",IF(Y62="-","-",""))</f>
        <v>-</v>
      </c>
      <c r="DJ62" s="2" t="str">
        <f aca="false">IF(Z62="x","x",IF(Z62="-","-",""))</f>
        <v>-</v>
      </c>
      <c r="DK62" s="2" t="str">
        <f aca="false">IF(AA62="x","x",IF(AA62="-","-",""))</f>
        <v>-</v>
      </c>
      <c r="DL62" s="10"/>
      <c r="DM62" s="2" t="str">
        <f aca="false">IF(AC62="x","x",IF(AC62="-","-",""))</f>
        <v>-</v>
      </c>
      <c r="DN62" s="2" t="str">
        <f aca="false">IF(AD62="x","x",IF(AD62="-","-",""))</f>
        <v>-</v>
      </c>
      <c r="DO62" s="2" t="str">
        <f aca="false">IF(AE62="x","x",IF(AE62="-","-",""))</f>
        <v>-</v>
      </c>
      <c r="DP62" s="2" t="str">
        <f aca="false">IF(AF62="x","x",IF(AF62="-","-",""))</f>
        <v>-</v>
      </c>
      <c r="DQ62" s="2" t="str">
        <f aca="false">IF(AG62="x","x",IF(AG62="-","-",""))</f>
        <v>-</v>
      </c>
      <c r="DR62" s="2" t="str">
        <f aca="false">IF(AH62="x","x",IF(AH62="-","-",""))</f>
        <v>-</v>
      </c>
      <c r="DS62" s="2" t="str">
        <f aca="false">IF(AI62="x","x",IF(AI62="-","-",""))</f>
        <v>-</v>
      </c>
      <c r="DT62" s="2" t="str">
        <f aca="false">IF(AJ62="x","x",IF(AJ62="-","-",""))</f>
        <v>-</v>
      </c>
      <c r="DU62" s="2" t="str">
        <f aca="false">IF(AK62="x","x",IF(AK62="-","-",""))</f>
        <v>-</v>
      </c>
      <c r="DV62" s="2" t="str">
        <f aca="false">IF(AL62="x","x",IF(AL62="-","-",""))</f>
        <v>-</v>
      </c>
      <c r="DW62" s="2" t="str">
        <f aca="false">IF(AM62="x","x",IF(AM62="-","-",""))</f>
        <v>-</v>
      </c>
      <c r="DX62" s="2" t="str">
        <f aca="false">IF(AN62="x","x",IF(AN62="-","-",""))</f>
        <v>-</v>
      </c>
    </row>
    <row r="63" customFormat="false" ht="13.8" hidden="false" customHeight="false" outlineLevel="0" collapsed="false">
      <c r="A63" s="10" t="s">
        <v>73</v>
      </c>
      <c r="B63" s="2" t="n">
        <v>62</v>
      </c>
      <c r="C63" s="1" t="s">
        <v>77</v>
      </c>
      <c r="D63" s="10" t="s">
        <v>92</v>
      </c>
      <c r="E63" s="10" t="s">
        <v>127</v>
      </c>
      <c r="F63" s="10"/>
      <c r="G63" s="10" t="s">
        <v>77</v>
      </c>
      <c r="H63" s="10" t="s">
        <v>77</v>
      </c>
      <c r="I63" s="10" t="s">
        <v>77</v>
      </c>
      <c r="J63" s="10" t="s">
        <v>77</v>
      </c>
      <c r="K63" s="10" t="s">
        <v>77</v>
      </c>
      <c r="L63" s="10" t="s">
        <v>77</v>
      </c>
      <c r="M63" s="2" t="n">
        <v>20</v>
      </c>
      <c r="N63" s="10" t="s">
        <v>77</v>
      </c>
      <c r="O63" s="10"/>
      <c r="P63" s="10" t="s">
        <v>77</v>
      </c>
      <c r="Q63" s="10" t="s">
        <v>77</v>
      </c>
      <c r="R63" s="10" t="s">
        <v>77</v>
      </c>
      <c r="S63" s="10" t="s">
        <v>77</v>
      </c>
      <c r="T63" s="10" t="s">
        <v>77</v>
      </c>
      <c r="U63" s="10" t="s">
        <v>77</v>
      </c>
      <c r="V63" s="10" t="s">
        <v>77</v>
      </c>
      <c r="W63" s="10" t="s">
        <v>77</v>
      </c>
      <c r="X63" s="10" t="s">
        <v>77</v>
      </c>
      <c r="Y63" s="10" t="s">
        <v>77</v>
      </c>
      <c r="Z63" s="10" t="s">
        <v>77</v>
      </c>
      <c r="AA63" s="10" t="s">
        <v>77</v>
      </c>
      <c r="AB63" s="10"/>
      <c r="AC63" s="10" t="s">
        <v>77</v>
      </c>
      <c r="AD63" s="10" t="s">
        <v>77</v>
      </c>
      <c r="AE63" s="10" t="s">
        <v>77</v>
      </c>
      <c r="AF63" s="10" t="s">
        <v>77</v>
      </c>
      <c r="AG63" s="10" t="s">
        <v>77</v>
      </c>
      <c r="AH63" s="10" t="s">
        <v>77</v>
      </c>
      <c r="AI63" s="10" t="s">
        <v>77</v>
      </c>
      <c r="AJ63" s="10" t="s">
        <v>77</v>
      </c>
      <c r="AK63" s="10" t="s">
        <v>77</v>
      </c>
      <c r="AL63" s="10" t="s">
        <v>77</v>
      </c>
      <c r="AM63" s="10" t="s">
        <v>77</v>
      </c>
      <c r="AN63" s="10" t="s">
        <v>77</v>
      </c>
      <c r="AO63" s="10"/>
      <c r="AP63" s="10" t="s">
        <v>73</v>
      </c>
      <c r="AQ63" s="10" t="s">
        <v>73</v>
      </c>
      <c r="AS63" s="10" t="s">
        <v>77</v>
      </c>
      <c r="AT63" s="10" t="s">
        <v>77</v>
      </c>
      <c r="AU63" s="10" t="s">
        <v>77</v>
      </c>
      <c r="AV63" s="10" t="s">
        <v>77</v>
      </c>
      <c r="AW63" s="10" t="s">
        <v>77</v>
      </c>
      <c r="AX63" s="10" t="s">
        <v>77</v>
      </c>
      <c r="AY63" s="10" t="s">
        <v>77</v>
      </c>
      <c r="AZ63" s="10" t="s">
        <v>77</v>
      </c>
      <c r="BA63" s="10" t="s">
        <v>77</v>
      </c>
      <c r="BB63" s="10" t="s">
        <v>77</v>
      </c>
      <c r="BC63" s="10" t="s">
        <v>77</v>
      </c>
      <c r="BD63" s="10" t="s">
        <v>77</v>
      </c>
      <c r="BE63" s="10" t="s">
        <v>77</v>
      </c>
      <c r="BF63" s="10" t="s">
        <v>77</v>
      </c>
      <c r="BG63" s="10" t="s">
        <v>77</v>
      </c>
      <c r="BH63" s="10" t="s">
        <v>77</v>
      </c>
      <c r="BI63" s="10" t="s">
        <v>77</v>
      </c>
      <c r="BJ63" s="10" t="s">
        <v>77</v>
      </c>
      <c r="BK63" s="10" t="s">
        <v>77</v>
      </c>
      <c r="BL63" s="10" t="s">
        <v>77</v>
      </c>
      <c r="BM63" s="10" t="s">
        <v>77</v>
      </c>
      <c r="BN63" s="10" t="s">
        <v>77</v>
      </c>
      <c r="BO63" s="10" t="s">
        <v>77</v>
      </c>
      <c r="BP63" s="10" t="s">
        <v>77</v>
      </c>
      <c r="BR63" s="10" t="s">
        <v>77</v>
      </c>
      <c r="BS63" s="10" t="s">
        <v>77</v>
      </c>
      <c r="BT63" s="10" t="s">
        <v>77</v>
      </c>
      <c r="BU63" s="10" t="s">
        <v>77</v>
      </c>
      <c r="BV63" s="10" t="s">
        <v>77</v>
      </c>
      <c r="BW63" s="10" t="s">
        <v>77</v>
      </c>
      <c r="BX63" s="10" t="s">
        <v>77</v>
      </c>
      <c r="BY63" s="10" t="s">
        <v>77</v>
      </c>
      <c r="CA63" s="2" t="str">
        <f aca="false">IF(AS63="x","x",IF(AS63="-","-",""))</f>
        <v>-</v>
      </c>
      <c r="CB63" s="2" t="str">
        <f aca="false">IF(AT63="x","x",IF(AT63="-","-",""))</f>
        <v>-</v>
      </c>
      <c r="CC63" s="2" t="str">
        <f aca="false">IF(AU63="x","x",IF(AU63="-","-",""))</f>
        <v>-</v>
      </c>
      <c r="CD63" s="2" t="str">
        <f aca="false">IF(AV63="x","x",IF(AV63="-","-",""))</f>
        <v>-</v>
      </c>
      <c r="CE63" s="2" t="str">
        <f aca="false">IF(AW63="x","x",IF(AW63="-","-",""))</f>
        <v>-</v>
      </c>
      <c r="CF63" s="2" t="str">
        <f aca="false">IF(AX63="x","x",IF(AX63="-","-",""))</f>
        <v>-</v>
      </c>
      <c r="CG63" s="2" t="str">
        <f aca="false">IF(AY63="x","x",IF(AY63="-","-",""))</f>
        <v>-</v>
      </c>
      <c r="CH63" s="2" t="str">
        <f aca="false">IF(AZ63="x","x",IF(AZ63="-","-",""))</f>
        <v>-</v>
      </c>
      <c r="CI63" s="2" t="str">
        <f aca="false">IF(BA63="x","x",IF(BA63="-","-",""))</f>
        <v>-</v>
      </c>
      <c r="CJ63" s="2" t="str">
        <f aca="false">IF(BB63="x","x",IF(BB63="-","-",""))</f>
        <v>-</v>
      </c>
      <c r="CK63" s="2" t="str">
        <f aca="false">IF(BC63="x","x",IF(BC63="-","-",""))</f>
        <v>-</v>
      </c>
      <c r="CL63" s="2" t="str">
        <f aca="false">IF(BD63="x","x",IF(BD63="-","-",""))</f>
        <v>-</v>
      </c>
      <c r="CM63" s="2" t="str">
        <f aca="false">IF(BE63="x","x",IF(BE63="-","-",""))</f>
        <v>-</v>
      </c>
      <c r="CN63" s="2" t="str">
        <f aca="false">IF(BF63="x","x",IF(BF63="-","-",""))</f>
        <v>-</v>
      </c>
      <c r="CO63" s="2" t="str">
        <f aca="false">IF(BG63="x","x",IF(BG63="-","-",""))</f>
        <v>-</v>
      </c>
      <c r="CP63" s="2" t="str">
        <f aca="false">IF(BH63="x","x",IF(BH63="-","-",""))</f>
        <v>-</v>
      </c>
      <c r="CQ63" s="2" t="str">
        <f aca="false">IF(BI63="x","x",IF(BI63="-","-",""))</f>
        <v>-</v>
      </c>
      <c r="CR63" s="2" t="str">
        <f aca="false">IF(BJ63="x","x",IF(BJ63="-","-",""))</f>
        <v>-</v>
      </c>
      <c r="CS63" s="2" t="str">
        <f aca="false">IF(BK63="x","x",IF(BK63="-","-",""))</f>
        <v>-</v>
      </c>
      <c r="CT63" s="2" t="str">
        <f aca="false">IF(BL63="x","x",IF(BL63="-","-",""))</f>
        <v>-</v>
      </c>
      <c r="CU63" s="2" t="str">
        <f aca="false">IF(BM63="x","x",IF(BM63="-","-",""))</f>
        <v>-</v>
      </c>
      <c r="CV63" s="2" t="str">
        <f aca="false">IF(BN63="x","x",IF(BN63="-","-",""))</f>
        <v>-</v>
      </c>
      <c r="CW63" s="2" t="str">
        <f aca="false">IF(BO63="x","x",IF(BO63="-","-",""))</f>
        <v>-</v>
      </c>
      <c r="CX63" s="2" t="str">
        <f aca="false">IF(BP63="x","x",IF(BP63="-","-",""))</f>
        <v>-</v>
      </c>
      <c r="CZ63" s="2" t="str">
        <f aca="false">IF(P63="x","x",IF(P63="-","-",""))</f>
        <v>-</v>
      </c>
      <c r="DA63" s="2" t="str">
        <f aca="false">IF(Q63="x","x",IF(Q63="-","-",""))</f>
        <v>-</v>
      </c>
      <c r="DB63" s="2" t="str">
        <f aca="false">IF(R63="x","x",IF(R63="-","-",""))</f>
        <v>-</v>
      </c>
      <c r="DC63" s="2" t="str">
        <f aca="false">IF(S63="x","x",IF(S63="-","-",""))</f>
        <v>-</v>
      </c>
      <c r="DD63" s="2" t="str">
        <f aca="false">IF(T63="x","x",IF(T63="-","-",""))</f>
        <v>-</v>
      </c>
      <c r="DE63" s="2" t="str">
        <f aca="false">IF(U63="x","x",IF(U63="-","-",""))</f>
        <v>-</v>
      </c>
      <c r="DF63" s="2" t="str">
        <f aca="false">IF(V63="x","x",IF(V63="-","-",""))</f>
        <v>-</v>
      </c>
      <c r="DG63" s="2" t="str">
        <f aca="false">IF(W63="x","x",IF(W63="-","-",""))</f>
        <v>-</v>
      </c>
      <c r="DH63" s="2" t="str">
        <f aca="false">IF(X63="x","x",IF(X63="-","-",""))</f>
        <v>-</v>
      </c>
      <c r="DI63" s="2" t="str">
        <f aca="false">IF(Y63="x","x",IF(Y63="-","-",""))</f>
        <v>-</v>
      </c>
      <c r="DJ63" s="2" t="str">
        <f aca="false">IF(Z63="x","x",IF(Z63="-","-",""))</f>
        <v>-</v>
      </c>
      <c r="DK63" s="2" t="str">
        <f aca="false">IF(AA63="x","x",IF(AA63="-","-",""))</f>
        <v>-</v>
      </c>
      <c r="DL63" s="10"/>
      <c r="DM63" s="2" t="str">
        <f aca="false">IF(AC63="x","x",IF(AC63="-","-",""))</f>
        <v>-</v>
      </c>
      <c r="DN63" s="2" t="str">
        <f aca="false">IF(AD63="x","x",IF(AD63="-","-",""))</f>
        <v>-</v>
      </c>
      <c r="DO63" s="2" t="str">
        <f aca="false">IF(AE63="x","x",IF(AE63="-","-",""))</f>
        <v>-</v>
      </c>
      <c r="DP63" s="2" t="str">
        <f aca="false">IF(AF63="x","x",IF(AF63="-","-",""))</f>
        <v>-</v>
      </c>
      <c r="DQ63" s="2" t="str">
        <f aca="false">IF(AG63="x","x",IF(AG63="-","-",""))</f>
        <v>-</v>
      </c>
      <c r="DR63" s="2" t="str">
        <f aca="false">IF(AH63="x","x",IF(AH63="-","-",""))</f>
        <v>-</v>
      </c>
      <c r="DS63" s="2" t="str">
        <f aca="false">IF(AI63="x","x",IF(AI63="-","-",""))</f>
        <v>-</v>
      </c>
      <c r="DT63" s="2" t="str">
        <f aca="false">IF(AJ63="x","x",IF(AJ63="-","-",""))</f>
        <v>-</v>
      </c>
      <c r="DU63" s="2" t="str">
        <f aca="false">IF(AK63="x","x",IF(AK63="-","-",""))</f>
        <v>-</v>
      </c>
      <c r="DV63" s="2" t="str">
        <f aca="false">IF(AL63="x","x",IF(AL63="-","-",""))</f>
        <v>-</v>
      </c>
      <c r="DW63" s="2" t="str">
        <f aca="false">IF(AM63="x","x",IF(AM63="-","-",""))</f>
        <v>-</v>
      </c>
      <c r="DX63" s="2" t="str">
        <f aca="false">IF(AN63="x","x",IF(AN63="-","-",""))</f>
        <v>-</v>
      </c>
    </row>
    <row r="64" customFormat="false" ht="13.8" hidden="false" customHeight="false" outlineLevel="0" collapsed="false">
      <c r="A64" s="10" t="s">
        <v>73</v>
      </c>
      <c r="B64" s="2" t="n">
        <v>63</v>
      </c>
      <c r="C64" s="1" t="s">
        <v>77</v>
      </c>
      <c r="D64" s="10" t="s">
        <v>92</v>
      </c>
      <c r="E64" s="10" t="s">
        <v>127</v>
      </c>
      <c r="F64" s="10"/>
      <c r="G64" s="10" t="s">
        <v>77</v>
      </c>
      <c r="H64" s="10" t="s">
        <v>77</v>
      </c>
      <c r="I64" s="10" t="s">
        <v>77</v>
      </c>
      <c r="J64" s="10" t="s">
        <v>77</v>
      </c>
      <c r="K64" s="10" t="s">
        <v>77</v>
      </c>
      <c r="L64" s="10" t="s">
        <v>77</v>
      </c>
      <c r="M64" s="2" t="n">
        <v>20</v>
      </c>
      <c r="N64" s="10" t="s">
        <v>77</v>
      </c>
      <c r="O64" s="10"/>
      <c r="P64" s="10" t="s">
        <v>77</v>
      </c>
      <c r="Q64" s="10" t="s">
        <v>77</v>
      </c>
      <c r="R64" s="10" t="s">
        <v>77</v>
      </c>
      <c r="S64" s="10" t="s">
        <v>77</v>
      </c>
      <c r="T64" s="10" t="s">
        <v>77</v>
      </c>
      <c r="U64" s="10" t="s">
        <v>77</v>
      </c>
      <c r="V64" s="10" t="s">
        <v>77</v>
      </c>
      <c r="W64" s="10" t="s">
        <v>77</v>
      </c>
      <c r="X64" s="10" t="s">
        <v>77</v>
      </c>
      <c r="Y64" s="10" t="s">
        <v>77</v>
      </c>
      <c r="Z64" s="10" t="s">
        <v>77</v>
      </c>
      <c r="AA64" s="10" t="s">
        <v>77</v>
      </c>
      <c r="AB64" s="10"/>
      <c r="AC64" s="10" t="s">
        <v>77</v>
      </c>
      <c r="AD64" s="10" t="s">
        <v>77</v>
      </c>
      <c r="AE64" s="10" t="s">
        <v>77</v>
      </c>
      <c r="AF64" s="10" t="s">
        <v>77</v>
      </c>
      <c r="AG64" s="10" t="s">
        <v>77</v>
      </c>
      <c r="AH64" s="10" t="s">
        <v>77</v>
      </c>
      <c r="AI64" s="10" t="s">
        <v>77</v>
      </c>
      <c r="AJ64" s="10" t="s">
        <v>77</v>
      </c>
      <c r="AK64" s="10" t="s">
        <v>77</v>
      </c>
      <c r="AL64" s="10" t="s">
        <v>77</v>
      </c>
      <c r="AM64" s="10" t="s">
        <v>77</v>
      </c>
      <c r="AN64" s="10" t="s">
        <v>77</v>
      </c>
      <c r="AO64" s="10"/>
      <c r="AP64" s="10" t="s">
        <v>73</v>
      </c>
      <c r="AQ64" s="10" t="s">
        <v>73</v>
      </c>
      <c r="AS64" s="10" t="s">
        <v>77</v>
      </c>
      <c r="AT64" s="10" t="s">
        <v>77</v>
      </c>
      <c r="AU64" s="10" t="s">
        <v>77</v>
      </c>
      <c r="AV64" s="10" t="s">
        <v>77</v>
      </c>
      <c r="AW64" s="10" t="s">
        <v>77</v>
      </c>
      <c r="AX64" s="10" t="s">
        <v>77</v>
      </c>
      <c r="AY64" s="10" t="s">
        <v>77</v>
      </c>
      <c r="AZ64" s="10" t="s">
        <v>77</v>
      </c>
      <c r="BA64" s="10" t="s">
        <v>77</v>
      </c>
      <c r="BB64" s="10" t="s">
        <v>77</v>
      </c>
      <c r="BC64" s="10" t="s">
        <v>77</v>
      </c>
      <c r="BD64" s="10" t="s">
        <v>77</v>
      </c>
      <c r="BE64" s="10" t="s">
        <v>77</v>
      </c>
      <c r="BF64" s="10" t="s">
        <v>77</v>
      </c>
      <c r="BG64" s="10" t="s">
        <v>77</v>
      </c>
      <c r="BH64" s="10" t="s">
        <v>77</v>
      </c>
      <c r="BI64" s="10" t="s">
        <v>77</v>
      </c>
      <c r="BJ64" s="10" t="s">
        <v>77</v>
      </c>
      <c r="BK64" s="10" t="s">
        <v>77</v>
      </c>
      <c r="BL64" s="10" t="s">
        <v>77</v>
      </c>
      <c r="BM64" s="10" t="s">
        <v>77</v>
      </c>
      <c r="BN64" s="10" t="s">
        <v>77</v>
      </c>
      <c r="BO64" s="10" t="s">
        <v>77</v>
      </c>
      <c r="BP64" s="10" t="s">
        <v>77</v>
      </c>
      <c r="BR64" s="10" t="s">
        <v>77</v>
      </c>
      <c r="BS64" s="10" t="s">
        <v>77</v>
      </c>
      <c r="BT64" s="10" t="s">
        <v>77</v>
      </c>
      <c r="BU64" s="10" t="s">
        <v>77</v>
      </c>
      <c r="BV64" s="10" t="s">
        <v>77</v>
      </c>
      <c r="BW64" s="10" t="s">
        <v>77</v>
      </c>
      <c r="BX64" s="10" t="s">
        <v>77</v>
      </c>
      <c r="BY64" s="10" t="s">
        <v>77</v>
      </c>
      <c r="CA64" s="2" t="str">
        <f aca="false">IF(AS64="x","x",IF(AS64="-","-",""))</f>
        <v>-</v>
      </c>
      <c r="CB64" s="2" t="str">
        <f aca="false">IF(AT64="x","x",IF(AT64="-","-",""))</f>
        <v>-</v>
      </c>
      <c r="CC64" s="2" t="str">
        <f aca="false">IF(AU64="x","x",IF(AU64="-","-",""))</f>
        <v>-</v>
      </c>
      <c r="CD64" s="2" t="str">
        <f aca="false">IF(AV64="x","x",IF(AV64="-","-",""))</f>
        <v>-</v>
      </c>
      <c r="CE64" s="2" t="str">
        <f aca="false">IF(AW64="x","x",IF(AW64="-","-",""))</f>
        <v>-</v>
      </c>
      <c r="CF64" s="2" t="str">
        <f aca="false">IF(AX64="x","x",IF(AX64="-","-",""))</f>
        <v>-</v>
      </c>
      <c r="CG64" s="2" t="str">
        <f aca="false">IF(AY64="x","x",IF(AY64="-","-",""))</f>
        <v>-</v>
      </c>
      <c r="CH64" s="2" t="str">
        <f aca="false">IF(AZ64="x","x",IF(AZ64="-","-",""))</f>
        <v>-</v>
      </c>
      <c r="CI64" s="2" t="str">
        <f aca="false">IF(BA64="x","x",IF(BA64="-","-",""))</f>
        <v>-</v>
      </c>
      <c r="CJ64" s="2" t="str">
        <f aca="false">IF(BB64="x","x",IF(BB64="-","-",""))</f>
        <v>-</v>
      </c>
      <c r="CK64" s="2" t="str">
        <f aca="false">IF(BC64="x","x",IF(BC64="-","-",""))</f>
        <v>-</v>
      </c>
      <c r="CL64" s="2" t="str">
        <f aca="false">IF(BD64="x","x",IF(BD64="-","-",""))</f>
        <v>-</v>
      </c>
      <c r="CM64" s="2" t="str">
        <f aca="false">IF(BE64="x","x",IF(BE64="-","-",""))</f>
        <v>-</v>
      </c>
      <c r="CN64" s="2" t="str">
        <f aca="false">IF(BF64="x","x",IF(BF64="-","-",""))</f>
        <v>-</v>
      </c>
      <c r="CO64" s="2" t="str">
        <f aca="false">IF(BG64="x","x",IF(BG64="-","-",""))</f>
        <v>-</v>
      </c>
      <c r="CP64" s="2" t="str">
        <f aca="false">IF(BH64="x","x",IF(BH64="-","-",""))</f>
        <v>-</v>
      </c>
      <c r="CQ64" s="2" t="str">
        <f aca="false">IF(BI64="x","x",IF(BI64="-","-",""))</f>
        <v>-</v>
      </c>
      <c r="CR64" s="2" t="str">
        <f aca="false">IF(BJ64="x","x",IF(BJ64="-","-",""))</f>
        <v>-</v>
      </c>
      <c r="CS64" s="2" t="str">
        <f aca="false">IF(BK64="x","x",IF(BK64="-","-",""))</f>
        <v>-</v>
      </c>
      <c r="CT64" s="2" t="str">
        <f aca="false">IF(BL64="x","x",IF(BL64="-","-",""))</f>
        <v>-</v>
      </c>
      <c r="CU64" s="2" t="str">
        <f aca="false">IF(BM64="x","x",IF(BM64="-","-",""))</f>
        <v>-</v>
      </c>
      <c r="CV64" s="2" t="str">
        <f aca="false">IF(BN64="x","x",IF(BN64="-","-",""))</f>
        <v>-</v>
      </c>
      <c r="CW64" s="2" t="str">
        <f aca="false">IF(BO64="x","x",IF(BO64="-","-",""))</f>
        <v>-</v>
      </c>
      <c r="CX64" s="2" t="str">
        <f aca="false">IF(BP64="x","x",IF(BP64="-","-",""))</f>
        <v>-</v>
      </c>
      <c r="CZ64" s="2" t="str">
        <f aca="false">IF(P64="x","x",IF(P64="-","-",""))</f>
        <v>-</v>
      </c>
      <c r="DA64" s="2" t="str">
        <f aca="false">IF(Q64="x","x",IF(Q64="-","-",""))</f>
        <v>-</v>
      </c>
      <c r="DB64" s="2" t="str">
        <f aca="false">IF(R64="x","x",IF(R64="-","-",""))</f>
        <v>-</v>
      </c>
      <c r="DC64" s="2" t="str">
        <f aca="false">IF(S64="x","x",IF(S64="-","-",""))</f>
        <v>-</v>
      </c>
      <c r="DD64" s="2" t="str">
        <f aca="false">IF(T64="x","x",IF(T64="-","-",""))</f>
        <v>-</v>
      </c>
      <c r="DE64" s="2" t="str">
        <f aca="false">IF(U64="x","x",IF(U64="-","-",""))</f>
        <v>-</v>
      </c>
      <c r="DF64" s="2" t="str">
        <f aca="false">IF(V64="x","x",IF(V64="-","-",""))</f>
        <v>-</v>
      </c>
      <c r="DG64" s="2" t="str">
        <f aca="false">IF(W64="x","x",IF(W64="-","-",""))</f>
        <v>-</v>
      </c>
      <c r="DH64" s="2" t="str">
        <f aca="false">IF(X64="x","x",IF(X64="-","-",""))</f>
        <v>-</v>
      </c>
      <c r="DI64" s="2" t="str">
        <f aca="false">IF(Y64="x","x",IF(Y64="-","-",""))</f>
        <v>-</v>
      </c>
      <c r="DJ64" s="2" t="str">
        <f aca="false">IF(Z64="x","x",IF(Z64="-","-",""))</f>
        <v>-</v>
      </c>
      <c r="DK64" s="2" t="str">
        <f aca="false">IF(AA64="x","x",IF(AA64="-","-",""))</f>
        <v>-</v>
      </c>
      <c r="DL64" s="10"/>
      <c r="DM64" s="2" t="str">
        <f aca="false">IF(AC64="x","x",IF(AC64="-","-",""))</f>
        <v>-</v>
      </c>
      <c r="DN64" s="2" t="str">
        <f aca="false">IF(AD64="x","x",IF(AD64="-","-",""))</f>
        <v>-</v>
      </c>
      <c r="DO64" s="2" t="str">
        <f aca="false">IF(AE64="x","x",IF(AE64="-","-",""))</f>
        <v>-</v>
      </c>
      <c r="DP64" s="2" t="str">
        <f aca="false">IF(AF64="x","x",IF(AF64="-","-",""))</f>
        <v>-</v>
      </c>
      <c r="DQ64" s="2" t="str">
        <f aca="false">IF(AG64="x","x",IF(AG64="-","-",""))</f>
        <v>-</v>
      </c>
      <c r="DR64" s="2" t="str">
        <f aca="false">IF(AH64="x","x",IF(AH64="-","-",""))</f>
        <v>-</v>
      </c>
      <c r="DS64" s="2" t="str">
        <f aca="false">IF(AI64="x","x",IF(AI64="-","-",""))</f>
        <v>-</v>
      </c>
      <c r="DT64" s="2" t="str">
        <f aca="false">IF(AJ64="x","x",IF(AJ64="-","-",""))</f>
        <v>-</v>
      </c>
      <c r="DU64" s="2" t="str">
        <f aca="false">IF(AK64="x","x",IF(AK64="-","-",""))</f>
        <v>-</v>
      </c>
      <c r="DV64" s="2" t="str">
        <f aca="false">IF(AL64="x","x",IF(AL64="-","-",""))</f>
        <v>-</v>
      </c>
      <c r="DW64" s="2" t="str">
        <f aca="false">IF(AM64="x","x",IF(AM64="-","-",""))</f>
        <v>-</v>
      </c>
      <c r="DX64" s="2" t="str">
        <f aca="false">IF(AN64="x","x",IF(AN64="-","-",""))</f>
        <v>-</v>
      </c>
    </row>
    <row r="65" customFormat="false" ht="13.8" hidden="false" customHeight="false" outlineLevel="0" collapsed="false">
      <c r="A65" s="10" t="s">
        <v>73</v>
      </c>
      <c r="B65" s="2" t="n">
        <v>64</v>
      </c>
      <c r="C65" s="1" t="s">
        <v>77</v>
      </c>
      <c r="D65" s="10" t="s">
        <v>92</v>
      </c>
      <c r="E65" s="10" t="s">
        <v>127</v>
      </c>
      <c r="F65" s="10"/>
      <c r="G65" s="10" t="s">
        <v>77</v>
      </c>
      <c r="H65" s="10" t="s">
        <v>77</v>
      </c>
      <c r="I65" s="10" t="s">
        <v>77</v>
      </c>
      <c r="J65" s="10" t="s">
        <v>77</v>
      </c>
      <c r="K65" s="10" t="s">
        <v>77</v>
      </c>
      <c r="L65" s="10" t="s">
        <v>77</v>
      </c>
      <c r="M65" s="2" t="n">
        <v>20</v>
      </c>
      <c r="N65" s="10" t="s">
        <v>77</v>
      </c>
      <c r="O65" s="10"/>
      <c r="P65" s="10" t="s">
        <v>77</v>
      </c>
      <c r="Q65" s="10" t="s">
        <v>77</v>
      </c>
      <c r="R65" s="10" t="s">
        <v>77</v>
      </c>
      <c r="S65" s="10" t="s">
        <v>77</v>
      </c>
      <c r="T65" s="10" t="s">
        <v>77</v>
      </c>
      <c r="U65" s="10" t="s">
        <v>77</v>
      </c>
      <c r="V65" s="10" t="s">
        <v>77</v>
      </c>
      <c r="W65" s="10" t="s">
        <v>77</v>
      </c>
      <c r="X65" s="10" t="s">
        <v>77</v>
      </c>
      <c r="Y65" s="10" t="s">
        <v>77</v>
      </c>
      <c r="Z65" s="10" t="s">
        <v>77</v>
      </c>
      <c r="AA65" s="10" t="s">
        <v>77</v>
      </c>
      <c r="AB65" s="10"/>
      <c r="AC65" s="10" t="s">
        <v>77</v>
      </c>
      <c r="AD65" s="10" t="s">
        <v>77</v>
      </c>
      <c r="AE65" s="10" t="s">
        <v>77</v>
      </c>
      <c r="AF65" s="10" t="s">
        <v>77</v>
      </c>
      <c r="AG65" s="10" t="s">
        <v>77</v>
      </c>
      <c r="AH65" s="10" t="s">
        <v>77</v>
      </c>
      <c r="AI65" s="10" t="s">
        <v>77</v>
      </c>
      <c r="AJ65" s="10" t="s">
        <v>77</v>
      </c>
      <c r="AK65" s="10" t="s">
        <v>77</v>
      </c>
      <c r="AL65" s="10" t="s">
        <v>77</v>
      </c>
      <c r="AM65" s="10" t="s">
        <v>77</v>
      </c>
      <c r="AN65" s="10" t="s">
        <v>77</v>
      </c>
      <c r="AO65" s="10"/>
      <c r="AP65" s="10" t="s">
        <v>73</v>
      </c>
      <c r="AQ65" s="10" t="s">
        <v>73</v>
      </c>
      <c r="AS65" s="10" t="s">
        <v>77</v>
      </c>
      <c r="AT65" s="10" t="s">
        <v>77</v>
      </c>
      <c r="AU65" s="10" t="s">
        <v>77</v>
      </c>
      <c r="AV65" s="10" t="s">
        <v>77</v>
      </c>
      <c r="AW65" s="10" t="s">
        <v>77</v>
      </c>
      <c r="AX65" s="10" t="s">
        <v>77</v>
      </c>
      <c r="AY65" s="10" t="s">
        <v>77</v>
      </c>
      <c r="AZ65" s="10" t="s">
        <v>77</v>
      </c>
      <c r="BA65" s="10" t="s">
        <v>77</v>
      </c>
      <c r="BB65" s="10" t="s">
        <v>77</v>
      </c>
      <c r="BC65" s="10" t="s">
        <v>77</v>
      </c>
      <c r="BD65" s="10" t="s">
        <v>77</v>
      </c>
      <c r="BE65" s="10" t="s">
        <v>77</v>
      </c>
      <c r="BF65" s="10" t="s">
        <v>77</v>
      </c>
      <c r="BG65" s="10" t="s">
        <v>77</v>
      </c>
      <c r="BH65" s="10" t="s">
        <v>77</v>
      </c>
      <c r="BI65" s="10" t="s">
        <v>77</v>
      </c>
      <c r="BJ65" s="10" t="s">
        <v>77</v>
      </c>
      <c r="BK65" s="10" t="s">
        <v>77</v>
      </c>
      <c r="BL65" s="10" t="s">
        <v>77</v>
      </c>
      <c r="BM65" s="10" t="s">
        <v>77</v>
      </c>
      <c r="BN65" s="10" t="s">
        <v>77</v>
      </c>
      <c r="BO65" s="10" t="s">
        <v>77</v>
      </c>
      <c r="BP65" s="10" t="s">
        <v>77</v>
      </c>
      <c r="BR65" s="10" t="s">
        <v>77</v>
      </c>
      <c r="BS65" s="10" t="s">
        <v>77</v>
      </c>
      <c r="BT65" s="10" t="s">
        <v>77</v>
      </c>
      <c r="BU65" s="10" t="s">
        <v>77</v>
      </c>
      <c r="BV65" s="10" t="s">
        <v>77</v>
      </c>
      <c r="BW65" s="10" t="s">
        <v>77</v>
      </c>
      <c r="BX65" s="10" t="s">
        <v>77</v>
      </c>
      <c r="BY65" s="10" t="s">
        <v>77</v>
      </c>
      <c r="CA65" s="2" t="str">
        <f aca="false">IF(AS65="x","x",IF(AS65="-","-",""))</f>
        <v>-</v>
      </c>
      <c r="CB65" s="2" t="str">
        <f aca="false">IF(AT65="x","x",IF(AT65="-","-",""))</f>
        <v>-</v>
      </c>
      <c r="CC65" s="2" t="str">
        <f aca="false">IF(AU65="x","x",IF(AU65="-","-",""))</f>
        <v>-</v>
      </c>
      <c r="CD65" s="2" t="str">
        <f aca="false">IF(AV65="x","x",IF(AV65="-","-",""))</f>
        <v>-</v>
      </c>
      <c r="CE65" s="2" t="str">
        <f aca="false">IF(AW65="x","x",IF(AW65="-","-",""))</f>
        <v>-</v>
      </c>
      <c r="CF65" s="2" t="str">
        <f aca="false">IF(AX65="x","x",IF(AX65="-","-",""))</f>
        <v>-</v>
      </c>
      <c r="CG65" s="2" t="str">
        <f aca="false">IF(AY65="x","x",IF(AY65="-","-",""))</f>
        <v>-</v>
      </c>
      <c r="CH65" s="2" t="str">
        <f aca="false">IF(AZ65="x","x",IF(AZ65="-","-",""))</f>
        <v>-</v>
      </c>
      <c r="CI65" s="2" t="str">
        <f aca="false">IF(BA65="x","x",IF(BA65="-","-",""))</f>
        <v>-</v>
      </c>
      <c r="CJ65" s="2" t="str">
        <f aca="false">IF(BB65="x","x",IF(BB65="-","-",""))</f>
        <v>-</v>
      </c>
      <c r="CK65" s="2" t="str">
        <f aca="false">IF(BC65="x","x",IF(BC65="-","-",""))</f>
        <v>-</v>
      </c>
      <c r="CL65" s="2" t="str">
        <f aca="false">IF(BD65="x","x",IF(BD65="-","-",""))</f>
        <v>-</v>
      </c>
      <c r="CM65" s="2" t="str">
        <f aca="false">IF(BE65="x","x",IF(BE65="-","-",""))</f>
        <v>-</v>
      </c>
      <c r="CN65" s="2" t="str">
        <f aca="false">IF(BF65="x","x",IF(BF65="-","-",""))</f>
        <v>-</v>
      </c>
      <c r="CO65" s="2" t="str">
        <f aca="false">IF(BG65="x","x",IF(BG65="-","-",""))</f>
        <v>-</v>
      </c>
      <c r="CP65" s="2" t="str">
        <f aca="false">IF(BH65="x","x",IF(BH65="-","-",""))</f>
        <v>-</v>
      </c>
      <c r="CQ65" s="2" t="str">
        <f aca="false">IF(BI65="x","x",IF(BI65="-","-",""))</f>
        <v>-</v>
      </c>
      <c r="CR65" s="2" t="str">
        <f aca="false">IF(BJ65="x","x",IF(BJ65="-","-",""))</f>
        <v>-</v>
      </c>
      <c r="CS65" s="2" t="str">
        <f aca="false">IF(BK65="x","x",IF(BK65="-","-",""))</f>
        <v>-</v>
      </c>
      <c r="CT65" s="2" t="str">
        <f aca="false">IF(BL65="x","x",IF(BL65="-","-",""))</f>
        <v>-</v>
      </c>
      <c r="CU65" s="2" t="str">
        <f aca="false">IF(BM65="x","x",IF(BM65="-","-",""))</f>
        <v>-</v>
      </c>
      <c r="CV65" s="2" t="str">
        <f aca="false">IF(BN65="x","x",IF(BN65="-","-",""))</f>
        <v>-</v>
      </c>
      <c r="CW65" s="2" t="str">
        <f aca="false">IF(BO65="x","x",IF(BO65="-","-",""))</f>
        <v>-</v>
      </c>
      <c r="CX65" s="2" t="str">
        <f aca="false">IF(BP65="x","x",IF(BP65="-","-",""))</f>
        <v>-</v>
      </c>
      <c r="CZ65" s="2" t="str">
        <f aca="false">IF(P65="x","x",IF(P65="-","-",""))</f>
        <v>-</v>
      </c>
      <c r="DA65" s="2" t="str">
        <f aca="false">IF(Q65="x","x",IF(Q65="-","-",""))</f>
        <v>-</v>
      </c>
      <c r="DB65" s="2" t="str">
        <f aca="false">IF(R65="x","x",IF(R65="-","-",""))</f>
        <v>-</v>
      </c>
      <c r="DC65" s="2" t="str">
        <f aca="false">IF(S65="x","x",IF(S65="-","-",""))</f>
        <v>-</v>
      </c>
      <c r="DD65" s="2" t="str">
        <f aca="false">IF(T65="x","x",IF(T65="-","-",""))</f>
        <v>-</v>
      </c>
      <c r="DE65" s="2" t="str">
        <f aca="false">IF(U65="x","x",IF(U65="-","-",""))</f>
        <v>-</v>
      </c>
      <c r="DF65" s="2" t="str">
        <f aca="false">IF(V65="x","x",IF(V65="-","-",""))</f>
        <v>-</v>
      </c>
      <c r="DG65" s="2" t="str">
        <f aca="false">IF(W65="x","x",IF(W65="-","-",""))</f>
        <v>-</v>
      </c>
      <c r="DH65" s="2" t="str">
        <f aca="false">IF(X65="x","x",IF(X65="-","-",""))</f>
        <v>-</v>
      </c>
      <c r="DI65" s="2" t="str">
        <f aca="false">IF(Y65="x","x",IF(Y65="-","-",""))</f>
        <v>-</v>
      </c>
      <c r="DJ65" s="2" t="str">
        <f aca="false">IF(Z65="x","x",IF(Z65="-","-",""))</f>
        <v>-</v>
      </c>
      <c r="DK65" s="2" t="str">
        <f aca="false">IF(AA65="x","x",IF(AA65="-","-",""))</f>
        <v>-</v>
      </c>
      <c r="DL65" s="10"/>
      <c r="DM65" s="2" t="str">
        <f aca="false">IF(AC65="x","x",IF(AC65="-","-",""))</f>
        <v>-</v>
      </c>
      <c r="DN65" s="2" t="str">
        <f aca="false">IF(AD65="x","x",IF(AD65="-","-",""))</f>
        <v>-</v>
      </c>
      <c r="DO65" s="2" t="str">
        <f aca="false">IF(AE65="x","x",IF(AE65="-","-",""))</f>
        <v>-</v>
      </c>
      <c r="DP65" s="2" t="str">
        <f aca="false">IF(AF65="x","x",IF(AF65="-","-",""))</f>
        <v>-</v>
      </c>
      <c r="DQ65" s="2" t="str">
        <f aca="false">IF(AG65="x","x",IF(AG65="-","-",""))</f>
        <v>-</v>
      </c>
      <c r="DR65" s="2" t="str">
        <f aca="false">IF(AH65="x","x",IF(AH65="-","-",""))</f>
        <v>-</v>
      </c>
      <c r="DS65" s="2" t="str">
        <f aca="false">IF(AI65="x","x",IF(AI65="-","-",""))</f>
        <v>-</v>
      </c>
      <c r="DT65" s="2" t="str">
        <f aca="false">IF(AJ65="x","x",IF(AJ65="-","-",""))</f>
        <v>-</v>
      </c>
      <c r="DU65" s="2" t="str">
        <f aca="false">IF(AK65="x","x",IF(AK65="-","-",""))</f>
        <v>-</v>
      </c>
      <c r="DV65" s="2" t="str">
        <f aca="false">IF(AL65="x","x",IF(AL65="-","-",""))</f>
        <v>-</v>
      </c>
      <c r="DW65" s="2" t="str">
        <f aca="false">IF(AM65="x","x",IF(AM65="-","-",""))</f>
        <v>-</v>
      </c>
      <c r="DX65" s="2" t="str">
        <f aca="false">IF(AN65="x","x",IF(AN65="-","-",""))</f>
        <v>-</v>
      </c>
    </row>
    <row r="66" customFormat="false" ht="13.8" hidden="false" customHeight="false" outlineLevel="0" collapsed="false">
      <c r="A66" s="10" t="s">
        <v>73</v>
      </c>
      <c r="B66" s="2" t="n">
        <v>65</v>
      </c>
      <c r="C66" s="1" t="s">
        <v>77</v>
      </c>
      <c r="D66" s="10" t="s">
        <v>92</v>
      </c>
      <c r="E66" s="10" t="s">
        <v>127</v>
      </c>
      <c r="F66" s="10"/>
      <c r="G66" s="10" t="s">
        <v>77</v>
      </c>
      <c r="H66" s="10" t="s">
        <v>77</v>
      </c>
      <c r="I66" s="10" t="s">
        <v>77</v>
      </c>
      <c r="J66" s="10" t="s">
        <v>77</v>
      </c>
      <c r="K66" s="10" t="s">
        <v>77</v>
      </c>
      <c r="L66" s="10" t="s">
        <v>77</v>
      </c>
      <c r="M66" s="2" t="n">
        <v>20</v>
      </c>
      <c r="N66" s="10" t="s">
        <v>77</v>
      </c>
      <c r="O66" s="10"/>
      <c r="P66" s="10" t="s">
        <v>77</v>
      </c>
      <c r="Q66" s="10" t="s">
        <v>77</v>
      </c>
      <c r="R66" s="10" t="s">
        <v>77</v>
      </c>
      <c r="S66" s="10" t="s">
        <v>77</v>
      </c>
      <c r="T66" s="10" t="s">
        <v>77</v>
      </c>
      <c r="U66" s="10" t="s">
        <v>77</v>
      </c>
      <c r="V66" s="10" t="s">
        <v>77</v>
      </c>
      <c r="W66" s="10" t="s">
        <v>77</v>
      </c>
      <c r="X66" s="10" t="s">
        <v>77</v>
      </c>
      <c r="Y66" s="10" t="s">
        <v>77</v>
      </c>
      <c r="Z66" s="10" t="s">
        <v>77</v>
      </c>
      <c r="AA66" s="10" t="s">
        <v>77</v>
      </c>
      <c r="AB66" s="10"/>
      <c r="AC66" s="10" t="s">
        <v>77</v>
      </c>
      <c r="AD66" s="10" t="s">
        <v>77</v>
      </c>
      <c r="AE66" s="10" t="s">
        <v>77</v>
      </c>
      <c r="AF66" s="10" t="s">
        <v>77</v>
      </c>
      <c r="AG66" s="10" t="s">
        <v>77</v>
      </c>
      <c r="AH66" s="10" t="s">
        <v>77</v>
      </c>
      <c r="AI66" s="10" t="s">
        <v>77</v>
      </c>
      <c r="AJ66" s="10" t="s">
        <v>77</v>
      </c>
      <c r="AK66" s="10" t="s">
        <v>77</v>
      </c>
      <c r="AL66" s="10" t="s">
        <v>77</v>
      </c>
      <c r="AM66" s="10" t="s">
        <v>77</v>
      </c>
      <c r="AN66" s="10" t="s">
        <v>77</v>
      </c>
      <c r="AO66" s="10"/>
      <c r="AP66" s="10" t="s">
        <v>73</v>
      </c>
      <c r="AQ66" s="10" t="s">
        <v>73</v>
      </c>
      <c r="AS66" s="10" t="s">
        <v>77</v>
      </c>
      <c r="AT66" s="10" t="s">
        <v>77</v>
      </c>
      <c r="AU66" s="10" t="s">
        <v>77</v>
      </c>
      <c r="AV66" s="10" t="s">
        <v>77</v>
      </c>
      <c r="AW66" s="10" t="s">
        <v>77</v>
      </c>
      <c r="AX66" s="10" t="s">
        <v>77</v>
      </c>
      <c r="AY66" s="10" t="s">
        <v>77</v>
      </c>
      <c r="AZ66" s="10" t="s">
        <v>77</v>
      </c>
      <c r="BA66" s="10" t="s">
        <v>77</v>
      </c>
      <c r="BB66" s="10" t="s">
        <v>77</v>
      </c>
      <c r="BC66" s="10" t="s">
        <v>77</v>
      </c>
      <c r="BD66" s="10" t="s">
        <v>77</v>
      </c>
      <c r="BE66" s="10" t="s">
        <v>77</v>
      </c>
      <c r="BF66" s="10" t="s">
        <v>77</v>
      </c>
      <c r="BG66" s="10" t="s">
        <v>77</v>
      </c>
      <c r="BH66" s="10" t="s">
        <v>77</v>
      </c>
      <c r="BI66" s="10" t="s">
        <v>77</v>
      </c>
      <c r="BJ66" s="10" t="s">
        <v>77</v>
      </c>
      <c r="BK66" s="10" t="s">
        <v>77</v>
      </c>
      <c r="BL66" s="10" t="s">
        <v>77</v>
      </c>
      <c r="BM66" s="10" t="s">
        <v>77</v>
      </c>
      <c r="BN66" s="10" t="s">
        <v>77</v>
      </c>
      <c r="BO66" s="10" t="s">
        <v>77</v>
      </c>
      <c r="BP66" s="10" t="s">
        <v>77</v>
      </c>
      <c r="BR66" s="10" t="s">
        <v>77</v>
      </c>
      <c r="BS66" s="10" t="s">
        <v>77</v>
      </c>
      <c r="BT66" s="10" t="s">
        <v>77</v>
      </c>
      <c r="BU66" s="10" t="s">
        <v>77</v>
      </c>
      <c r="BV66" s="10" t="s">
        <v>77</v>
      </c>
      <c r="BW66" s="10" t="s">
        <v>77</v>
      </c>
      <c r="BX66" s="10" t="s">
        <v>77</v>
      </c>
      <c r="BY66" s="10" t="s">
        <v>77</v>
      </c>
      <c r="CA66" s="2" t="str">
        <f aca="false">IF(AS66="x","x",IF(AS66="-","-",""))</f>
        <v>-</v>
      </c>
      <c r="CB66" s="2" t="str">
        <f aca="false">IF(AT66="x","x",IF(AT66="-","-",""))</f>
        <v>-</v>
      </c>
      <c r="CC66" s="2" t="str">
        <f aca="false">IF(AU66="x","x",IF(AU66="-","-",""))</f>
        <v>-</v>
      </c>
      <c r="CD66" s="2" t="str">
        <f aca="false">IF(AV66="x","x",IF(AV66="-","-",""))</f>
        <v>-</v>
      </c>
      <c r="CE66" s="2" t="str">
        <f aca="false">IF(AW66="x","x",IF(AW66="-","-",""))</f>
        <v>-</v>
      </c>
      <c r="CF66" s="2" t="str">
        <f aca="false">IF(AX66="x","x",IF(AX66="-","-",""))</f>
        <v>-</v>
      </c>
      <c r="CG66" s="2" t="str">
        <f aca="false">IF(AY66="x","x",IF(AY66="-","-",""))</f>
        <v>-</v>
      </c>
      <c r="CH66" s="2" t="str">
        <f aca="false">IF(AZ66="x","x",IF(AZ66="-","-",""))</f>
        <v>-</v>
      </c>
      <c r="CI66" s="2" t="str">
        <f aca="false">IF(BA66="x","x",IF(BA66="-","-",""))</f>
        <v>-</v>
      </c>
      <c r="CJ66" s="2" t="str">
        <f aca="false">IF(BB66="x","x",IF(BB66="-","-",""))</f>
        <v>-</v>
      </c>
      <c r="CK66" s="2" t="str">
        <f aca="false">IF(BC66="x","x",IF(BC66="-","-",""))</f>
        <v>-</v>
      </c>
      <c r="CL66" s="2" t="str">
        <f aca="false">IF(BD66="x","x",IF(BD66="-","-",""))</f>
        <v>-</v>
      </c>
      <c r="CM66" s="2" t="str">
        <f aca="false">IF(BE66="x","x",IF(BE66="-","-",""))</f>
        <v>-</v>
      </c>
      <c r="CN66" s="2" t="str">
        <f aca="false">IF(BF66="x","x",IF(BF66="-","-",""))</f>
        <v>-</v>
      </c>
      <c r="CO66" s="2" t="str">
        <f aca="false">IF(BG66="x","x",IF(BG66="-","-",""))</f>
        <v>-</v>
      </c>
      <c r="CP66" s="2" t="str">
        <f aca="false">IF(BH66="x","x",IF(BH66="-","-",""))</f>
        <v>-</v>
      </c>
      <c r="CQ66" s="2" t="str">
        <f aca="false">IF(BI66="x","x",IF(BI66="-","-",""))</f>
        <v>-</v>
      </c>
      <c r="CR66" s="2" t="str">
        <f aca="false">IF(BJ66="x","x",IF(BJ66="-","-",""))</f>
        <v>-</v>
      </c>
      <c r="CS66" s="2" t="str">
        <f aca="false">IF(BK66="x","x",IF(BK66="-","-",""))</f>
        <v>-</v>
      </c>
      <c r="CT66" s="2" t="str">
        <f aca="false">IF(BL66="x","x",IF(BL66="-","-",""))</f>
        <v>-</v>
      </c>
      <c r="CU66" s="2" t="str">
        <f aca="false">IF(BM66="x","x",IF(BM66="-","-",""))</f>
        <v>-</v>
      </c>
      <c r="CV66" s="2" t="str">
        <f aca="false">IF(BN66="x","x",IF(BN66="-","-",""))</f>
        <v>-</v>
      </c>
      <c r="CW66" s="2" t="str">
        <f aca="false">IF(BO66="x","x",IF(BO66="-","-",""))</f>
        <v>-</v>
      </c>
      <c r="CX66" s="2" t="str">
        <f aca="false">IF(BP66="x","x",IF(BP66="-","-",""))</f>
        <v>-</v>
      </c>
      <c r="CZ66" s="2" t="str">
        <f aca="false">IF(P66="x","x",IF(P66="-","-",""))</f>
        <v>-</v>
      </c>
      <c r="DA66" s="2" t="str">
        <f aca="false">IF(Q66="x","x",IF(Q66="-","-",""))</f>
        <v>-</v>
      </c>
      <c r="DB66" s="2" t="str">
        <f aca="false">IF(R66="x","x",IF(R66="-","-",""))</f>
        <v>-</v>
      </c>
      <c r="DC66" s="2" t="str">
        <f aca="false">IF(S66="x","x",IF(S66="-","-",""))</f>
        <v>-</v>
      </c>
      <c r="DD66" s="2" t="str">
        <f aca="false">IF(T66="x","x",IF(T66="-","-",""))</f>
        <v>-</v>
      </c>
      <c r="DE66" s="2" t="str">
        <f aca="false">IF(U66="x","x",IF(U66="-","-",""))</f>
        <v>-</v>
      </c>
      <c r="DF66" s="2" t="str">
        <f aca="false">IF(V66="x","x",IF(V66="-","-",""))</f>
        <v>-</v>
      </c>
      <c r="DG66" s="2" t="str">
        <f aca="false">IF(W66="x","x",IF(W66="-","-",""))</f>
        <v>-</v>
      </c>
      <c r="DH66" s="2" t="str">
        <f aca="false">IF(X66="x","x",IF(X66="-","-",""))</f>
        <v>-</v>
      </c>
      <c r="DI66" s="2" t="str">
        <f aca="false">IF(Y66="x","x",IF(Y66="-","-",""))</f>
        <v>-</v>
      </c>
      <c r="DJ66" s="2" t="str">
        <f aca="false">IF(Z66="x","x",IF(Z66="-","-",""))</f>
        <v>-</v>
      </c>
      <c r="DK66" s="2" t="str">
        <f aca="false">IF(AA66="x","x",IF(AA66="-","-",""))</f>
        <v>-</v>
      </c>
      <c r="DL66" s="10"/>
      <c r="DM66" s="2" t="str">
        <f aca="false">IF(AC66="x","x",IF(AC66="-","-",""))</f>
        <v>-</v>
      </c>
      <c r="DN66" s="2" t="str">
        <f aca="false">IF(AD66="x","x",IF(AD66="-","-",""))</f>
        <v>-</v>
      </c>
      <c r="DO66" s="2" t="str">
        <f aca="false">IF(AE66="x","x",IF(AE66="-","-",""))</f>
        <v>-</v>
      </c>
      <c r="DP66" s="2" t="str">
        <f aca="false">IF(AF66="x","x",IF(AF66="-","-",""))</f>
        <v>-</v>
      </c>
      <c r="DQ66" s="2" t="str">
        <f aca="false">IF(AG66="x","x",IF(AG66="-","-",""))</f>
        <v>-</v>
      </c>
      <c r="DR66" s="2" t="str">
        <f aca="false">IF(AH66="x","x",IF(AH66="-","-",""))</f>
        <v>-</v>
      </c>
      <c r="DS66" s="2" t="str">
        <f aca="false">IF(AI66="x","x",IF(AI66="-","-",""))</f>
        <v>-</v>
      </c>
      <c r="DT66" s="2" t="str">
        <f aca="false">IF(AJ66="x","x",IF(AJ66="-","-",""))</f>
        <v>-</v>
      </c>
      <c r="DU66" s="2" t="str">
        <f aca="false">IF(AK66="x","x",IF(AK66="-","-",""))</f>
        <v>-</v>
      </c>
      <c r="DV66" s="2" t="str">
        <f aca="false">IF(AL66="x","x",IF(AL66="-","-",""))</f>
        <v>-</v>
      </c>
      <c r="DW66" s="2" t="str">
        <f aca="false">IF(AM66="x","x",IF(AM66="-","-",""))</f>
        <v>-</v>
      </c>
      <c r="DX66" s="2" t="str">
        <f aca="false">IF(AN66="x","x",IF(AN66="-","-",""))</f>
        <v>-</v>
      </c>
    </row>
    <row r="67" customFormat="false" ht="13.8" hidden="false" customHeight="false" outlineLevel="0" collapsed="false">
      <c r="A67" s="10" t="s">
        <v>73</v>
      </c>
      <c r="B67" s="2" t="n">
        <v>66</v>
      </c>
      <c r="C67" s="1" t="s">
        <v>77</v>
      </c>
      <c r="D67" s="10" t="s">
        <v>92</v>
      </c>
      <c r="E67" s="10" t="s">
        <v>127</v>
      </c>
      <c r="F67" s="10"/>
      <c r="G67" s="10" t="s">
        <v>77</v>
      </c>
      <c r="H67" s="10" t="s">
        <v>77</v>
      </c>
      <c r="I67" s="10" t="s">
        <v>77</v>
      </c>
      <c r="J67" s="10" t="s">
        <v>77</v>
      </c>
      <c r="K67" s="10" t="s">
        <v>77</v>
      </c>
      <c r="L67" s="10" t="s">
        <v>77</v>
      </c>
      <c r="M67" s="2" t="n">
        <v>20</v>
      </c>
      <c r="N67" s="10" t="s">
        <v>77</v>
      </c>
      <c r="O67" s="10"/>
      <c r="P67" s="10" t="s">
        <v>77</v>
      </c>
      <c r="Q67" s="10" t="s">
        <v>77</v>
      </c>
      <c r="R67" s="10" t="s">
        <v>77</v>
      </c>
      <c r="S67" s="10" t="s">
        <v>77</v>
      </c>
      <c r="T67" s="10" t="s">
        <v>77</v>
      </c>
      <c r="U67" s="10" t="s">
        <v>77</v>
      </c>
      <c r="V67" s="10" t="s">
        <v>77</v>
      </c>
      <c r="W67" s="10" t="s">
        <v>77</v>
      </c>
      <c r="X67" s="10" t="s">
        <v>77</v>
      </c>
      <c r="Y67" s="10" t="s">
        <v>77</v>
      </c>
      <c r="Z67" s="10" t="s">
        <v>77</v>
      </c>
      <c r="AA67" s="10" t="s">
        <v>77</v>
      </c>
      <c r="AB67" s="10"/>
      <c r="AC67" s="10" t="s">
        <v>77</v>
      </c>
      <c r="AD67" s="10" t="s">
        <v>77</v>
      </c>
      <c r="AE67" s="10" t="s">
        <v>77</v>
      </c>
      <c r="AF67" s="10" t="s">
        <v>77</v>
      </c>
      <c r="AG67" s="10" t="s">
        <v>77</v>
      </c>
      <c r="AH67" s="10" t="s">
        <v>77</v>
      </c>
      <c r="AI67" s="10" t="s">
        <v>77</v>
      </c>
      <c r="AJ67" s="10" t="s">
        <v>77</v>
      </c>
      <c r="AK67" s="10" t="s">
        <v>77</v>
      </c>
      <c r="AL67" s="10" t="s">
        <v>77</v>
      </c>
      <c r="AM67" s="10" t="s">
        <v>77</v>
      </c>
      <c r="AN67" s="10" t="s">
        <v>77</v>
      </c>
      <c r="AO67" s="10"/>
      <c r="AP67" s="10" t="s">
        <v>73</v>
      </c>
      <c r="AQ67" s="10" t="s">
        <v>73</v>
      </c>
      <c r="AS67" s="10" t="s">
        <v>77</v>
      </c>
      <c r="AT67" s="10" t="s">
        <v>77</v>
      </c>
      <c r="AU67" s="10" t="s">
        <v>77</v>
      </c>
      <c r="AV67" s="10" t="s">
        <v>77</v>
      </c>
      <c r="AW67" s="10" t="s">
        <v>77</v>
      </c>
      <c r="AX67" s="10" t="s">
        <v>77</v>
      </c>
      <c r="AY67" s="10" t="s">
        <v>77</v>
      </c>
      <c r="AZ67" s="10" t="s">
        <v>77</v>
      </c>
      <c r="BA67" s="10" t="s">
        <v>77</v>
      </c>
      <c r="BB67" s="10" t="s">
        <v>77</v>
      </c>
      <c r="BC67" s="10" t="s">
        <v>77</v>
      </c>
      <c r="BD67" s="10" t="s">
        <v>77</v>
      </c>
      <c r="BE67" s="10" t="s">
        <v>77</v>
      </c>
      <c r="BF67" s="10" t="s">
        <v>77</v>
      </c>
      <c r="BG67" s="10" t="s">
        <v>77</v>
      </c>
      <c r="BH67" s="10" t="s">
        <v>77</v>
      </c>
      <c r="BI67" s="10" t="s">
        <v>77</v>
      </c>
      <c r="BJ67" s="10" t="s">
        <v>77</v>
      </c>
      <c r="BK67" s="10" t="s">
        <v>77</v>
      </c>
      <c r="BL67" s="10" t="s">
        <v>77</v>
      </c>
      <c r="BM67" s="10" t="s">
        <v>77</v>
      </c>
      <c r="BN67" s="10" t="s">
        <v>77</v>
      </c>
      <c r="BO67" s="10" t="s">
        <v>77</v>
      </c>
      <c r="BP67" s="10" t="s">
        <v>77</v>
      </c>
      <c r="BR67" s="10" t="s">
        <v>77</v>
      </c>
      <c r="BS67" s="10" t="s">
        <v>77</v>
      </c>
      <c r="BT67" s="10" t="s">
        <v>77</v>
      </c>
      <c r="BU67" s="10" t="s">
        <v>77</v>
      </c>
      <c r="BV67" s="10" t="s">
        <v>77</v>
      </c>
      <c r="BW67" s="10" t="s">
        <v>77</v>
      </c>
      <c r="BX67" s="10" t="s">
        <v>77</v>
      </c>
      <c r="BY67" s="10" t="s">
        <v>77</v>
      </c>
      <c r="CA67" s="2" t="str">
        <f aca="false">IF(AS67="x","x",IF(AS67="-","-",""))</f>
        <v>-</v>
      </c>
      <c r="CB67" s="2" t="str">
        <f aca="false">IF(AT67="x","x",IF(AT67="-","-",""))</f>
        <v>-</v>
      </c>
      <c r="CC67" s="2" t="str">
        <f aca="false">IF(AU67="x","x",IF(AU67="-","-",""))</f>
        <v>-</v>
      </c>
      <c r="CD67" s="2" t="str">
        <f aca="false">IF(AV67="x","x",IF(AV67="-","-",""))</f>
        <v>-</v>
      </c>
      <c r="CE67" s="2" t="str">
        <f aca="false">IF(AW67="x","x",IF(AW67="-","-",""))</f>
        <v>-</v>
      </c>
      <c r="CF67" s="2" t="str">
        <f aca="false">IF(AX67="x","x",IF(AX67="-","-",""))</f>
        <v>-</v>
      </c>
      <c r="CG67" s="2" t="str">
        <f aca="false">IF(AY67="x","x",IF(AY67="-","-",""))</f>
        <v>-</v>
      </c>
      <c r="CH67" s="2" t="str">
        <f aca="false">IF(AZ67="x","x",IF(AZ67="-","-",""))</f>
        <v>-</v>
      </c>
      <c r="CI67" s="2" t="str">
        <f aca="false">IF(BA67="x","x",IF(BA67="-","-",""))</f>
        <v>-</v>
      </c>
      <c r="CJ67" s="2" t="str">
        <f aca="false">IF(BB67="x","x",IF(BB67="-","-",""))</f>
        <v>-</v>
      </c>
      <c r="CK67" s="2" t="str">
        <f aca="false">IF(BC67="x","x",IF(BC67="-","-",""))</f>
        <v>-</v>
      </c>
      <c r="CL67" s="2" t="str">
        <f aca="false">IF(BD67="x","x",IF(BD67="-","-",""))</f>
        <v>-</v>
      </c>
      <c r="CM67" s="2" t="str">
        <f aca="false">IF(BE67="x","x",IF(BE67="-","-",""))</f>
        <v>-</v>
      </c>
      <c r="CN67" s="2" t="str">
        <f aca="false">IF(BF67="x","x",IF(BF67="-","-",""))</f>
        <v>-</v>
      </c>
      <c r="CO67" s="2" t="str">
        <f aca="false">IF(BG67="x","x",IF(BG67="-","-",""))</f>
        <v>-</v>
      </c>
      <c r="CP67" s="2" t="str">
        <f aca="false">IF(BH67="x","x",IF(BH67="-","-",""))</f>
        <v>-</v>
      </c>
      <c r="CQ67" s="2" t="str">
        <f aca="false">IF(BI67="x","x",IF(BI67="-","-",""))</f>
        <v>-</v>
      </c>
      <c r="CR67" s="2" t="str">
        <f aca="false">IF(BJ67="x","x",IF(BJ67="-","-",""))</f>
        <v>-</v>
      </c>
      <c r="CS67" s="2" t="str">
        <f aca="false">IF(BK67="x","x",IF(BK67="-","-",""))</f>
        <v>-</v>
      </c>
      <c r="CT67" s="2" t="str">
        <f aca="false">IF(BL67="x","x",IF(BL67="-","-",""))</f>
        <v>-</v>
      </c>
      <c r="CU67" s="2" t="str">
        <f aca="false">IF(BM67="x","x",IF(BM67="-","-",""))</f>
        <v>-</v>
      </c>
      <c r="CV67" s="2" t="str">
        <f aca="false">IF(BN67="x","x",IF(BN67="-","-",""))</f>
        <v>-</v>
      </c>
      <c r="CW67" s="2" t="str">
        <f aca="false">IF(BO67="x","x",IF(BO67="-","-",""))</f>
        <v>-</v>
      </c>
      <c r="CX67" s="2" t="str">
        <f aca="false">IF(BP67="x","x",IF(BP67="-","-",""))</f>
        <v>-</v>
      </c>
      <c r="CZ67" s="2" t="str">
        <f aca="false">IF(P67="x","x",IF(P67="-","-",""))</f>
        <v>-</v>
      </c>
      <c r="DA67" s="2" t="str">
        <f aca="false">IF(Q67="x","x",IF(Q67="-","-",""))</f>
        <v>-</v>
      </c>
      <c r="DB67" s="2" t="str">
        <f aca="false">IF(R67="x","x",IF(R67="-","-",""))</f>
        <v>-</v>
      </c>
      <c r="DC67" s="2" t="str">
        <f aca="false">IF(S67="x","x",IF(S67="-","-",""))</f>
        <v>-</v>
      </c>
      <c r="DD67" s="2" t="str">
        <f aca="false">IF(T67="x","x",IF(T67="-","-",""))</f>
        <v>-</v>
      </c>
      <c r="DE67" s="2" t="str">
        <f aca="false">IF(U67="x","x",IF(U67="-","-",""))</f>
        <v>-</v>
      </c>
      <c r="DF67" s="2" t="str">
        <f aca="false">IF(V67="x","x",IF(V67="-","-",""))</f>
        <v>-</v>
      </c>
      <c r="DG67" s="2" t="str">
        <f aca="false">IF(W67="x","x",IF(W67="-","-",""))</f>
        <v>-</v>
      </c>
      <c r="DH67" s="2" t="str">
        <f aca="false">IF(X67="x","x",IF(X67="-","-",""))</f>
        <v>-</v>
      </c>
      <c r="DI67" s="2" t="str">
        <f aca="false">IF(Y67="x","x",IF(Y67="-","-",""))</f>
        <v>-</v>
      </c>
      <c r="DJ67" s="2" t="str">
        <f aca="false">IF(Z67="x","x",IF(Z67="-","-",""))</f>
        <v>-</v>
      </c>
      <c r="DK67" s="2" t="str">
        <f aca="false">IF(AA67="x","x",IF(AA67="-","-",""))</f>
        <v>-</v>
      </c>
      <c r="DL67" s="10"/>
      <c r="DM67" s="2" t="str">
        <f aca="false">IF(AC67="x","x",IF(AC67="-","-",""))</f>
        <v>-</v>
      </c>
      <c r="DN67" s="2" t="str">
        <f aca="false">IF(AD67="x","x",IF(AD67="-","-",""))</f>
        <v>-</v>
      </c>
      <c r="DO67" s="2" t="str">
        <f aca="false">IF(AE67="x","x",IF(AE67="-","-",""))</f>
        <v>-</v>
      </c>
      <c r="DP67" s="2" t="str">
        <f aca="false">IF(AF67="x","x",IF(AF67="-","-",""))</f>
        <v>-</v>
      </c>
      <c r="DQ67" s="2" t="str">
        <f aca="false">IF(AG67="x","x",IF(AG67="-","-",""))</f>
        <v>-</v>
      </c>
      <c r="DR67" s="2" t="str">
        <f aca="false">IF(AH67="x","x",IF(AH67="-","-",""))</f>
        <v>-</v>
      </c>
      <c r="DS67" s="2" t="str">
        <f aca="false">IF(AI67="x","x",IF(AI67="-","-",""))</f>
        <v>-</v>
      </c>
      <c r="DT67" s="2" t="str">
        <f aca="false">IF(AJ67="x","x",IF(AJ67="-","-",""))</f>
        <v>-</v>
      </c>
      <c r="DU67" s="2" t="str">
        <f aca="false">IF(AK67="x","x",IF(AK67="-","-",""))</f>
        <v>-</v>
      </c>
      <c r="DV67" s="2" t="str">
        <f aca="false">IF(AL67="x","x",IF(AL67="-","-",""))</f>
        <v>-</v>
      </c>
      <c r="DW67" s="2" t="str">
        <f aca="false">IF(AM67="x","x",IF(AM67="-","-",""))</f>
        <v>-</v>
      </c>
      <c r="DX67" s="2" t="str">
        <f aca="false">IF(AN67="x","x",IF(AN67="-","-",""))</f>
        <v>-</v>
      </c>
    </row>
    <row r="68" customFormat="false" ht="13.8" hidden="false" customHeight="false" outlineLevel="0" collapsed="false">
      <c r="A68" s="10" t="s">
        <v>73</v>
      </c>
      <c r="B68" s="2" t="n">
        <v>67</v>
      </c>
      <c r="C68" s="1" t="s">
        <v>77</v>
      </c>
      <c r="D68" s="10" t="s">
        <v>92</v>
      </c>
      <c r="E68" s="10" t="s">
        <v>127</v>
      </c>
      <c r="F68" s="10"/>
      <c r="G68" s="10" t="s">
        <v>77</v>
      </c>
      <c r="H68" s="10" t="s">
        <v>77</v>
      </c>
      <c r="I68" s="10" t="s">
        <v>77</v>
      </c>
      <c r="J68" s="10" t="s">
        <v>77</v>
      </c>
      <c r="K68" s="10" t="s">
        <v>77</v>
      </c>
      <c r="L68" s="10" t="s">
        <v>77</v>
      </c>
      <c r="M68" s="2" t="n">
        <v>20</v>
      </c>
      <c r="N68" s="10" t="s">
        <v>77</v>
      </c>
      <c r="O68" s="10"/>
      <c r="P68" s="10" t="s">
        <v>77</v>
      </c>
      <c r="Q68" s="10" t="s">
        <v>77</v>
      </c>
      <c r="R68" s="10" t="s">
        <v>77</v>
      </c>
      <c r="S68" s="10" t="s">
        <v>77</v>
      </c>
      <c r="T68" s="10" t="s">
        <v>77</v>
      </c>
      <c r="U68" s="10" t="s">
        <v>77</v>
      </c>
      <c r="V68" s="10" t="s">
        <v>77</v>
      </c>
      <c r="W68" s="10" t="s">
        <v>77</v>
      </c>
      <c r="X68" s="10" t="s">
        <v>77</v>
      </c>
      <c r="Y68" s="10" t="s">
        <v>77</v>
      </c>
      <c r="Z68" s="10" t="s">
        <v>77</v>
      </c>
      <c r="AA68" s="10" t="s">
        <v>77</v>
      </c>
      <c r="AB68" s="10"/>
      <c r="AC68" s="10" t="s">
        <v>77</v>
      </c>
      <c r="AD68" s="10" t="s">
        <v>77</v>
      </c>
      <c r="AE68" s="10" t="s">
        <v>77</v>
      </c>
      <c r="AF68" s="10" t="s">
        <v>77</v>
      </c>
      <c r="AG68" s="10" t="s">
        <v>77</v>
      </c>
      <c r="AH68" s="10" t="s">
        <v>77</v>
      </c>
      <c r="AI68" s="10" t="s">
        <v>77</v>
      </c>
      <c r="AJ68" s="10" t="s">
        <v>77</v>
      </c>
      <c r="AK68" s="10" t="s">
        <v>77</v>
      </c>
      <c r="AL68" s="10" t="s">
        <v>77</v>
      </c>
      <c r="AM68" s="10" t="s">
        <v>77</v>
      </c>
      <c r="AN68" s="10" t="s">
        <v>77</v>
      </c>
      <c r="AO68" s="10"/>
      <c r="AP68" s="10" t="s">
        <v>73</v>
      </c>
      <c r="AQ68" s="10" t="s">
        <v>73</v>
      </c>
      <c r="AS68" s="10" t="s">
        <v>77</v>
      </c>
      <c r="AT68" s="10" t="s">
        <v>77</v>
      </c>
      <c r="AU68" s="10" t="s">
        <v>77</v>
      </c>
      <c r="AV68" s="10" t="s">
        <v>77</v>
      </c>
      <c r="AW68" s="10" t="s">
        <v>77</v>
      </c>
      <c r="AX68" s="10" t="s">
        <v>77</v>
      </c>
      <c r="AY68" s="10" t="s">
        <v>77</v>
      </c>
      <c r="AZ68" s="10" t="s">
        <v>77</v>
      </c>
      <c r="BA68" s="10" t="s">
        <v>77</v>
      </c>
      <c r="BB68" s="10" t="s">
        <v>77</v>
      </c>
      <c r="BC68" s="10" t="s">
        <v>77</v>
      </c>
      <c r="BD68" s="10" t="s">
        <v>77</v>
      </c>
      <c r="BE68" s="10" t="s">
        <v>77</v>
      </c>
      <c r="BF68" s="10" t="s">
        <v>77</v>
      </c>
      <c r="BG68" s="10" t="s">
        <v>77</v>
      </c>
      <c r="BH68" s="10" t="s">
        <v>77</v>
      </c>
      <c r="BI68" s="10" t="s">
        <v>77</v>
      </c>
      <c r="BJ68" s="10" t="s">
        <v>77</v>
      </c>
      <c r="BK68" s="10" t="s">
        <v>77</v>
      </c>
      <c r="BL68" s="10" t="s">
        <v>77</v>
      </c>
      <c r="BM68" s="10" t="s">
        <v>77</v>
      </c>
      <c r="BN68" s="10" t="s">
        <v>77</v>
      </c>
      <c r="BO68" s="10" t="s">
        <v>77</v>
      </c>
      <c r="BP68" s="10" t="s">
        <v>77</v>
      </c>
      <c r="BR68" s="10" t="s">
        <v>77</v>
      </c>
      <c r="BS68" s="10" t="s">
        <v>77</v>
      </c>
      <c r="BT68" s="10" t="s">
        <v>77</v>
      </c>
      <c r="BU68" s="10" t="s">
        <v>77</v>
      </c>
      <c r="BV68" s="10" t="s">
        <v>77</v>
      </c>
      <c r="BW68" s="10" t="s">
        <v>77</v>
      </c>
      <c r="BX68" s="10" t="s">
        <v>77</v>
      </c>
      <c r="BY68" s="10" t="s">
        <v>77</v>
      </c>
      <c r="CA68" s="2" t="str">
        <f aca="false">IF(AS68="x","x",IF(AS68="-","-",""))</f>
        <v>-</v>
      </c>
      <c r="CB68" s="2" t="str">
        <f aca="false">IF(AT68="x","x",IF(AT68="-","-",""))</f>
        <v>-</v>
      </c>
      <c r="CC68" s="2" t="str">
        <f aca="false">IF(AU68="x","x",IF(AU68="-","-",""))</f>
        <v>-</v>
      </c>
      <c r="CD68" s="2" t="str">
        <f aca="false">IF(AV68="x","x",IF(AV68="-","-",""))</f>
        <v>-</v>
      </c>
      <c r="CE68" s="2" t="str">
        <f aca="false">IF(AW68="x","x",IF(AW68="-","-",""))</f>
        <v>-</v>
      </c>
      <c r="CF68" s="2" t="str">
        <f aca="false">IF(AX68="x","x",IF(AX68="-","-",""))</f>
        <v>-</v>
      </c>
      <c r="CG68" s="2" t="str">
        <f aca="false">IF(AY68="x","x",IF(AY68="-","-",""))</f>
        <v>-</v>
      </c>
      <c r="CH68" s="2" t="str">
        <f aca="false">IF(AZ68="x","x",IF(AZ68="-","-",""))</f>
        <v>-</v>
      </c>
      <c r="CI68" s="2" t="str">
        <f aca="false">IF(BA68="x","x",IF(BA68="-","-",""))</f>
        <v>-</v>
      </c>
      <c r="CJ68" s="2" t="str">
        <f aca="false">IF(BB68="x","x",IF(BB68="-","-",""))</f>
        <v>-</v>
      </c>
      <c r="CK68" s="2" t="str">
        <f aca="false">IF(BC68="x","x",IF(BC68="-","-",""))</f>
        <v>-</v>
      </c>
      <c r="CL68" s="2" t="str">
        <f aca="false">IF(BD68="x","x",IF(BD68="-","-",""))</f>
        <v>-</v>
      </c>
      <c r="CM68" s="2" t="str">
        <f aca="false">IF(BE68="x","x",IF(BE68="-","-",""))</f>
        <v>-</v>
      </c>
      <c r="CN68" s="2" t="str">
        <f aca="false">IF(BF68="x","x",IF(BF68="-","-",""))</f>
        <v>-</v>
      </c>
      <c r="CO68" s="2" t="str">
        <f aca="false">IF(BG68="x","x",IF(BG68="-","-",""))</f>
        <v>-</v>
      </c>
      <c r="CP68" s="2" t="str">
        <f aca="false">IF(BH68="x","x",IF(BH68="-","-",""))</f>
        <v>-</v>
      </c>
      <c r="CQ68" s="2" t="str">
        <f aca="false">IF(BI68="x","x",IF(BI68="-","-",""))</f>
        <v>-</v>
      </c>
      <c r="CR68" s="2" t="str">
        <f aca="false">IF(BJ68="x","x",IF(BJ68="-","-",""))</f>
        <v>-</v>
      </c>
      <c r="CS68" s="2" t="str">
        <f aca="false">IF(BK68="x","x",IF(BK68="-","-",""))</f>
        <v>-</v>
      </c>
      <c r="CT68" s="2" t="str">
        <f aca="false">IF(BL68="x","x",IF(BL68="-","-",""))</f>
        <v>-</v>
      </c>
      <c r="CU68" s="2" t="str">
        <f aca="false">IF(BM68="x","x",IF(BM68="-","-",""))</f>
        <v>-</v>
      </c>
      <c r="CV68" s="2" t="str">
        <f aca="false">IF(BN68="x","x",IF(BN68="-","-",""))</f>
        <v>-</v>
      </c>
      <c r="CW68" s="2" t="str">
        <f aca="false">IF(BO68="x","x",IF(BO68="-","-",""))</f>
        <v>-</v>
      </c>
      <c r="CX68" s="2" t="str">
        <f aca="false">IF(BP68="x","x",IF(BP68="-","-",""))</f>
        <v>-</v>
      </c>
      <c r="CZ68" s="2" t="str">
        <f aca="false">IF(P68="x","x",IF(P68="-","-",""))</f>
        <v>-</v>
      </c>
      <c r="DA68" s="2" t="str">
        <f aca="false">IF(Q68="x","x",IF(Q68="-","-",""))</f>
        <v>-</v>
      </c>
      <c r="DB68" s="2" t="str">
        <f aca="false">IF(R68="x","x",IF(R68="-","-",""))</f>
        <v>-</v>
      </c>
      <c r="DC68" s="2" t="str">
        <f aca="false">IF(S68="x","x",IF(S68="-","-",""))</f>
        <v>-</v>
      </c>
      <c r="DD68" s="2" t="str">
        <f aca="false">IF(T68="x","x",IF(T68="-","-",""))</f>
        <v>-</v>
      </c>
      <c r="DE68" s="2" t="str">
        <f aca="false">IF(U68="x","x",IF(U68="-","-",""))</f>
        <v>-</v>
      </c>
      <c r="DF68" s="2" t="str">
        <f aca="false">IF(V68="x","x",IF(V68="-","-",""))</f>
        <v>-</v>
      </c>
      <c r="DG68" s="2" t="str">
        <f aca="false">IF(W68="x","x",IF(W68="-","-",""))</f>
        <v>-</v>
      </c>
      <c r="DH68" s="2" t="str">
        <f aca="false">IF(X68="x","x",IF(X68="-","-",""))</f>
        <v>-</v>
      </c>
      <c r="DI68" s="2" t="str">
        <f aca="false">IF(Y68="x","x",IF(Y68="-","-",""))</f>
        <v>-</v>
      </c>
      <c r="DJ68" s="2" t="str">
        <f aca="false">IF(Z68="x","x",IF(Z68="-","-",""))</f>
        <v>-</v>
      </c>
      <c r="DK68" s="2" t="str">
        <f aca="false">IF(AA68="x","x",IF(AA68="-","-",""))</f>
        <v>-</v>
      </c>
      <c r="DL68" s="10"/>
      <c r="DM68" s="2" t="str">
        <f aca="false">IF(AC68="x","x",IF(AC68="-","-",""))</f>
        <v>-</v>
      </c>
      <c r="DN68" s="2" t="str">
        <f aca="false">IF(AD68="x","x",IF(AD68="-","-",""))</f>
        <v>-</v>
      </c>
      <c r="DO68" s="2" t="str">
        <f aca="false">IF(AE68="x","x",IF(AE68="-","-",""))</f>
        <v>-</v>
      </c>
      <c r="DP68" s="2" t="str">
        <f aca="false">IF(AF68="x","x",IF(AF68="-","-",""))</f>
        <v>-</v>
      </c>
      <c r="DQ68" s="2" t="str">
        <f aca="false">IF(AG68="x","x",IF(AG68="-","-",""))</f>
        <v>-</v>
      </c>
      <c r="DR68" s="2" t="str">
        <f aca="false">IF(AH68="x","x",IF(AH68="-","-",""))</f>
        <v>-</v>
      </c>
      <c r="DS68" s="2" t="str">
        <f aca="false">IF(AI68="x","x",IF(AI68="-","-",""))</f>
        <v>-</v>
      </c>
      <c r="DT68" s="2" t="str">
        <f aca="false">IF(AJ68="x","x",IF(AJ68="-","-",""))</f>
        <v>-</v>
      </c>
      <c r="DU68" s="2" t="str">
        <f aca="false">IF(AK68="x","x",IF(AK68="-","-",""))</f>
        <v>-</v>
      </c>
      <c r="DV68" s="2" t="str">
        <f aca="false">IF(AL68="x","x",IF(AL68="-","-",""))</f>
        <v>-</v>
      </c>
      <c r="DW68" s="2" t="str">
        <f aca="false">IF(AM68="x","x",IF(AM68="-","-",""))</f>
        <v>-</v>
      </c>
      <c r="DX68" s="2" t="str">
        <f aca="false">IF(AN68="x","x",IF(AN68="-","-",""))</f>
        <v>-</v>
      </c>
    </row>
    <row r="69" customFormat="false" ht="13.8" hidden="false" customHeight="false" outlineLevel="0" collapsed="false">
      <c r="A69" s="10" t="s">
        <v>73</v>
      </c>
      <c r="B69" s="2" t="n">
        <v>68</v>
      </c>
      <c r="C69" s="1" t="s">
        <v>77</v>
      </c>
      <c r="D69" s="10" t="s">
        <v>92</v>
      </c>
      <c r="E69" s="10" t="s">
        <v>127</v>
      </c>
      <c r="F69" s="10"/>
      <c r="G69" s="10" t="s">
        <v>77</v>
      </c>
      <c r="H69" s="10" t="s">
        <v>77</v>
      </c>
      <c r="I69" s="10" t="s">
        <v>77</v>
      </c>
      <c r="J69" s="10" t="s">
        <v>77</v>
      </c>
      <c r="K69" s="10" t="s">
        <v>77</v>
      </c>
      <c r="L69" s="10" t="s">
        <v>77</v>
      </c>
      <c r="M69" s="2" t="n">
        <v>20</v>
      </c>
      <c r="N69" s="10" t="s">
        <v>77</v>
      </c>
      <c r="O69" s="10"/>
      <c r="P69" s="10" t="s">
        <v>77</v>
      </c>
      <c r="Q69" s="10" t="s">
        <v>77</v>
      </c>
      <c r="R69" s="10" t="s">
        <v>77</v>
      </c>
      <c r="S69" s="10" t="s">
        <v>77</v>
      </c>
      <c r="T69" s="10" t="s">
        <v>77</v>
      </c>
      <c r="U69" s="10" t="s">
        <v>77</v>
      </c>
      <c r="V69" s="10" t="s">
        <v>77</v>
      </c>
      <c r="W69" s="10" t="s">
        <v>77</v>
      </c>
      <c r="X69" s="10" t="s">
        <v>77</v>
      </c>
      <c r="Y69" s="10" t="s">
        <v>77</v>
      </c>
      <c r="Z69" s="10" t="s">
        <v>77</v>
      </c>
      <c r="AA69" s="10" t="s">
        <v>77</v>
      </c>
      <c r="AB69" s="10"/>
      <c r="AC69" s="10" t="s">
        <v>77</v>
      </c>
      <c r="AD69" s="10" t="s">
        <v>77</v>
      </c>
      <c r="AE69" s="10" t="s">
        <v>77</v>
      </c>
      <c r="AF69" s="10" t="s">
        <v>77</v>
      </c>
      <c r="AG69" s="10" t="s">
        <v>77</v>
      </c>
      <c r="AH69" s="10" t="s">
        <v>77</v>
      </c>
      <c r="AI69" s="10" t="s">
        <v>77</v>
      </c>
      <c r="AJ69" s="10" t="s">
        <v>77</v>
      </c>
      <c r="AK69" s="10" t="s">
        <v>77</v>
      </c>
      <c r="AL69" s="10" t="s">
        <v>77</v>
      </c>
      <c r="AM69" s="10" t="s">
        <v>77</v>
      </c>
      <c r="AN69" s="10" t="s">
        <v>77</v>
      </c>
      <c r="AO69" s="10"/>
      <c r="AP69" s="10" t="s">
        <v>73</v>
      </c>
      <c r="AQ69" s="10" t="s">
        <v>73</v>
      </c>
      <c r="AS69" s="10" t="s">
        <v>77</v>
      </c>
      <c r="AT69" s="10" t="s">
        <v>77</v>
      </c>
      <c r="AU69" s="10" t="s">
        <v>77</v>
      </c>
      <c r="AV69" s="10" t="s">
        <v>77</v>
      </c>
      <c r="AW69" s="10" t="s">
        <v>77</v>
      </c>
      <c r="AX69" s="10" t="s">
        <v>77</v>
      </c>
      <c r="AY69" s="10" t="s">
        <v>77</v>
      </c>
      <c r="AZ69" s="10" t="s">
        <v>77</v>
      </c>
      <c r="BA69" s="10" t="s">
        <v>77</v>
      </c>
      <c r="BB69" s="10" t="s">
        <v>77</v>
      </c>
      <c r="BC69" s="10" t="s">
        <v>77</v>
      </c>
      <c r="BD69" s="10" t="s">
        <v>77</v>
      </c>
      <c r="BE69" s="10" t="s">
        <v>77</v>
      </c>
      <c r="BF69" s="10" t="s">
        <v>77</v>
      </c>
      <c r="BG69" s="10" t="s">
        <v>77</v>
      </c>
      <c r="BH69" s="10" t="s">
        <v>77</v>
      </c>
      <c r="BI69" s="10" t="s">
        <v>77</v>
      </c>
      <c r="BJ69" s="10" t="s">
        <v>77</v>
      </c>
      <c r="BK69" s="10" t="s">
        <v>77</v>
      </c>
      <c r="BL69" s="10" t="s">
        <v>77</v>
      </c>
      <c r="BM69" s="10" t="s">
        <v>77</v>
      </c>
      <c r="BN69" s="10" t="s">
        <v>77</v>
      </c>
      <c r="BO69" s="10" t="s">
        <v>77</v>
      </c>
      <c r="BP69" s="10" t="s">
        <v>77</v>
      </c>
      <c r="BR69" s="10" t="s">
        <v>77</v>
      </c>
      <c r="BS69" s="10" t="s">
        <v>77</v>
      </c>
      <c r="BT69" s="10" t="s">
        <v>77</v>
      </c>
      <c r="BU69" s="10" t="s">
        <v>77</v>
      </c>
      <c r="BV69" s="10" t="s">
        <v>77</v>
      </c>
      <c r="BW69" s="10" t="s">
        <v>77</v>
      </c>
      <c r="BX69" s="10" t="s">
        <v>77</v>
      </c>
      <c r="BY69" s="10" t="s">
        <v>77</v>
      </c>
      <c r="CA69" s="2" t="str">
        <f aca="false">IF(AS69="x","x",IF(AS69="-","-",""))</f>
        <v>-</v>
      </c>
      <c r="CB69" s="2" t="str">
        <f aca="false">IF(AT69="x","x",IF(AT69="-","-",""))</f>
        <v>-</v>
      </c>
      <c r="CC69" s="2" t="str">
        <f aca="false">IF(AU69="x","x",IF(AU69="-","-",""))</f>
        <v>-</v>
      </c>
      <c r="CD69" s="2" t="str">
        <f aca="false">IF(AV69="x","x",IF(AV69="-","-",""))</f>
        <v>-</v>
      </c>
      <c r="CE69" s="2" t="str">
        <f aca="false">IF(AW69="x","x",IF(AW69="-","-",""))</f>
        <v>-</v>
      </c>
      <c r="CF69" s="2" t="str">
        <f aca="false">IF(AX69="x","x",IF(AX69="-","-",""))</f>
        <v>-</v>
      </c>
      <c r="CG69" s="2" t="str">
        <f aca="false">IF(AY69="x","x",IF(AY69="-","-",""))</f>
        <v>-</v>
      </c>
      <c r="CH69" s="2" t="str">
        <f aca="false">IF(AZ69="x","x",IF(AZ69="-","-",""))</f>
        <v>-</v>
      </c>
      <c r="CI69" s="2" t="str">
        <f aca="false">IF(BA69="x","x",IF(BA69="-","-",""))</f>
        <v>-</v>
      </c>
      <c r="CJ69" s="2" t="str">
        <f aca="false">IF(BB69="x","x",IF(BB69="-","-",""))</f>
        <v>-</v>
      </c>
      <c r="CK69" s="2" t="str">
        <f aca="false">IF(BC69="x","x",IF(BC69="-","-",""))</f>
        <v>-</v>
      </c>
      <c r="CL69" s="2" t="str">
        <f aca="false">IF(BD69="x","x",IF(BD69="-","-",""))</f>
        <v>-</v>
      </c>
      <c r="CM69" s="2" t="str">
        <f aca="false">IF(BE69="x","x",IF(BE69="-","-",""))</f>
        <v>-</v>
      </c>
      <c r="CN69" s="2" t="str">
        <f aca="false">IF(BF69="x","x",IF(BF69="-","-",""))</f>
        <v>-</v>
      </c>
      <c r="CO69" s="2" t="str">
        <f aca="false">IF(BG69="x","x",IF(BG69="-","-",""))</f>
        <v>-</v>
      </c>
      <c r="CP69" s="2" t="str">
        <f aca="false">IF(BH69="x","x",IF(BH69="-","-",""))</f>
        <v>-</v>
      </c>
      <c r="CQ69" s="2" t="str">
        <f aca="false">IF(BI69="x","x",IF(BI69="-","-",""))</f>
        <v>-</v>
      </c>
      <c r="CR69" s="2" t="str">
        <f aca="false">IF(BJ69="x","x",IF(BJ69="-","-",""))</f>
        <v>-</v>
      </c>
      <c r="CS69" s="2" t="str">
        <f aca="false">IF(BK69="x","x",IF(BK69="-","-",""))</f>
        <v>-</v>
      </c>
      <c r="CT69" s="2" t="str">
        <f aca="false">IF(BL69="x","x",IF(BL69="-","-",""))</f>
        <v>-</v>
      </c>
      <c r="CU69" s="2" t="str">
        <f aca="false">IF(BM69="x","x",IF(BM69="-","-",""))</f>
        <v>-</v>
      </c>
      <c r="CV69" s="2" t="str">
        <f aca="false">IF(BN69="x","x",IF(BN69="-","-",""))</f>
        <v>-</v>
      </c>
      <c r="CW69" s="2" t="str">
        <f aca="false">IF(BO69="x","x",IF(BO69="-","-",""))</f>
        <v>-</v>
      </c>
      <c r="CX69" s="2" t="str">
        <f aca="false">IF(BP69="x","x",IF(BP69="-","-",""))</f>
        <v>-</v>
      </c>
      <c r="CZ69" s="2" t="str">
        <f aca="false">IF(P69="x","x",IF(P69="-","-",""))</f>
        <v>-</v>
      </c>
      <c r="DA69" s="2" t="str">
        <f aca="false">IF(Q69="x","x",IF(Q69="-","-",""))</f>
        <v>-</v>
      </c>
      <c r="DB69" s="2" t="str">
        <f aca="false">IF(R69="x","x",IF(R69="-","-",""))</f>
        <v>-</v>
      </c>
      <c r="DC69" s="2" t="str">
        <f aca="false">IF(S69="x","x",IF(S69="-","-",""))</f>
        <v>-</v>
      </c>
      <c r="DD69" s="2" t="str">
        <f aca="false">IF(T69="x","x",IF(T69="-","-",""))</f>
        <v>-</v>
      </c>
      <c r="DE69" s="2" t="str">
        <f aca="false">IF(U69="x","x",IF(U69="-","-",""))</f>
        <v>-</v>
      </c>
      <c r="DF69" s="2" t="str">
        <f aca="false">IF(V69="x","x",IF(V69="-","-",""))</f>
        <v>-</v>
      </c>
      <c r="DG69" s="2" t="str">
        <f aca="false">IF(W69="x","x",IF(W69="-","-",""))</f>
        <v>-</v>
      </c>
      <c r="DH69" s="2" t="str">
        <f aca="false">IF(X69="x","x",IF(X69="-","-",""))</f>
        <v>-</v>
      </c>
      <c r="DI69" s="2" t="str">
        <f aca="false">IF(Y69="x","x",IF(Y69="-","-",""))</f>
        <v>-</v>
      </c>
      <c r="DJ69" s="2" t="str">
        <f aca="false">IF(Z69="x","x",IF(Z69="-","-",""))</f>
        <v>-</v>
      </c>
      <c r="DK69" s="2" t="str">
        <f aca="false">IF(AA69="x","x",IF(AA69="-","-",""))</f>
        <v>-</v>
      </c>
      <c r="DL69" s="10"/>
      <c r="DM69" s="2" t="str">
        <f aca="false">IF(AC69="x","x",IF(AC69="-","-",""))</f>
        <v>-</v>
      </c>
      <c r="DN69" s="2" t="str">
        <f aca="false">IF(AD69="x","x",IF(AD69="-","-",""))</f>
        <v>-</v>
      </c>
      <c r="DO69" s="2" t="str">
        <f aca="false">IF(AE69="x","x",IF(AE69="-","-",""))</f>
        <v>-</v>
      </c>
      <c r="DP69" s="2" t="str">
        <f aca="false">IF(AF69="x","x",IF(AF69="-","-",""))</f>
        <v>-</v>
      </c>
      <c r="DQ69" s="2" t="str">
        <f aca="false">IF(AG69="x","x",IF(AG69="-","-",""))</f>
        <v>-</v>
      </c>
      <c r="DR69" s="2" t="str">
        <f aca="false">IF(AH69="x","x",IF(AH69="-","-",""))</f>
        <v>-</v>
      </c>
      <c r="DS69" s="2" t="str">
        <f aca="false">IF(AI69="x","x",IF(AI69="-","-",""))</f>
        <v>-</v>
      </c>
      <c r="DT69" s="2" t="str">
        <f aca="false">IF(AJ69="x","x",IF(AJ69="-","-",""))</f>
        <v>-</v>
      </c>
      <c r="DU69" s="2" t="str">
        <f aca="false">IF(AK69="x","x",IF(AK69="-","-",""))</f>
        <v>-</v>
      </c>
      <c r="DV69" s="2" t="str">
        <f aca="false">IF(AL69="x","x",IF(AL69="-","-",""))</f>
        <v>-</v>
      </c>
      <c r="DW69" s="2" t="str">
        <f aca="false">IF(AM69="x","x",IF(AM69="-","-",""))</f>
        <v>-</v>
      </c>
      <c r="DX69" s="2" t="str">
        <f aca="false">IF(AN69="x","x",IF(AN69="-","-",""))</f>
        <v>-</v>
      </c>
    </row>
    <row r="70" customFormat="false" ht="13.8" hidden="false" customHeight="false" outlineLevel="0" collapsed="false">
      <c r="A70" s="10" t="s">
        <v>73</v>
      </c>
      <c r="B70" s="2" t="n">
        <v>69</v>
      </c>
      <c r="C70" s="1" t="s">
        <v>77</v>
      </c>
      <c r="D70" s="10" t="s">
        <v>92</v>
      </c>
      <c r="E70" s="10" t="s">
        <v>127</v>
      </c>
      <c r="F70" s="10"/>
      <c r="G70" s="10" t="s">
        <v>77</v>
      </c>
      <c r="H70" s="10" t="s">
        <v>77</v>
      </c>
      <c r="I70" s="10" t="s">
        <v>77</v>
      </c>
      <c r="J70" s="10" t="s">
        <v>77</v>
      </c>
      <c r="K70" s="10" t="s">
        <v>77</v>
      </c>
      <c r="L70" s="10" t="s">
        <v>77</v>
      </c>
      <c r="M70" s="2" t="n">
        <v>20</v>
      </c>
      <c r="N70" s="10" t="s">
        <v>77</v>
      </c>
      <c r="O70" s="10"/>
      <c r="P70" s="10" t="s">
        <v>77</v>
      </c>
      <c r="Q70" s="10" t="s">
        <v>77</v>
      </c>
      <c r="R70" s="10" t="s">
        <v>77</v>
      </c>
      <c r="S70" s="10" t="s">
        <v>77</v>
      </c>
      <c r="T70" s="10" t="s">
        <v>77</v>
      </c>
      <c r="U70" s="10" t="s">
        <v>77</v>
      </c>
      <c r="V70" s="10" t="s">
        <v>77</v>
      </c>
      <c r="W70" s="10" t="s">
        <v>77</v>
      </c>
      <c r="X70" s="10" t="s">
        <v>77</v>
      </c>
      <c r="Y70" s="10" t="s">
        <v>77</v>
      </c>
      <c r="Z70" s="10" t="s">
        <v>77</v>
      </c>
      <c r="AA70" s="10" t="s">
        <v>77</v>
      </c>
      <c r="AB70" s="10"/>
      <c r="AC70" s="10" t="s">
        <v>77</v>
      </c>
      <c r="AD70" s="10" t="s">
        <v>77</v>
      </c>
      <c r="AE70" s="10" t="s">
        <v>77</v>
      </c>
      <c r="AF70" s="10" t="s">
        <v>77</v>
      </c>
      <c r="AG70" s="10" t="s">
        <v>77</v>
      </c>
      <c r="AH70" s="10" t="s">
        <v>77</v>
      </c>
      <c r="AI70" s="10" t="s">
        <v>77</v>
      </c>
      <c r="AJ70" s="10" t="s">
        <v>77</v>
      </c>
      <c r="AK70" s="10" t="s">
        <v>77</v>
      </c>
      <c r="AL70" s="10" t="s">
        <v>77</v>
      </c>
      <c r="AM70" s="10" t="s">
        <v>77</v>
      </c>
      <c r="AN70" s="10" t="s">
        <v>77</v>
      </c>
      <c r="AO70" s="10"/>
      <c r="AP70" s="10" t="s">
        <v>73</v>
      </c>
      <c r="AQ70" s="10" t="s">
        <v>73</v>
      </c>
      <c r="AS70" s="10" t="s">
        <v>77</v>
      </c>
      <c r="AT70" s="10" t="s">
        <v>77</v>
      </c>
      <c r="AU70" s="10" t="s">
        <v>77</v>
      </c>
      <c r="AV70" s="10" t="s">
        <v>77</v>
      </c>
      <c r="AW70" s="10" t="s">
        <v>77</v>
      </c>
      <c r="AX70" s="10" t="s">
        <v>77</v>
      </c>
      <c r="AY70" s="10" t="s">
        <v>77</v>
      </c>
      <c r="AZ70" s="10" t="s">
        <v>77</v>
      </c>
      <c r="BA70" s="10" t="s">
        <v>77</v>
      </c>
      <c r="BB70" s="10" t="s">
        <v>77</v>
      </c>
      <c r="BC70" s="10" t="s">
        <v>77</v>
      </c>
      <c r="BD70" s="10" t="s">
        <v>77</v>
      </c>
      <c r="BE70" s="10" t="s">
        <v>77</v>
      </c>
      <c r="BF70" s="10" t="s">
        <v>77</v>
      </c>
      <c r="BG70" s="10" t="s">
        <v>77</v>
      </c>
      <c r="BH70" s="10" t="s">
        <v>77</v>
      </c>
      <c r="BI70" s="10" t="s">
        <v>77</v>
      </c>
      <c r="BJ70" s="10" t="s">
        <v>77</v>
      </c>
      <c r="BK70" s="10" t="s">
        <v>77</v>
      </c>
      <c r="BL70" s="10" t="s">
        <v>77</v>
      </c>
      <c r="BM70" s="10" t="s">
        <v>77</v>
      </c>
      <c r="BN70" s="10" t="s">
        <v>77</v>
      </c>
      <c r="BO70" s="10" t="s">
        <v>77</v>
      </c>
      <c r="BP70" s="10" t="s">
        <v>77</v>
      </c>
      <c r="BR70" s="10" t="s">
        <v>77</v>
      </c>
      <c r="BS70" s="10" t="s">
        <v>77</v>
      </c>
      <c r="BT70" s="10" t="s">
        <v>77</v>
      </c>
      <c r="BU70" s="10" t="s">
        <v>77</v>
      </c>
      <c r="BV70" s="10" t="s">
        <v>77</v>
      </c>
      <c r="BW70" s="10" t="s">
        <v>77</v>
      </c>
      <c r="BX70" s="10" t="s">
        <v>77</v>
      </c>
      <c r="BY70" s="10" t="s">
        <v>77</v>
      </c>
      <c r="CA70" s="2" t="str">
        <f aca="false">IF(AS70="x","x",IF(AS70="-","-",""))</f>
        <v>-</v>
      </c>
      <c r="CB70" s="2" t="str">
        <f aca="false">IF(AT70="x","x",IF(AT70="-","-",""))</f>
        <v>-</v>
      </c>
      <c r="CC70" s="2" t="str">
        <f aca="false">IF(AU70="x","x",IF(AU70="-","-",""))</f>
        <v>-</v>
      </c>
      <c r="CD70" s="2" t="str">
        <f aca="false">IF(AV70="x","x",IF(AV70="-","-",""))</f>
        <v>-</v>
      </c>
      <c r="CE70" s="2" t="str">
        <f aca="false">IF(AW70="x","x",IF(AW70="-","-",""))</f>
        <v>-</v>
      </c>
      <c r="CF70" s="2" t="str">
        <f aca="false">IF(AX70="x","x",IF(AX70="-","-",""))</f>
        <v>-</v>
      </c>
      <c r="CG70" s="2" t="str">
        <f aca="false">IF(AY70="x","x",IF(AY70="-","-",""))</f>
        <v>-</v>
      </c>
      <c r="CH70" s="2" t="str">
        <f aca="false">IF(AZ70="x","x",IF(AZ70="-","-",""))</f>
        <v>-</v>
      </c>
      <c r="CI70" s="2" t="str">
        <f aca="false">IF(BA70="x","x",IF(BA70="-","-",""))</f>
        <v>-</v>
      </c>
      <c r="CJ70" s="2" t="str">
        <f aca="false">IF(BB70="x","x",IF(BB70="-","-",""))</f>
        <v>-</v>
      </c>
      <c r="CK70" s="2" t="str">
        <f aca="false">IF(BC70="x","x",IF(BC70="-","-",""))</f>
        <v>-</v>
      </c>
      <c r="CL70" s="2" t="str">
        <f aca="false">IF(BD70="x","x",IF(BD70="-","-",""))</f>
        <v>-</v>
      </c>
      <c r="CM70" s="2" t="str">
        <f aca="false">IF(BE70="x","x",IF(BE70="-","-",""))</f>
        <v>-</v>
      </c>
      <c r="CN70" s="2" t="str">
        <f aca="false">IF(BF70="x","x",IF(BF70="-","-",""))</f>
        <v>-</v>
      </c>
      <c r="CO70" s="2" t="str">
        <f aca="false">IF(BG70="x","x",IF(BG70="-","-",""))</f>
        <v>-</v>
      </c>
      <c r="CP70" s="2" t="str">
        <f aca="false">IF(BH70="x","x",IF(BH70="-","-",""))</f>
        <v>-</v>
      </c>
      <c r="CQ70" s="2" t="str">
        <f aca="false">IF(BI70="x","x",IF(BI70="-","-",""))</f>
        <v>-</v>
      </c>
      <c r="CR70" s="2" t="str">
        <f aca="false">IF(BJ70="x","x",IF(BJ70="-","-",""))</f>
        <v>-</v>
      </c>
      <c r="CS70" s="2" t="str">
        <f aca="false">IF(BK70="x","x",IF(BK70="-","-",""))</f>
        <v>-</v>
      </c>
      <c r="CT70" s="2" t="str">
        <f aca="false">IF(BL70="x","x",IF(BL70="-","-",""))</f>
        <v>-</v>
      </c>
      <c r="CU70" s="2" t="str">
        <f aca="false">IF(BM70="x","x",IF(BM70="-","-",""))</f>
        <v>-</v>
      </c>
      <c r="CV70" s="2" t="str">
        <f aca="false">IF(BN70="x","x",IF(BN70="-","-",""))</f>
        <v>-</v>
      </c>
      <c r="CW70" s="2" t="str">
        <f aca="false">IF(BO70="x","x",IF(BO70="-","-",""))</f>
        <v>-</v>
      </c>
      <c r="CX70" s="2" t="str">
        <f aca="false">IF(BP70="x","x",IF(BP70="-","-",""))</f>
        <v>-</v>
      </c>
      <c r="CZ70" s="2" t="str">
        <f aca="false">IF(P70="x","x",IF(P70="-","-",""))</f>
        <v>-</v>
      </c>
      <c r="DA70" s="2" t="str">
        <f aca="false">IF(Q70="x","x",IF(Q70="-","-",""))</f>
        <v>-</v>
      </c>
      <c r="DB70" s="2" t="str">
        <f aca="false">IF(R70="x","x",IF(R70="-","-",""))</f>
        <v>-</v>
      </c>
      <c r="DC70" s="2" t="str">
        <f aca="false">IF(S70="x","x",IF(S70="-","-",""))</f>
        <v>-</v>
      </c>
      <c r="DD70" s="2" t="str">
        <f aca="false">IF(T70="x","x",IF(T70="-","-",""))</f>
        <v>-</v>
      </c>
      <c r="DE70" s="2" t="str">
        <f aca="false">IF(U70="x","x",IF(U70="-","-",""))</f>
        <v>-</v>
      </c>
      <c r="DF70" s="2" t="str">
        <f aca="false">IF(V70="x","x",IF(V70="-","-",""))</f>
        <v>-</v>
      </c>
      <c r="DG70" s="2" t="str">
        <f aca="false">IF(W70="x","x",IF(W70="-","-",""))</f>
        <v>-</v>
      </c>
      <c r="DH70" s="2" t="str">
        <f aca="false">IF(X70="x","x",IF(X70="-","-",""))</f>
        <v>-</v>
      </c>
      <c r="DI70" s="2" t="str">
        <f aca="false">IF(Y70="x","x",IF(Y70="-","-",""))</f>
        <v>-</v>
      </c>
      <c r="DJ70" s="2" t="str">
        <f aca="false">IF(Z70="x","x",IF(Z70="-","-",""))</f>
        <v>-</v>
      </c>
      <c r="DK70" s="2" t="str">
        <f aca="false">IF(AA70="x","x",IF(AA70="-","-",""))</f>
        <v>-</v>
      </c>
      <c r="DL70" s="10"/>
      <c r="DM70" s="2" t="str">
        <f aca="false">IF(AC70="x","x",IF(AC70="-","-",""))</f>
        <v>-</v>
      </c>
      <c r="DN70" s="2" t="str">
        <f aca="false">IF(AD70="x","x",IF(AD70="-","-",""))</f>
        <v>-</v>
      </c>
      <c r="DO70" s="2" t="str">
        <f aca="false">IF(AE70="x","x",IF(AE70="-","-",""))</f>
        <v>-</v>
      </c>
      <c r="DP70" s="2" t="str">
        <f aca="false">IF(AF70="x","x",IF(AF70="-","-",""))</f>
        <v>-</v>
      </c>
      <c r="DQ70" s="2" t="str">
        <f aca="false">IF(AG70="x","x",IF(AG70="-","-",""))</f>
        <v>-</v>
      </c>
      <c r="DR70" s="2" t="str">
        <f aca="false">IF(AH70="x","x",IF(AH70="-","-",""))</f>
        <v>-</v>
      </c>
      <c r="DS70" s="2" t="str">
        <f aca="false">IF(AI70="x","x",IF(AI70="-","-",""))</f>
        <v>-</v>
      </c>
      <c r="DT70" s="2" t="str">
        <f aca="false">IF(AJ70="x","x",IF(AJ70="-","-",""))</f>
        <v>-</v>
      </c>
      <c r="DU70" s="2" t="str">
        <f aca="false">IF(AK70="x","x",IF(AK70="-","-",""))</f>
        <v>-</v>
      </c>
      <c r="DV70" s="2" t="str">
        <f aca="false">IF(AL70="x","x",IF(AL70="-","-",""))</f>
        <v>-</v>
      </c>
      <c r="DW70" s="2" t="str">
        <f aca="false">IF(AM70="x","x",IF(AM70="-","-",""))</f>
        <v>-</v>
      </c>
      <c r="DX70" s="2" t="str">
        <f aca="false">IF(AN70="x","x",IF(AN70="-","-",""))</f>
        <v>-</v>
      </c>
    </row>
    <row r="71" customFormat="false" ht="13.8" hidden="false" customHeight="false" outlineLevel="0" collapsed="false">
      <c r="A71" s="10" t="s">
        <v>73</v>
      </c>
      <c r="B71" s="2" t="n">
        <v>70</v>
      </c>
      <c r="C71" s="1" t="s">
        <v>77</v>
      </c>
      <c r="D71" s="10" t="s">
        <v>92</v>
      </c>
      <c r="E71" s="10" t="s">
        <v>127</v>
      </c>
      <c r="F71" s="10"/>
      <c r="G71" s="10" t="s">
        <v>77</v>
      </c>
      <c r="H71" s="10" t="s">
        <v>77</v>
      </c>
      <c r="I71" s="10" t="s">
        <v>77</v>
      </c>
      <c r="J71" s="10" t="s">
        <v>77</v>
      </c>
      <c r="K71" s="10" t="s">
        <v>77</v>
      </c>
      <c r="L71" s="10" t="s">
        <v>77</v>
      </c>
      <c r="M71" s="2" t="n">
        <v>20</v>
      </c>
      <c r="N71" s="10" t="s">
        <v>77</v>
      </c>
      <c r="O71" s="10"/>
      <c r="P71" s="10" t="s">
        <v>77</v>
      </c>
      <c r="Q71" s="10" t="s">
        <v>77</v>
      </c>
      <c r="R71" s="10" t="s">
        <v>77</v>
      </c>
      <c r="S71" s="10" t="s">
        <v>77</v>
      </c>
      <c r="T71" s="10" t="s">
        <v>77</v>
      </c>
      <c r="U71" s="10" t="s">
        <v>77</v>
      </c>
      <c r="V71" s="10" t="s">
        <v>77</v>
      </c>
      <c r="W71" s="10" t="s">
        <v>77</v>
      </c>
      <c r="X71" s="10" t="s">
        <v>77</v>
      </c>
      <c r="Y71" s="10" t="s">
        <v>77</v>
      </c>
      <c r="Z71" s="10" t="s">
        <v>77</v>
      </c>
      <c r="AA71" s="10" t="s">
        <v>77</v>
      </c>
      <c r="AB71" s="10"/>
      <c r="AC71" s="10" t="s">
        <v>77</v>
      </c>
      <c r="AD71" s="10" t="s">
        <v>77</v>
      </c>
      <c r="AE71" s="10" t="s">
        <v>77</v>
      </c>
      <c r="AF71" s="10" t="s">
        <v>77</v>
      </c>
      <c r="AG71" s="10" t="s">
        <v>77</v>
      </c>
      <c r="AH71" s="10" t="s">
        <v>77</v>
      </c>
      <c r="AI71" s="10" t="s">
        <v>77</v>
      </c>
      <c r="AJ71" s="10" t="s">
        <v>77</v>
      </c>
      <c r="AK71" s="10" t="s">
        <v>77</v>
      </c>
      <c r="AL71" s="10" t="s">
        <v>77</v>
      </c>
      <c r="AM71" s="10" t="s">
        <v>77</v>
      </c>
      <c r="AN71" s="10" t="s">
        <v>77</v>
      </c>
      <c r="AO71" s="10"/>
      <c r="AP71" s="10" t="s">
        <v>73</v>
      </c>
      <c r="AQ71" s="10" t="s">
        <v>73</v>
      </c>
      <c r="AS71" s="10" t="s">
        <v>77</v>
      </c>
      <c r="AT71" s="10" t="s">
        <v>77</v>
      </c>
      <c r="AU71" s="10" t="s">
        <v>77</v>
      </c>
      <c r="AV71" s="10" t="s">
        <v>77</v>
      </c>
      <c r="AW71" s="10" t="s">
        <v>77</v>
      </c>
      <c r="AX71" s="10" t="s">
        <v>77</v>
      </c>
      <c r="AY71" s="10" t="s">
        <v>77</v>
      </c>
      <c r="AZ71" s="10" t="s">
        <v>77</v>
      </c>
      <c r="BA71" s="10" t="s">
        <v>77</v>
      </c>
      <c r="BB71" s="10" t="s">
        <v>77</v>
      </c>
      <c r="BC71" s="10" t="s">
        <v>77</v>
      </c>
      <c r="BD71" s="10" t="s">
        <v>77</v>
      </c>
      <c r="BE71" s="10" t="s">
        <v>77</v>
      </c>
      <c r="BF71" s="10" t="s">
        <v>77</v>
      </c>
      <c r="BG71" s="10" t="s">
        <v>77</v>
      </c>
      <c r="BH71" s="10" t="s">
        <v>77</v>
      </c>
      <c r="BI71" s="10" t="s">
        <v>77</v>
      </c>
      <c r="BJ71" s="10" t="s">
        <v>77</v>
      </c>
      <c r="BK71" s="10" t="s">
        <v>77</v>
      </c>
      <c r="BL71" s="10" t="s">
        <v>77</v>
      </c>
      <c r="BM71" s="10" t="s">
        <v>77</v>
      </c>
      <c r="BN71" s="10" t="s">
        <v>77</v>
      </c>
      <c r="BO71" s="10" t="s">
        <v>77</v>
      </c>
      <c r="BP71" s="10" t="s">
        <v>77</v>
      </c>
      <c r="BR71" s="10" t="s">
        <v>77</v>
      </c>
      <c r="BS71" s="10" t="s">
        <v>77</v>
      </c>
      <c r="BT71" s="10" t="s">
        <v>77</v>
      </c>
      <c r="BU71" s="10" t="s">
        <v>77</v>
      </c>
      <c r="BV71" s="10" t="s">
        <v>77</v>
      </c>
      <c r="BW71" s="10" t="s">
        <v>77</v>
      </c>
      <c r="BX71" s="10" t="s">
        <v>77</v>
      </c>
      <c r="BY71" s="10" t="s">
        <v>77</v>
      </c>
      <c r="CA71" s="2" t="str">
        <f aca="false">IF(AS71="x","x",IF(AS71="-","-",""))</f>
        <v>-</v>
      </c>
      <c r="CB71" s="2" t="str">
        <f aca="false">IF(AT71="x","x",IF(AT71="-","-",""))</f>
        <v>-</v>
      </c>
      <c r="CC71" s="2" t="str">
        <f aca="false">IF(AU71="x","x",IF(AU71="-","-",""))</f>
        <v>-</v>
      </c>
      <c r="CD71" s="2" t="str">
        <f aca="false">IF(AV71="x","x",IF(AV71="-","-",""))</f>
        <v>-</v>
      </c>
      <c r="CE71" s="2" t="str">
        <f aca="false">IF(AW71="x","x",IF(AW71="-","-",""))</f>
        <v>-</v>
      </c>
      <c r="CF71" s="2" t="str">
        <f aca="false">IF(AX71="x","x",IF(AX71="-","-",""))</f>
        <v>-</v>
      </c>
      <c r="CG71" s="2" t="str">
        <f aca="false">IF(AY71="x","x",IF(AY71="-","-",""))</f>
        <v>-</v>
      </c>
      <c r="CH71" s="2" t="str">
        <f aca="false">IF(AZ71="x","x",IF(AZ71="-","-",""))</f>
        <v>-</v>
      </c>
      <c r="CI71" s="2" t="str">
        <f aca="false">IF(BA71="x","x",IF(BA71="-","-",""))</f>
        <v>-</v>
      </c>
      <c r="CJ71" s="2" t="str">
        <f aca="false">IF(BB71="x","x",IF(BB71="-","-",""))</f>
        <v>-</v>
      </c>
      <c r="CK71" s="2" t="str">
        <f aca="false">IF(BC71="x","x",IF(BC71="-","-",""))</f>
        <v>-</v>
      </c>
      <c r="CL71" s="2" t="str">
        <f aca="false">IF(BD71="x","x",IF(BD71="-","-",""))</f>
        <v>-</v>
      </c>
      <c r="CM71" s="2" t="str">
        <f aca="false">IF(BE71="x","x",IF(BE71="-","-",""))</f>
        <v>-</v>
      </c>
      <c r="CN71" s="2" t="str">
        <f aca="false">IF(BF71="x","x",IF(BF71="-","-",""))</f>
        <v>-</v>
      </c>
      <c r="CO71" s="2" t="str">
        <f aca="false">IF(BG71="x","x",IF(BG71="-","-",""))</f>
        <v>-</v>
      </c>
      <c r="CP71" s="2" t="str">
        <f aca="false">IF(BH71="x","x",IF(BH71="-","-",""))</f>
        <v>-</v>
      </c>
      <c r="CQ71" s="2" t="str">
        <f aca="false">IF(BI71="x","x",IF(BI71="-","-",""))</f>
        <v>-</v>
      </c>
      <c r="CR71" s="2" t="str">
        <f aca="false">IF(BJ71="x","x",IF(BJ71="-","-",""))</f>
        <v>-</v>
      </c>
      <c r="CS71" s="2" t="str">
        <f aca="false">IF(BK71="x","x",IF(BK71="-","-",""))</f>
        <v>-</v>
      </c>
      <c r="CT71" s="2" t="str">
        <f aca="false">IF(BL71="x","x",IF(BL71="-","-",""))</f>
        <v>-</v>
      </c>
      <c r="CU71" s="2" t="str">
        <f aca="false">IF(BM71="x","x",IF(BM71="-","-",""))</f>
        <v>-</v>
      </c>
      <c r="CV71" s="2" t="str">
        <f aca="false">IF(BN71="x","x",IF(BN71="-","-",""))</f>
        <v>-</v>
      </c>
      <c r="CW71" s="2" t="str">
        <f aca="false">IF(BO71="x","x",IF(BO71="-","-",""))</f>
        <v>-</v>
      </c>
      <c r="CX71" s="2" t="str">
        <f aca="false">IF(BP71="x","x",IF(BP71="-","-",""))</f>
        <v>-</v>
      </c>
      <c r="CZ71" s="2" t="str">
        <f aca="false">IF(P71="x","x",IF(P71="-","-",""))</f>
        <v>-</v>
      </c>
      <c r="DA71" s="2" t="str">
        <f aca="false">IF(Q71="x","x",IF(Q71="-","-",""))</f>
        <v>-</v>
      </c>
      <c r="DB71" s="2" t="str">
        <f aca="false">IF(R71="x","x",IF(R71="-","-",""))</f>
        <v>-</v>
      </c>
      <c r="DC71" s="2" t="str">
        <f aca="false">IF(S71="x","x",IF(S71="-","-",""))</f>
        <v>-</v>
      </c>
      <c r="DD71" s="2" t="str">
        <f aca="false">IF(T71="x","x",IF(T71="-","-",""))</f>
        <v>-</v>
      </c>
      <c r="DE71" s="2" t="str">
        <f aca="false">IF(U71="x","x",IF(U71="-","-",""))</f>
        <v>-</v>
      </c>
      <c r="DF71" s="2" t="str">
        <f aca="false">IF(V71="x","x",IF(V71="-","-",""))</f>
        <v>-</v>
      </c>
      <c r="DG71" s="2" t="str">
        <f aca="false">IF(W71="x","x",IF(W71="-","-",""))</f>
        <v>-</v>
      </c>
      <c r="DH71" s="2" t="str">
        <f aca="false">IF(X71="x","x",IF(X71="-","-",""))</f>
        <v>-</v>
      </c>
      <c r="DI71" s="2" t="str">
        <f aca="false">IF(Y71="x","x",IF(Y71="-","-",""))</f>
        <v>-</v>
      </c>
      <c r="DJ71" s="2" t="str">
        <f aca="false">IF(Z71="x","x",IF(Z71="-","-",""))</f>
        <v>-</v>
      </c>
      <c r="DK71" s="2" t="str">
        <f aca="false">IF(AA71="x","x",IF(AA71="-","-",""))</f>
        <v>-</v>
      </c>
      <c r="DL71" s="10"/>
      <c r="DM71" s="2" t="str">
        <f aca="false">IF(AC71="x","x",IF(AC71="-","-",""))</f>
        <v>-</v>
      </c>
      <c r="DN71" s="2" t="str">
        <f aca="false">IF(AD71="x","x",IF(AD71="-","-",""))</f>
        <v>-</v>
      </c>
      <c r="DO71" s="2" t="str">
        <f aca="false">IF(AE71="x","x",IF(AE71="-","-",""))</f>
        <v>-</v>
      </c>
      <c r="DP71" s="2" t="str">
        <f aca="false">IF(AF71="x","x",IF(AF71="-","-",""))</f>
        <v>-</v>
      </c>
      <c r="DQ71" s="2" t="str">
        <f aca="false">IF(AG71="x","x",IF(AG71="-","-",""))</f>
        <v>-</v>
      </c>
      <c r="DR71" s="2" t="str">
        <f aca="false">IF(AH71="x","x",IF(AH71="-","-",""))</f>
        <v>-</v>
      </c>
      <c r="DS71" s="2" t="str">
        <f aca="false">IF(AI71="x","x",IF(AI71="-","-",""))</f>
        <v>-</v>
      </c>
      <c r="DT71" s="2" t="str">
        <f aca="false">IF(AJ71="x","x",IF(AJ71="-","-",""))</f>
        <v>-</v>
      </c>
      <c r="DU71" s="2" t="str">
        <f aca="false">IF(AK71="x","x",IF(AK71="-","-",""))</f>
        <v>-</v>
      </c>
      <c r="DV71" s="2" t="str">
        <f aca="false">IF(AL71="x","x",IF(AL71="-","-",""))</f>
        <v>-</v>
      </c>
      <c r="DW71" s="2" t="str">
        <f aca="false">IF(AM71="x","x",IF(AM71="-","-",""))</f>
        <v>-</v>
      </c>
      <c r="DX71" s="2" t="str">
        <f aca="false">IF(AN71="x","x",IF(AN71="-","-",""))</f>
        <v>-</v>
      </c>
    </row>
    <row r="72" customFormat="false" ht="13.8" hidden="false" customHeight="false" outlineLevel="0" collapsed="false">
      <c r="A72" s="10" t="s">
        <v>73</v>
      </c>
      <c r="B72" s="2" t="n">
        <v>71</v>
      </c>
      <c r="C72" s="1" t="s">
        <v>77</v>
      </c>
      <c r="D72" s="10" t="s">
        <v>92</v>
      </c>
      <c r="E72" s="10" t="s">
        <v>127</v>
      </c>
      <c r="F72" s="10"/>
      <c r="G72" s="10" t="s">
        <v>77</v>
      </c>
      <c r="H72" s="10" t="s">
        <v>77</v>
      </c>
      <c r="I72" s="10" t="s">
        <v>77</v>
      </c>
      <c r="J72" s="10" t="s">
        <v>77</v>
      </c>
      <c r="K72" s="10" t="s">
        <v>77</v>
      </c>
      <c r="L72" s="10" t="s">
        <v>77</v>
      </c>
      <c r="M72" s="2" t="n">
        <v>20</v>
      </c>
      <c r="N72" s="10" t="s">
        <v>77</v>
      </c>
      <c r="O72" s="10"/>
      <c r="P72" s="10" t="s">
        <v>77</v>
      </c>
      <c r="Q72" s="10" t="s">
        <v>77</v>
      </c>
      <c r="R72" s="10" t="s">
        <v>77</v>
      </c>
      <c r="S72" s="10" t="s">
        <v>77</v>
      </c>
      <c r="T72" s="10" t="s">
        <v>77</v>
      </c>
      <c r="U72" s="10" t="s">
        <v>77</v>
      </c>
      <c r="V72" s="10" t="s">
        <v>77</v>
      </c>
      <c r="W72" s="10" t="s">
        <v>77</v>
      </c>
      <c r="X72" s="10" t="s">
        <v>77</v>
      </c>
      <c r="Y72" s="10" t="s">
        <v>77</v>
      </c>
      <c r="Z72" s="10" t="s">
        <v>77</v>
      </c>
      <c r="AA72" s="10" t="s">
        <v>77</v>
      </c>
      <c r="AB72" s="10"/>
      <c r="AC72" s="10" t="s">
        <v>77</v>
      </c>
      <c r="AD72" s="10" t="s">
        <v>77</v>
      </c>
      <c r="AE72" s="10" t="s">
        <v>77</v>
      </c>
      <c r="AF72" s="10" t="s">
        <v>77</v>
      </c>
      <c r="AG72" s="10" t="s">
        <v>77</v>
      </c>
      <c r="AH72" s="10" t="s">
        <v>77</v>
      </c>
      <c r="AI72" s="10" t="s">
        <v>77</v>
      </c>
      <c r="AJ72" s="10" t="s">
        <v>77</v>
      </c>
      <c r="AK72" s="10" t="s">
        <v>77</v>
      </c>
      <c r="AL72" s="10" t="s">
        <v>77</v>
      </c>
      <c r="AM72" s="10" t="s">
        <v>77</v>
      </c>
      <c r="AN72" s="10" t="s">
        <v>77</v>
      </c>
      <c r="AO72" s="10"/>
      <c r="AP72" s="10" t="s">
        <v>73</v>
      </c>
      <c r="AQ72" s="10" t="s">
        <v>73</v>
      </c>
      <c r="AS72" s="10" t="s">
        <v>77</v>
      </c>
      <c r="AT72" s="10" t="s">
        <v>77</v>
      </c>
      <c r="AU72" s="10" t="s">
        <v>77</v>
      </c>
      <c r="AV72" s="10" t="s">
        <v>77</v>
      </c>
      <c r="AW72" s="10" t="s">
        <v>77</v>
      </c>
      <c r="AX72" s="10" t="s">
        <v>77</v>
      </c>
      <c r="AY72" s="10" t="s">
        <v>77</v>
      </c>
      <c r="AZ72" s="10" t="s">
        <v>77</v>
      </c>
      <c r="BA72" s="10" t="s">
        <v>77</v>
      </c>
      <c r="BB72" s="10" t="s">
        <v>77</v>
      </c>
      <c r="BC72" s="10" t="s">
        <v>77</v>
      </c>
      <c r="BD72" s="10" t="s">
        <v>77</v>
      </c>
      <c r="BE72" s="10" t="s">
        <v>77</v>
      </c>
      <c r="BF72" s="10" t="s">
        <v>77</v>
      </c>
      <c r="BG72" s="10" t="s">
        <v>77</v>
      </c>
      <c r="BH72" s="10" t="s">
        <v>77</v>
      </c>
      <c r="BI72" s="10" t="s">
        <v>77</v>
      </c>
      <c r="BJ72" s="10" t="s">
        <v>77</v>
      </c>
      <c r="BK72" s="10" t="s">
        <v>77</v>
      </c>
      <c r="BL72" s="10" t="s">
        <v>77</v>
      </c>
      <c r="BM72" s="10" t="s">
        <v>77</v>
      </c>
      <c r="BN72" s="10" t="s">
        <v>77</v>
      </c>
      <c r="BO72" s="10" t="s">
        <v>77</v>
      </c>
      <c r="BP72" s="10" t="s">
        <v>77</v>
      </c>
      <c r="BR72" s="10" t="s">
        <v>77</v>
      </c>
      <c r="BS72" s="10" t="s">
        <v>77</v>
      </c>
      <c r="BT72" s="10" t="s">
        <v>77</v>
      </c>
      <c r="BU72" s="10" t="s">
        <v>77</v>
      </c>
      <c r="BV72" s="10" t="s">
        <v>77</v>
      </c>
      <c r="BW72" s="10" t="s">
        <v>77</v>
      </c>
      <c r="BX72" s="10" t="s">
        <v>77</v>
      </c>
      <c r="BY72" s="10" t="s">
        <v>77</v>
      </c>
      <c r="CA72" s="2" t="str">
        <f aca="false">IF(AS72="x","x",IF(AS72="-","-",""))</f>
        <v>-</v>
      </c>
      <c r="CB72" s="2" t="str">
        <f aca="false">IF(AT72="x","x",IF(AT72="-","-",""))</f>
        <v>-</v>
      </c>
      <c r="CC72" s="2" t="str">
        <f aca="false">IF(AU72="x","x",IF(AU72="-","-",""))</f>
        <v>-</v>
      </c>
      <c r="CD72" s="2" t="str">
        <f aca="false">IF(AV72="x","x",IF(AV72="-","-",""))</f>
        <v>-</v>
      </c>
      <c r="CE72" s="2" t="str">
        <f aca="false">IF(AW72="x","x",IF(AW72="-","-",""))</f>
        <v>-</v>
      </c>
      <c r="CF72" s="2" t="str">
        <f aca="false">IF(AX72="x","x",IF(AX72="-","-",""))</f>
        <v>-</v>
      </c>
      <c r="CG72" s="2" t="str">
        <f aca="false">IF(AY72="x","x",IF(AY72="-","-",""))</f>
        <v>-</v>
      </c>
      <c r="CH72" s="2" t="str">
        <f aca="false">IF(AZ72="x","x",IF(AZ72="-","-",""))</f>
        <v>-</v>
      </c>
      <c r="CI72" s="2" t="str">
        <f aca="false">IF(BA72="x","x",IF(BA72="-","-",""))</f>
        <v>-</v>
      </c>
      <c r="CJ72" s="2" t="str">
        <f aca="false">IF(BB72="x","x",IF(BB72="-","-",""))</f>
        <v>-</v>
      </c>
      <c r="CK72" s="2" t="str">
        <f aca="false">IF(BC72="x","x",IF(BC72="-","-",""))</f>
        <v>-</v>
      </c>
      <c r="CL72" s="2" t="str">
        <f aca="false">IF(BD72="x","x",IF(BD72="-","-",""))</f>
        <v>-</v>
      </c>
      <c r="CM72" s="2" t="str">
        <f aca="false">IF(BE72="x","x",IF(BE72="-","-",""))</f>
        <v>-</v>
      </c>
      <c r="CN72" s="2" t="str">
        <f aca="false">IF(BF72="x","x",IF(BF72="-","-",""))</f>
        <v>-</v>
      </c>
      <c r="CO72" s="2" t="str">
        <f aca="false">IF(BG72="x","x",IF(BG72="-","-",""))</f>
        <v>-</v>
      </c>
      <c r="CP72" s="2" t="str">
        <f aca="false">IF(BH72="x","x",IF(BH72="-","-",""))</f>
        <v>-</v>
      </c>
      <c r="CQ72" s="2" t="str">
        <f aca="false">IF(BI72="x","x",IF(BI72="-","-",""))</f>
        <v>-</v>
      </c>
      <c r="CR72" s="2" t="str">
        <f aca="false">IF(BJ72="x","x",IF(BJ72="-","-",""))</f>
        <v>-</v>
      </c>
      <c r="CS72" s="2" t="str">
        <f aca="false">IF(BK72="x","x",IF(BK72="-","-",""))</f>
        <v>-</v>
      </c>
      <c r="CT72" s="2" t="str">
        <f aca="false">IF(BL72="x","x",IF(BL72="-","-",""))</f>
        <v>-</v>
      </c>
      <c r="CU72" s="2" t="str">
        <f aca="false">IF(BM72="x","x",IF(BM72="-","-",""))</f>
        <v>-</v>
      </c>
      <c r="CV72" s="2" t="str">
        <f aca="false">IF(BN72="x","x",IF(BN72="-","-",""))</f>
        <v>-</v>
      </c>
      <c r="CW72" s="2" t="str">
        <f aca="false">IF(BO72="x","x",IF(BO72="-","-",""))</f>
        <v>-</v>
      </c>
      <c r="CX72" s="2" t="str">
        <f aca="false">IF(BP72="x","x",IF(BP72="-","-",""))</f>
        <v>-</v>
      </c>
      <c r="CZ72" s="2" t="str">
        <f aca="false">IF(P72="x","x",IF(P72="-","-",""))</f>
        <v>-</v>
      </c>
      <c r="DA72" s="2" t="str">
        <f aca="false">IF(Q72="x","x",IF(Q72="-","-",""))</f>
        <v>-</v>
      </c>
      <c r="DB72" s="2" t="str">
        <f aca="false">IF(R72="x","x",IF(R72="-","-",""))</f>
        <v>-</v>
      </c>
      <c r="DC72" s="2" t="str">
        <f aca="false">IF(S72="x","x",IF(S72="-","-",""))</f>
        <v>-</v>
      </c>
      <c r="DD72" s="2" t="str">
        <f aca="false">IF(T72="x","x",IF(T72="-","-",""))</f>
        <v>-</v>
      </c>
      <c r="DE72" s="2" t="str">
        <f aca="false">IF(U72="x","x",IF(U72="-","-",""))</f>
        <v>-</v>
      </c>
      <c r="DF72" s="2" t="str">
        <f aca="false">IF(V72="x","x",IF(V72="-","-",""))</f>
        <v>-</v>
      </c>
      <c r="DG72" s="2" t="str">
        <f aca="false">IF(W72="x","x",IF(W72="-","-",""))</f>
        <v>-</v>
      </c>
      <c r="DH72" s="2" t="str">
        <f aca="false">IF(X72="x","x",IF(X72="-","-",""))</f>
        <v>-</v>
      </c>
      <c r="DI72" s="2" t="str">
        <f aca="false">IF(Y72="x","x",IF(Y72="-","-",""))</f>
        <v>-</v>
      </c>
      <c r="DJ72" s="2" t="str">
        <f aca="false">IF(Z72="x","x",IF(Z72="-","-",""))</f>
        <v>-</v>
      </c>
      <c r="DK72" s="2" t="str">
        <f aca="false">IF(AA72="x","x",IF(AA72="-","-",""))</f>
        <v>-</v>
      </c>
      <c r="DL72" s="10"/>
      <c r="DM72" s="2" t="str">
        <f aca="false">IF(AC72="x","x",IF(AC72="-","-",""))</f>
        <v>-</v>
      </c>
      <c r="DN72" s="2" t="str">
        <f aca="false">IF(AD72="x","x",IF(AD72="-","-",""))</f>
        <v>-</v>
      </c>
      <c r="DO72" s="2" t="str">
        <f aca="false">IF(AE72="x","x",IF(AE72="-","-",""))</f>
        <v>-</v>
      </c>
      <c r="DP72" s="2" t="str">
        <f aca="false">IF(AF72="x","x",IF(AF72="-","-",""))</f>
        <v>-</v>
      </c>
      <c r="DQ72" s="2" t="str">
        <f aca="false">IF(AG72="x","x",IF(AG72="-","-",""))</f>
        <v>-</v>
      </c>
      <c r="DR72" s="2" t="str">
        <f aca="false">IF(AH72="x","x",IF(AH72="-","-",""))</f>
        <v>-</v>
      </c>
      <c r="DS72" s="2" t="str">
        <f aca="false">IF(AI72="x","x",IF(AI72="-","-",""))</f>
        <v>-</v>
      </c>
      <c r="DT72" s="2" t="str">
        <f aca="false">IF(AJ72="x","x",IF(AJ72="-","-",""))</f>
        <v>-</v>
      </c>
      <c r="DU72" s="2" t="str">
        <f aca="false">IF(AK72="x","x",IF(AK72="-","-",""))</f>
        <v>-</v>
      </c>
      <c r="DV72" s="2" t="str">
        <f aca="false">IF(AL72="x","x",IF(AL72="-","-",""))</f>
        <v>-</v>
      </c>
      <c r="DW72" s="2" t="str">
        <f aca="false">IF(AM72="x","x",IF(AM72="-","-",""))</f>
        <v>-</v>
      </c>
      <c r="DX72" s="2" t="str">
        <f aca="false">IF(AN72="x","x",IF(AN72="-","-",""))</f>
        <v>-</v>
      </c>
    </row>
    <row r="73" customFormat="false" ht="13.8" hidden="false" customHeight="false" outlineLevel="0" collapsed="false">
      <c r="A73" s="10" t="s">
        <v>73</v>
      </c>
      <c r="B73" s="2" t="n">
        <v>72</v>
      </c>
      <c r="C73" s="1" t="s">
        <v>77</v>
      </c>
      <c r="D73" s="10" t="s">
        <v>92</v>
      </c>
      <c r="E73" s="10" t="s">
        <v>127</v>
      </c>
      <c r="F73" s="10"/>
      <c r="G73" s="10" t="s">
        <v>77</v>
      </c>
      <c r="H73" s="10" t="s">
        <v>77</v>
      </c>
      <c r="I73" s="10" t="s">
        <v>77</v>
      </c>
      <c r="J73" s="10" t="s">
        <v>77</v>
      </c>
      <c r="K73" s="10" t="s">
        <v>77</v>
      </c>
      <c r="L73" s="10" t="s">
        <v>77</v>
      </c>
      <c r="M73" s="2" t="n">
        <v>20</v>
      </c>
      <c r="N73" s="10" t="s">
        <v>77</v>
      </c>
      <c r="O73" s="10"/>
      <c r="P73" s="10" t="s">
        <v>77</v>
      </c>
      <c r="Q73" s="10" t="s">
        <v>77</v>
      </c>
      <c r="R73" s="10" t="s">
        <v>77</v>
      </c>
      <c r="S73" s="10" t="s">
        <v>77</v>
      </c>
      <c r="T73" s="10" t="s">
        <v>77</v>
      </c>
      <c r="U73" s="10" t="s">
        <v>77</v>
      </c>
      <c r="V73" s="10" t="s">
        <v>77</v>
      </c>
      <c r="W73" s="10" t="s">
        <v>77</v>
      </c>
      <c r="X73" s="10" t="s">
        <v>77</v>
      </c>
      <c r="Y73" s="10" t="s">
        <v>77</v>
      </c>
      <c r="Z73" s="10" t="s">
        <v>77</v>
      </c>
      <c r="AA73" s="10" t="s">
        <v>77</v>
      </c>
      <c r="AB73" s="10"/>
      <c r="AC73" s="10" t="s">
        <v>77</v>
      </c>
      <c r="AD73" s="10" t="s">
        <v>77</v>
      </c>
      <c r="AE73" s="10" t="s">
        <v>77</v>
      </c>
      <c r="AF73" s="10" t="s">
        <v>77</v>
      </c>
      <c r="AG73" s="10" t="s">
        <v>77</v>
      </c>
      <c r="AH73" s="10" t="s">
        <v>77</v>
      </c>
      <c r="AI73" s="10" t="s">
        <v>77</v>
      </c>
      <c r="AJ73" s="10" t="s">
        <v>77</v>
      </c>
      <c r="AK73" s="10" t="s">
        <v>77</v>
      </c>
      <c r="AL73" s="10" t="s">
        <v>77</v>
      </c>
      <c r="AM73" s="10" t="s">
        <v>77</v>
      </c>
      <c r="AN73" s="10" t="s">
        <v>77</v>
      </c>
      <c r="AO73" s="10"/>
      <c r="AP73" s="10" t="s">
        <v>73</v>
      </c>
      <c r="AQ73" s="10" t="s">
        <v>73</v>
      </c>
      <c r="AS73" s="10" t="s">
        <v>77</v>
      </c>
      <c r="AT73" s="10" t="s">
        <v>77</v>
      </c>
      <c r="AU73" s="10" t="s">
        <v>77</v>
      </c>
      <c r="AV73" s="10" t="s">
        <v>77</v>
      </c>
      <c r="AW73" s="10" t="s">
        <v>77</v>
      </c>
      <c r="AX73" s="10" t="s">
        <v>77</v>
      </c>
      <c r="AY73" s="10" t="s">
        <v>77</v>
      </c>
      <c r="AZ73" s="10" t="s">
        <v>77</v>
      </c>
      <c r="BA73" s="10" t="s">
        <v>77</v>
      </c>
      <c r="BB73" s="10" t="s">
        <v>77</v>
      </c>
      <c r="BC73" s="10" t="s">
        <v>77</v>
      </c>
      <c r="BD73" s="10" t="s">
        <v>77</v>
      </c>
      <c r="BE73" s="10" t="s">
        <v>77</v>
      </c>
      <c r="BF73" s="10" t="s">
        <v>77</v>
      </c>
      <c r="BG73" s="10" t="s">
        <v>77</v>
      </c>
      <c r="BH73" s="10" t="s">
        <v>77</v>
      </c>
      <c r="BI73" s="10" t="s">
        <v>77</v>
      </c>
      <c r="BJ73" s="10" t="s">
        <v>77</v>
      </c>
      <c r="BK73" s="10" t="s">
        <v>77</v>
      </c>
      <c r="BL73" s="10" t="s">
        <v>77</v>
      </c>
      <c r="BM73" s="10" t="s">
        <v>77</v>
      </c>
      <c r="BN73" s="10" t="s">
        <v>77</v>
      </c>
      <c r="BO73" s="10" t="s">
        <v>77</v>
      </c>
      <c r="BP73" s="10" t="s">
        <v>77</v>
      </c>
      <c r="BR73" s="10" t="s">
        <v>77</v>
      </c>
      <c r="BS73" s="10" t="s">
        <v>77</v>
      </c>
      <c r="BT73" s="10" t="s">
        <v>77</v>
      </c>
      <c r="BU73" s="10" t="s">
        <v>77</v>
      </c>
      <c r="BV73" s="10" t="s">
        <v>77</v>
      </c>
      <c r="BW73" s="10" t="s">
        <v>77</v>
      </c>
      <c r="BX73" s="10" t="s">
        <v>77</v>
      </c>
      <c r="BY73" s="10" t="s">
        <v>77</v>
      </c>
      <c r="CA73" s="2" t="str">
        <f aca="false">IF(AS73="x","x",IF(AS73="-","-",""))</f>
        <v>-</v>
      </c>
      <c r="CB73" s="2" t="str">
        <f aca="false">IF(AT73="x","x",IF(AT73="-","-",""))</f>
        <v>-</v>
      </c>
      <c r="CC73" s="2" t="str">
        <f aca="false">IF(AU73="x","x",IF(AU73="-","-",""))</f>
        <v>-</v>
      </c>
      <c r="CD73" s="2" t="str">
        <f aca="false">IF(AV73="x","x",IF(AV73="-","-",""))</f>
        <v>-</v>
      </c>
      <c r="CE73" s="2" t="str">
        <f aca="false">IF(AW73="x","x",IF(AW73="-","-",""))</f>
        <v>-</v>
      </c>
      <c r="CF73" s="2" t="str">
        <f aca="false">IF(AX73="x","x",IF(AX73="-","-",""))</f>
        <v>-</v>
      </c>
      <c r="CG73" s="2" t="str">
        <f aca="false">IF(AY73="x","x",IF(AY73="-","-",""))</f>
        <v>-</v>
      </c>
      <c r="CH73" s="2" t="str">
        <f aca="false">IF(AZ73="x","x",IF(AZ73="-","-",""))</f>
        <v>-</v>
      </c>
      <c r="CI73" s="2" t="str">
        <f aca="false">IF(BA73="x","x",IF(BA73="-","-",""))</f>
        <v>-</v>
      </c>
      <c r="CJ73" s="2" t="str">
        <f aca="false">IF(BB73="x","x",IF(BB73="-","-",""))</f>
        <v>-</v>
      </c>
      <c r="CK73" s="2" t="str">
        <f aca="false">IF(BC73="x","x",IF(BC73="-","-",""))</f>
        <v>-</v>
      </c>
      <c r="CL73" s="2" t="str">
        <f aca="false">IF(BD73="x","x",IF(BD73="-","-",""))</f>
        <v>-</v>
      </c>
      <c r="CM73" s="2" t="str">
        <f aca="false">IF(BE73="x","x",IF(BE73="-","-",""))</f>
        <v>-</v>
      </c>
      <c r="CN73" s="2" t="str">
        <f aca="false">IF(BF73="x","x",IF(BF73="-","-",""))</f>
        <v>-</v>
      </c>
      <c r="CO73" s="2" t="str">
        <f aca="false">IF(BG73="x","x",IF(BG73="-","-",""))</f>
        <v>-</v>
      </c>
      <c r="CP73" s="2" t="str">
        <f aca="false">IF(BH73="x","x",IF(BH73="-","-",""))</f>
        <v>-</v>
      </c>
      <c r="CQ73" s="2" t="str">
        <f aca="false">IF(BI73="x","x",IF(BI73="-","-",""))</f>
        <v>-</v>
      </c>
      <c r="CR73" s="2" t="str">
        <f aca="false">IF(BJ73="x","x",IF(BJ73="-","-",""))</f>
        <v>-</v>
      </c>
      <c r="CS73" s="2" t="str">
        <f aca="false">IF(BK73="x","x",IF(BK73="-","-",""))</f>
        <v>-</v>
      </c>
      <c r="CT73" s="2" t="str">
        <f aca="false">IF(BL73="x","x",IF(BL73="-","-",""))</f>
        <v>-</v>
      </c>
      <c r="CU73" s="2" t="str">
        <f aca="false">IF(BM73="x","x",IF(BM73="-","-",""))</f>
        <v>-</v>
      </c>
      <c r="CV73" s="2" t="str">
        <f aca="false">IF(BN73="x","x",IF(BN73="-","-",""))</f>
        <v>-</v>
      </c>
      <c r="CW73" s="2" t="str">
        <f aca="false">IF(BO73="x","x",IF(BO73="-","-",""))</f>
        <v>-</v>
      </c>
      <c r="CX73" s="2" t="str">
        <f aca="false">IF(BP73="x","x",IF(BP73="-","-",""))</f>
        <v>-</v>
      </c>
      <c r="CZ73" s="2" t="str">
        <f aca="false">IF(P73="x","x",IF(P73="-","-",""))</f>
        <v>-</v>
      </c>
      <c r="DA73" s="2" t="str">
        <f aca="false">IF(Q73="x","x",IF(Q73="-","-",""))</f>
        <v>-</v>
      </c>
      <c r="DB73" s="2" t="str">
        <f aca="false">IF(R73="x","x",IF(R73="-","-",""))</f>
        <v>-</v>
      </c>
      <c r="DC73" s="2" t="str">
        <f aca="false">IF(S73="x","x",IF(S73="-","-",""))</f>
        <v>-</v>
      </c>
      <c r="DD73" s="2" t="str">
        <f aca="false">IF(T73="x","x",IF(T73="-","-",""))</f>
        <v>-</v>
      </c>
      <c r="DE73" s="2" t="str">
        <f aca="false">IF(U73="x","x",IF(U73="-","-",""))</f>
        <v>-</v>
      </c>
      <c r="DF73" s="2" t="str">
        <f aca="false">IF(V73="x","x",IF(V73="-","-",""))</f>
        <v>-</v>
      </c>
      <c r="DG73" s="2" t="str">
        <f aca="false">IF(W73="x","x",IF(W73="-","-",""))</f>
        <v>-</v>
      </c>
      <c r="DH73" s="2" t="str">
        <f aca="false">IF(X73="x","x",IF(X73="-","-",""))</f>
        <v>-</v>
      </c>
      <c r="DI73" s="2" t="str">
        <f aca="false">IF(Y73="x","x",IF(Y73="-","-",""))</f>
        <v>-</v>
      </c>
      <c r="DJ73" s="2" t="str">
        <f aca="false">IF(Z73="x","x",IF(Z73="-","-",""))</f>
        <v>-</v>
      </c>
      <c r="DK73" s="2" t="str">
        <f aca="false">IF(AA73="x","x",IF(AA73="-","-",""))</f>
        <v>-</v>
      </c>
      <c r="DL73" s="10"/>
      <c r="DM73" s="2" t="str">
        <f aca="false">IF(AC73="x","x",IF(AC73="-","-",""))</f>
        <v>-</v>
      </c>
      <c r="DN73" s="2" t="str">
        <f aca="false">IF(AD73="x","x",IF(AD73="-","-",""))</f>
        <v>-</v>
      </c>
      <c r="DO73" s="2" t="str">
        <f aca="false">IF(AE73="x","x",IF(AE73="-","-",""))</f>
        <v>-</v>
      </c>
      <c r="DP73" s="2" t="str">
        <f aca="false">IF(AF73="x","x",IF(AF73="-","-",""))</f>
        <v>-</v>
      </c>
      <c r="DQ73" s="2" t="str">
        <f aca="false">IF(AG73="x","x",IF(AG73="-","-",""))</f>
        <v>-</v>
      </c>
      <c r="DR73" s="2" t="str">
        <f aca="false">IF(AH73="x","x",IF(AH73="-","-",""))</f>
        <v>-</v>
      </c>
      <c r="DS73" s="2" t="str">
        <f aca="false">IF(AI73="x","x",IF(AI73="-","-",""))</f>
        <v>-</v>
      </c>
      <c r="DT73" s="2" t="str">
        <f aca="false">IF(AJ73="x","x",IF(AJ73="-","-",""))</f>
        <v>-</v>
      </c>
      <c r="DU73" s="2" t="str">
        <f aca="false">IF(AK73="x","x",IF(AK73="-","-",""))</f>
        <v>-</v>
      </c>
      <c r="DV73" s="2" t="str">
        <f aca="false">IF(AL73="x","x",IF(AL73="-","-",""))</f>
        <v>-</v>
      </c>
      <c r="DW73" s="2" t="str">
        <f aca="false">IF(AM73="x","x",IF(AM73="-","-",""))</f>
        <v>-</v>
      </c>
      <c r="DX73" s="2" t="str">
        <f aca="false">IF(AN73="x","x",IF(AN73="-","-",""))</f>
        <v>-</v>
      </c>
    </row>
    <row r="74" customFormat="false" ht="13.8" hidden="false" customHeight="false" outlineLevel="0" collapsed="false">
      <c r="A74" s="10" t="s">
        <v>73</v>
      </c>
      <c r="B74" s="2" t="n">
        <v>73</v>
      </c>
      <c r="C74" s="1" t="s">
        <v>77</v>
      </c>
      <c r="D74" s="10" t="s">
        <v>92</v>
      </c>
      <c r="E74" s="10" t="s">
        <v>127</v>
      </c>
      <c r="F74" s="10"/>
      <c r="G74" s="10" t="s">
        <v>77</v>
      </c>
      <c r="H74" s="10" t="s">
        <v>77</v>
      </c>
      <c r="I74" s="10" t="s">
        <v>77</v>
      </c>
      <c r="J74" s="10" t="s">
        <v>77</v>
      </c>
      <c r="K74" s="10" t="s">
        <v>77</v>
      </c>
      <c r="L74" s="10" t="s">
        <v>77</v>
      </c>
      <c r="M74" s="2" t="n">
        <v>20</v>
      </c>
      <c r="N74" s="10" t="s">
        <v>77</v>
      </c>
      <c r="O74" s="10"/>
      <c r="P74" s="10" t="s">
        <v>77</v>
      </c>
      <c r="Q74" s="10" t="s">
        <v>77</v>
      </c>
      <c r="R74" s="10" t="s">
        <v>77</v>
      </c>
      <c r="S74" s="10" t="s">
        <v>77</v>
      </c>
      <c r="T74" s="10" t="s">
        <v>77</v>
      </c>
      <c r="U74" s="10" t="s">
        <v>77</v>
      </c>
      <c r="V74" s="10" t="s">
        <v>77</v>
      </c>
      <c r="W74" s="10" t="s">
        <v>77</v>
      </c>
      <c r="X74" s="10" t="s">
        <v>77</v>
      </c>
      <c r="Y74" s="10" t="s">
        <v>77</v>
      </c>
      <c r="Z74" s="10" t="s">
        <v>77</v>
      </c>
      <c r="AA74" s="10" t="s">
        <v>77</v>
      </c>
      <c r="AB74" s="10"/>
      <c r="AC74" s="10" t="s">
        <v>77</v>
      </c>
      <c r="AD74" s="10" t="s">
        <v>77</v>
      </c>
      <c r="AE74" s="10" t="s">
        <v>77</v>
      </c>
      <c r="AF74" s="10" t="s">
        <v>77</v>
      </c>
      <c r="AG74" s="10" t="s">
        <v>77</v>
      </c>
      <c r="AH74" s="10" t="s">
        <v>77</v>
      </c>
      <c r="AI74" s="10" t="s">
        <v>77</v>
      </c>
      <c r="AJ74" s="10" t="s">
        <v>77</v>
      </c>
      <c r="AK74" s="10" t="s">
        <v>77</v>
      </c>
      <c r="AL74" s="10" t="s">
        <v>77</v>
      </c>
      <c r="AM74" s="10" t="s">
        <v>77</v>
      </c>
      <c r="AN74" s="10" t="s">
        <v>77</v>
      </c>
      <c r="AO74" s="10"/>
      <c r="AP74" s="10" t="s">
        <v>73</v>
      </c>
      <c r="AQ74" s="10" t="s">
        <v>73</v>
      </c>
      <c r="AS74" s="10" t="s">
        <v>77</v>
      </c>
      <c r="AT74" s="10" t="s">
        <v>77</v>
      </c>
      <c r="AU74" s="10" t="s">
        <v>77</v>
      </c>
      <c r="AV74" s="10" t="s">
        <v>77</v>
      </c>
      <c r="AW74" s="10" t="s">
        <v>77</v>
      </c>
      <c r="AX74" s="10" t="s">
        <v>77</v>
      </c>
      <c r="AY74" s="10" t="s">
        <v>77</v>
      </c>
      <c r="AZ74" s="10" t="s">
        <v>77</v>
      </c>
      <c r="BA74" s="10" t="s">
        <v>77</v>
      </c>
      <c r="BB74" s="10" t="s">
        <v>77</v>
      </c>
      <c r="BC74" s="10" t="s">
        <v>77</v>
      </c>
      <c r="BD74" s="10" t="s">
        <v>77</v>
      </c>
      <c r="BE74" s="10" t="s">
        <v>77</v>
      </c>
      <c r="BF74" s="10" t="s">
        <v>77</v>
      </c>
      <c r="BG74" s="10" t="s">
        <v>77</v>
      </c>
      <c r="BH74" s="10" t="s">
        <v>77</v>
      </c>
      <c r="BI74" s="10" t="s">
        <v>77</v>
      </c>
      <c r="BJ74" s="10" t="s">
        <v>77</v>
      </c>
      <c r="BK74" s="10" t="s">
        <v>77</v>
      </c>
      <c r="BL74" s="10" t="s">
        <v>77</v>
      </c>
      <c r="BM74" s="10" t="s">
        <v>77</v>
      </c>
      <c r="BN74" s="10" t="s">
        <v>77</v>
      </c>
      <c r="BO74" s="10" t="s">
        <v>77</v>
      </c>
      <c r="BP74" s="10" t="s">
        <v>77</v>
      </c>
      <c r="BR74" s="10" t="s">
        <v>77</v>
      </c>
      <c r="BS74" s="10" t="s">
        <v>77</v>
      </c>
      <c r="BT74" s="10" t="s">
        <v>77</v>
      </c>
      <c r="BU74" s="10" t="s">
        <v>77</v>
      </c>
      <c r="BV74" s="10" t="s">
        <v>77</v>
      </c>
      <c r="BW74" s="10" t="s">
        <v>77</v>
      </c>
      <c r="BX74" s="10" t="s">
        <v>77</v>
      </c>
      <c r="BY74" s="10" t="s">
        <v>77</v>
      </c>
      <c r="CA74" s="2" t="str">
        <f aca="false">IF(AS74="x","x",IF(AS74="-","-",""))</f>
        <v>-</v>
      </c>
      <c r="CB74" s="2" t="str">
        <f aca="false">IF(AT74="x","x",IF(AT74="-","-",""))</f>
        <v>-</v>
      </c>
      <c r="CC74" s="2" t="str">
        <f aca="false">IF(AU74="x","x",IF(AU74="-","-",""))</f>
        <v>-</v>
      </c>
      <c r="CD74" s="2" t="str">
        <f aca="false">IF(AV74="x","x",IF(AV74="-","-",""))</f>
        <v>-</v>
      </c>
      <c r="CE74" s="2" t="str">
        <f aca="false">IF(AW74="x","x",IF(AW74="-","-",""))</f>
        <v>-</v>
      </c>
      <c r="CF74" s="2" t="str">
        <f aca="false">IF(AX74="x","x",IF(AX74="-","-",""))</f>
        <v>-</v>
      </c>
      <c r="CG74" s="2" t="str">
        <f aca="false">IF(AY74="x","x",IF(AY74="-","-",""))</f>
        <v>-</v>
      </c>
      <c r="CH74" s="2" t="str">
        <f aca="false">IF(AZ74="x","x",IF(AZ74="-","-",""))</f>
        <v>-</v>
      </c>
      <c r="CI74" s="2" t="str">
        <f aca="false">IF(BA74="x","x",IF(BA74="-","-",""))</f>
        <v>-</v>
      </c>
      <c r="CJ74" s="2" t="str">
        <f aca="false">IF(BB74="x","x",IF(BB74="-","-",""))</f>
        <v>-</v>
      </c>
      <c r="CK74" s="2" t="str">
        <f aca="false">IF(BC74="x","x",IF(BC74="-","-",""))</f>
        <v>-</v>
      </c>
      <c r="CL74" s="2" t="str">
        <f aca="false">IF(BD74="x","x",IF(BD74="-","-",""))</f>
        <v>-</v>
      </c>
      <c r="CM74" s="2" t="str">
        <f aca="false">IF(BE74="x","x",IF(BE74="-","-",""))</f>
        <v>-</v>
      </c>
      <c r="CN74" s="2" t="str">
        <f aca="false">IF(BF74="x","x",IF(BF74="-","-",""))</f>
        <v>-</v>
      </c>
      <c r="CO74" s="2" t="str">
        <f aca="false">IF(BG74="x","x",IF(BG74="-","-",""))</f>
        <v>-</v>
      </c>
      <c r="CP74" s="2" t="str">
        <f aca="false">IF(BH74="x","x",IF(BH74="-","-",""))</f>
        <v>-</v>
      </c>
      <c r="CQ74" s="2" t="str">
        <f aca="false">IF(BI74="x","x",IF(BI74="-","-",""))</f>
        <v>-</v>
      </c>
      <c r="CR74" s="2" t="str">
        <f aca="false">IF(BJ74="x","x",IF(BJ74="-","-",""))</f>
        <v>-</v>
      </c>
      <c r="CS74" s="2" t="str">
        <f aca="false">IF(BK74="x","x",IF(BK74="-","-",""))</f>
        <v>-</v>
      </c>
      <c r="CT74" s="2" t="str">
        <f aca="false">IF(BL74="x","x",IF(BL74="-","-",""))</f>
        <v>-</v>
      </c>
      <c r="CU74" s="2" t="str">
        <f aca="false">IF(BM74="x","x",IF(BM74="-","-",""))</f>
        <v>-</v>
      </c>
      <c r="CV74" s="2" t="str">
        <f aca="false">IF(BN74="x","x",IF(BN74="-","-",""))</f>
        <v>-</v>
      </c>
      <c r="CW74" s="2" t="str">
        <f aca="false">IF(BO74="x","x",IF(BO74="-","-",""))</f>
        <v>-</v>
      </c>
      <c r="CX74" s="2" t="str">
        <f aca="false">IF(BP74="x","x",IF(BP74="-","-",""))</f>
        <v>-</v>
      </c>
      <c r="CZ74" s="2" t="str">
        <f aca="false">IF(P74="x","x",IF(P74="-","-",""))</f>
        <v>-</v>
      </c>
      <c r="DA74" s="2" t="str">
        <f aca="false">IF(Q74="x","x",IF(Q74="-","-",""))</f>
        <v>-</v>
      </c>
      <c r="DB74" s="2" t="str">
        <f aca="false">IF(R74="x","x",IF(R74="-","-",""))</f>
        <v>-</v>
      </c>
      <c r="DC74" s="2" t="str">
        <f aca="false">IF(S74="x","x",IF(S74="-","-",""))</f>
        <v>-</v>
      </c>
      <c r="DD74" s="2" t="str">
        <f aca="false">IF(T74="x","x",IF(T74="-","-",""))</f>
        <v>-</v>
      </c>
      <c r="DE74" s="2" t="str">
        <f aca="false">IF(U74="x","x",IF(U74="-","-",""))</f>
        <v>-</v>
      </c>
      <c r="DF74" s="2" t="str">
        <f aca="false">IF(V74="x","x",IF(V74="-","-",""))</f>
        <v>-</v>
      </c>
      <c r="DG74" s="2" t="str">
        <f aca="false">IF(W74="x","x",IF(W74="-","-",""))</f>
        <v>-</v>
      </c>
      <c r="DH74" s="2" t="str">
        <f aca="false">IF(X74="x","x",IF(X74="-","-",""))</f>
        <v>-</v>
      </c>
      <c r="DI74" s="2" t="str">
        <f aca="false">IF(Y74="x","x",IF(Y74="-","-",""))</f>
        <v>-</v>
      </c>
      <c r="DJ74" s="2" t="str">
        <f aca="false">IF(Z74="x","x",IF(Z74="-","-",""))</f>
        <v>-</v>
      </c>
      <c r="DK74" s="2" t="str">
        <f aca="false">IF(AA74="x","x",IF(AA74="-","-",""))</f>
        <v>-</v>
      </c>
      <c r="DL74" s="10"/>
      <c r="DM74" s="2" t="str">
        <f aca="false">IF(AC74="x","x",IF(AC74="-","-",""))</f>
        <v>-</v>
      </c>
      <c r="DN74" s="2" t="str">
        <f aca="false">IF(AD74="x","x",IF(AD74="-","-",""))</f>
        <v>-</v>
      </c>
      <c r="DO74" s="2" t="str">
        <f aca="false">IF(AE74="x","x",IF(AE74="-","-",""))</f>
        <v>-</v>
      </c>
      <c r="DP74" s="2" t="str">
        <f aca="false">IF(AF74="x","x",IF(AF74="-","-",""))</f>
        <v>-</v>
      </c>
      <c r="DQ74" s="2" t="str">
        <f aca="false">IF(AG74="x","x",IF(AG74="-","-",""))</f>
        <v>-</v>
      </c>
      <c r="DR74" s="2" t="str">
        <f aca="false">IF(AH74="x","x",IF(AH74="-","-",""))</f>
        <v>-</v>
      </c>
      <c r="DS74" s="2" t="str">
        <f aca="false">IF(AI74="x","x",IF(AI74="-","-",""))</f>
        <v>-</v>
      </c>
      <c r="DT74" s="2" t="str">
        <f aca="false">IF(AJ74="x","x",IF(AJ74="-","-",""))</f>
        <v>-</v>
      </c>
      <c r="DU74" s="2" t="str">
        <f aca="false">IF(AK74="x","x",IF(AK74="-","-",""))</f>
        <v>-</v>
      </c>
      <c r="DV74" s="2" t="str">
        <f aca="false">IF(AL74="x","x",IF(AL74="-","-",""))</f>
        <v>-</v>
      </c>
      <c r="DW74" s="2" t="str">
        <f aca="false">IF(AM74="x","x",IF(AM74="-","-",""))</f>
        <v>-</v>
      </c>
      <c r="DX74" s="2" t="str">
        <f aca="false">IF(AN74="x","x",IF(AN74="-","-",""))</f>
        <v>-</v>
      </c>
    </row>
    <row r="75" customFormat="false" ht="13.8" hidden="false" customHeight="false" outlineLevel="0" collapsed="false">
      <c r="A75" s="10" t="s">
        <v>73</v>
      </c>
      <c r="B75" s="2" t="n">
        <v>74</v>
      </c>
      <c r="C75" s="1" t="s">
        <v>77</v>
      </c>
      <c r="D75" s="10" t="s">
        <v>92</v>
      </c>
      <c r="E75" s="10" t="s">
        <v>127</v>
      </c>
      <c r="F75" s="10"/>
      <c r="G75" s="10" t="s">
        <v>77</v>
      </c>
      <c r="H75" s="10" t="s">
        <v>77</v>
      </c>
      <c r="I75" s="10" t="s">
        <v>77</v>
      </c>
      <c r="J75" s="10" t="s">
        <v>77</v>
      </c>
      <c r="K75" s="10" t="s">
        <v>77</v>
      </c>
      <c r="L75" s="10" t="s">
        <v>77</v>
      </c>
      <c r="M75" s="2" t="n">
        <v>20</v>
      </c>
      <c r="N75" s="10" t="s">
        <v>77</v>
      </c>
      <c r="O75" s="10"/>
      <c r="P75" s="10" t="s">
        <v>77</v>
      </c>
      <c r="Q75" s="10" t="s">
        <v>77</v>
      </c>
      <c r="R75" s="10" t="s">
        <v>77</v>
      </c>
      <c r="S75" s="10" t="s">
        <v>77</v>
      </c>
      <c r="T75" s="10" t="s">
        <v>77</v>
      </c>
      <c r="U75" s="10" t="s">
        <v>77</v>
      </c>
      <c r="V75" s="10" t="s">
        <v>77</v>
      </c>
      <c r="W75" s="10" t="s">
        <v>77</v>
      </c>
      <c r="X75" s="10" t="s">
        <v>77</v>
      </c>
      <c r="Y75" s="10" t="s">
        <v>77</v>
      </c>
      <c r="Z75" s="10" t="s">
        <v>77</v>
      </c>
      <c r="AA75" s="10" t="s">
        <v>77</v>
      </c>
      <c r="AB75" s="10"/>
      <c r="AC75" s="10" t="s">
        <v>77</v>
      </c>
      <c r="AD75" s="10" t="s">
        <v>77</v>
      </c>
      <c r="AE75" s="10" t="s">
        <v>77</v>
      </c>
      <c r="AF75" s="10" t="s">
        <v>77</v>
      </c>
      <c r="AG75" s="10" t="s">
        <v>77</v>
      </c>
      <c r="AH75" s="10" t="s">
        <v>77</v>
      </c>
      <c r="AI75" s="10" t="s">
        <v>77</v>
      </c>
      <c r="AJ75" s="10" t="s">
        <v>77</v>
      </c>
      <c r="AK75" s="10" t="s">
        <v>77</v>
      </c>
      <c r="AL75" s="10" t="s">
        <v>77</v>
      </c>
      <c r="AM75" s="10" t="s">
        <v>77</v>
      </c>
      <c r="AN75" s="10" t="s">
        <v>77</v>
      </c>
      <c r="AO75" s="10"/>
      <c r="AP75" s="10" t="s">
        <v>73</v>
      </c>
      <c r="AQ75" s="10" t="s">
        <v>73</v>
      </c>
      <c r="AS75" s="10" t="s">
        <v>77</v>
      </c>
      <c r="AT75" s="10" t="s">
        <v>77</v>
      </c>
      <c r="AU75" s="10" t="s">
        <v>77</v>
      </c>
      <c r="AV75" s="10" t="s">
        <v>77</v>
      </c>
      <c r="AW75" s="10" t="s">
        <v>77</v>
      </c>
      <c r="AX75" s="10" t="s">
        <v>77</v>
      </c>
      <c r="AY75" s="10" t="s">
        <v>77</v>
      </c>
      <c r="AZ75" s="10" t="s">
        <v>77</v>
      </c>
      <c r="BA75" s="10" t="s">
        <v>77</v>
      </c>
      <c r="BB75" s="10" t="s">
        <v>77</v>
      </c>
      <c r="BC75" s="10" t="s">
        <v>77</v>
      </c>
      <c r="BD75" s="10" t="s">
        <v>77</v>
      </c>
      <c r="BE75" s="10" t="s">
        <v>77</v>
      </c>
      <c r="BF75" s="10" t="s">
        <v>77</v>
      </c>
      <c r="BG75" s="10" t="s">
        <v>77</v>
      </c>
      <c r="BH75" s="10" t="s">
        <v>77</v>
      </c>
      <c r="BI75" s="10" t="s">
        <v>77</v>
      </c>
      <c r="BJ75" s="10" t="s">
        <v>77</v>
      </c>
      <c r="BK75" s="10" t="s">
        <v>77</v>
      </c>
      <c r="BL75" s="10" t="s">
        <v>77</v>
      </c>
      <c r="BM75" s="10" t="s">
        <v>77</v>
      </c>
      <c r="BN75" s="10" t="s">
        <v>77</v>
      </c>
      <c r="BO75" s="10" t="s">
        <v>77</v>
      </c>
      <c r="BP75" s="10" t="s">
        <v>77</v>
      </c>
      <c r="BR75" s="10" t="s">
        <v>77</v>
      </c>
      <c r="BS75" s="10" t="s">
        <v>77</v>
      </c>
      <c r="BT75" s="10" t="s">
        <v>77</v>
      </c>
      <c r="BU75" s="10" t="s">
        <v>77</v>
      </c>
      <c r="BV75" s="10" t="s">
        <v>77</v>
      </c>
      <c r="BW75" s="10" t="s">
        <v>77</v>
      </c>
      <c r="BX75" s="10" t="s">
        <v>77</v>
      </c>
      <c r="BY75" s="10" t="s">
        <v>77</v>
      </c>
      <c r="CA75" s="2" t="str">
        <f aca="false">IF(AS75="x","x",IF(AS75="-","-",""))</f>
        <v>-</v>
      </c>
      <c r="CB75" s="2" t="str">
        <f aca="false">IF(AT75="x","x",IF(AT75="-","-",""))</f>
        <v>-</v>
      </c>
      <c r="CC75" s="2" t="str">
        <f aca="false">IF(AU75="x","x",IF(AU75="-","-",""))</f>
        <v>-</v>
      </c>
      <c r="CD75" s="2" t="str">
        <f aca="false">IF(AV75="x","x",IF(AV75="-","-",""))</f>
        <v>-</v>
      </c>
      <c r="CE75" s="2" t="str">
        <f aca="false">IF(AW75="x","x",IF(AW75="-","-",""))</f>
        <v>-</v>
      </c>
      <c r="CF75" s="2" t="str">
        <f aca="false">IF(AX75="x","x",IF(AX75="-","-",""))</f>
        <v>-</v>
      </c>
      <c r="CG75" s="2" t="str">
        <f aca="false">IF(AY75="x","x",IF(AY75="-","-",""))</f>
        <v>-</v>
      </c>
      <c r="CH75" s="2" t="str">
        <f aca="false">IF(AZ75="x","x",IF(AZ75="-","-",""))</f>
        <v>-</v>
      </c>
      <c r="CI75" s="2" t="str">
        <f aca="false">IF(BA75="x","x",IF(BA75="-","-",""))</f>
        <v>-</v>
      </c>
      <c r="CJ75" s="2" t="str">
        <f aca="false">IF(BB75="x","x",IF(BB75="-","-",""))</f>
        <v>-</v>
      </c>
      <c r="CK75" s="2" t="str">
        <f aca="false">IF(BC75="x","x",IF(BC75="-","-",""))</f>
        <v>-</v>
      </c>
      <c r="CL75" s="2" t="str">
        <f aca="false">IF(BD75="x","x",IF(BD75="-","-",""))</f>
        <v>-</v>
      </c>
      <c r="CM75" s="2" t="str">
        <f aca="false">IF(BE75="x","x",IF(BE75="-","-",""))</f>
        <v>-</v>
      </c>
      <c r="CN75" s="2" t="str">
        <f aca="false">IF(BF75="x","x",IF(BF75="-","-",""))</f>
        <v>-</v>
      </c>
      <c r="CO75" s="2" t="str">
        <f aca="false">IF(BG75="x","x",IF(BG75="-","-",""))</f>
        <v>-</v>
      </c>
      <c r="CP75" s="2" t="str">
        <f aca="false">IF(BH75="x","x",IF(BH75="-","-",""))</f>
        <v>-</v>
      </c>
      <c r="CQ75" s="2" t="str">
        <f aca="false">IF(BI75="x","x",IF(BI75="-","-",""))</f>
        <v>-</v>
      </c>
      <c r="CR75" s="2" t="str">
        <f aca="false">IF(BJ75="x","x",IF(BJ75="-","-",""))</f>
        <v>-</v>
      </c>
      <c r="CS75" s="2" t="str">
        <f aca="false">IF(BK75="x","x",IF(BK75="-","-",""))</f>
        <v>-</v>
      </c>
      <c r="CT75" s="2" t="str">
        <f aca="false">IF(BL75="x","x",IF(BL75="-","-",""))</f>
        <v>-</v>
      </c>
      <c r="CU75" s="2" t="str">
        <f aca="false">IF(BM75="x","x",IF(BM75="-","-",""))</f>
        <v>-</v>
      </c>
      <c r="CV75" s="2" t="str">
        <f aca="false">IF(BN75="x","x",IF(BN75="-","-",""))</f>
        <v>-</v>
      </c>
      <c r="CW75" s="2" t="str">
        <f aca="false">IF(BO75="x","x",IF(BO75="-","-",""))</f>
        <v>-</v>
      </c>
      <c r="CX75" s="2" t="str">
        <f aca="false">IF(BP75="x","x",IF(BP75="-","-",""))</f>
        <v>-</v>
      </c>
      <c r="CZ75" s="2" t="str">
        <f aca="false">IF(P75="x","x",IF(P75="-","-",""))</f>
        <v>-</v>
      </c>
      <c r="DA75" s="2" t="str">
        <f aca="false">IF(Q75="x","x",IF(Q75="-","-",""))</f>
        <v>-</v>
      </c>
      <c r="DB75" s="2" t="str">
        <f aca="false">IF(R75="x","x",IF(R75="-","-",""))</f>
        <v>-</v>
      </c>
      <c r="DC75" s="2" t="str">
        <f aca="false">IF(S75="x","x",IF(S75="-","-",""))</f>
        <v>-</v>
      </c>
      <c r="DD75" s="2" t="str">
        <f aca="false">IF(T75="x","x",IF(T75="-","-",""))</f>
        <v>-</v>
      </c>
      <c r="DE75" s="2" t="str">
        <f aca="false">IF(U75="x","x",IF(U75="-","-",""))</f>
        <v>-</v>
      </c>
      <c r="DF75" s="2" t="str">
        <f aca="false">IF(V75="x","x",IF(V75="-","-",""))</f>
        <v>-</v>
      </c>
      <c r="DG75" s="2" t="str">
        <f aca="false">IF(W75="x","x",IF(W75="-","-",""))</f>
        <v>-</v>
      </c>
      <c r="DH75" s="2" t="str">
        <f aca="false">IF(X75="x","x",IF(X75="-","-",""))</f>
        <v>-</v>
      </c>
      <c r="DI75" s="2" t="str">
        <f aca="false">IF(Y75="x","x",IF(Y75="-","-",""))</f>
        <v>-</v>
      </c>
      <c r="DJ75" s="2" t="str">
        <f aca="false">IF(Z75="x","x",IF(Z75="-","-",""))</f>
        <v>-</v>
      </c>
      <c r="DK75" s="2" t="str">
        <f aca="false">IF(AA75="x","x",IF(AA75="-","-",""))</f>
        <v>-</v>
      </c>
      <c r="DL75" s="10"/>
      <c r="DM75" s="2" t="str">
        <f aca="false">IF(AC75="x","x",IF(AC75="-","-",""))</f>
        <v>-</v>
      </c>
      <c r="DN75" s="2" t="str">
        <f aca="false">IF(AD75="x","x",IF(AD75="-","-",""))</f>
        <v>-</v>
      </c>
      <c r="DO75" s="2" t="str">
        <f aca="false">IF(AE75="x","x",IF(AE75="-","-",""))</f>
        <v>-</v>
      </c>
      <c r="DP75" s="2" t="str">
        <f aca="false">IF(AF75="x","x",IF(AF75="-","-",""))</f>
        <v>-</v>
      </c>
      <c r="DQ75" s="2" t="str">
        <f aca="false">IF(AG75="x","x",IF(AG75="-","-",""))</f>
        <v>-</v>
      </c>
      <c r="DR75" s="2" t="str">
        <f aca="false">IF(AH75="x","x",IF(AH75="-","-",""))</f>
        <v>-</v>
      </c>
      <c r="DS75" s="2" t="str">
        <f aca="false">IF(AI75="x","x",IF(AI75="-","-",""))</f>
        <v>-</v>
      </c>
      <c r="DT75" s="2" t="str">
        <f aca="false">IF(AJ75="x","x",IF(AJ75="-","-",""))</f>
        <v>-</v>
      </c>
      <c r="DU75" s="2" t="str">
        <f aca="false">IF(AK75="x","x",IF(AK75="-","-",""))</f>
        <v>-</v>
      </c>
      <c r="DV75" s="2" t="str">
        <f aca="false">IF(AL75="x","x",IF(AL75="-","-",""))</f>
        <v>-</v>
      </c>
      <c r="DW75" s="2" t="str">
        <f aca="false">IF(AM75="x","x",IF(AM75="-","-",""))</f>
        <v>-</v>
      </c>
      <c r="DX75" s="2" t="str">
        <f aca="false">IF(AN75="x","x",IF(AN75="-","-",""))</f>
        <v>-</v>
      </c>
    </row>
    <row r="76" customFormat="false" ht="13.8" hidden="false" customHeight="false" outlineLevel="0" collapsed="false">
      <c r="A76" s="10" t="s">
        <v>73</v>
      </c>
      <c r="B76" s="2" t="n">
        <v>75</v>
      </c>
      <c r="C76" s="1" t="s">
        <v>77</v>
      </c>
      <c r="D76" s="10" t="s">
        <v>92</v>
      </c>
      <c r="E76" s="10" t="s">
        <v>127</v>
      </c>
      <c r="F76" s="10"/>
      <c r="G76" s="10" t="s">
        <v>77</v>
      </c>
      <c r="H76" s="10" t="s">
        <v>77</v>
      </c>
      <c r="I76" s="10" t="s">
        <v>77</v>
      </c>
      <c r="J76" s="10" t="s">
        <v>77</v>
      </c>
      <c r="K76" s="10" t="s">
        <v>77</v>
      </c>
      <c r="L76" s="10" t="s">
        <v>77</v>
      </c>
      <c r="M76" s="2" t="n">
        <v>20</v>
      </c>
      <c r="N76" s="10" t="s">
        <v>77</v>
      </c>
      <c r="O76" s="10"/>
      <c r="P76" s="10" t="s">
        <v>77</v>
      </c>
      <c r="Q76" s="10" t="s">
        <v>77</v>
      </c>
      <c r="R76" s="10" t="s">
        <v>77</v>
      </c>
      <c r="S76" s="10" t="s">
        <v>77</v>
      </c>
      <c r="T76" s="10" t="s">
        <v>77</v>
      </c>
      <c r="U76" s="10" t="s">
        <v>77</v>
      </c>
      <c r="V76" s="10" t="s">
        <v>77</v>
      </c>
      <c r="W76" s="10" t="s">
        <v>77</v>
      </c>
      <c r="X76" s="10" t="s">
        <v>77</v>
      </c>
      <c r="Y76" s="10" t="s">
        <v>77</v>
      </c>
      <c r="Z76" s="10" t="s">
        <v>77</v>
      </c>
      <c r="AA76" s="10" t="s">
        <v>77</v>
      </c>
      <c r="AB76" s="10"/>
      <c r="AC76" s="10" t="s">
        <v>77</v>
      </c>
      <c r="AD76" s="10" t="s">
        <v>77</v>
      </c>
      <c r="AE76" s="10" t="s">
        <v>77</v>
      </c>
      <c r="AF76" s="10" t="s">
        <v>77</v>
      </c>
      <c r="AG76" s="10" t="s">
        <v>77</v>
      </c>
      <c r="AH76" s="10" t="s">
        <v>77</v>
      </c>
      <c r="AI76" s="10" t="s">
        <v>77</v>
      </c>
      <c r="AJ76" s="10" t="s">
        <v>77</v>
      </c>
      <c r="AK76" s="10" t="s">
        <v>77</v>
      </c>
      <c r="AL76" s="10" t="s">
        <v>77</v>
      </c>
      <c r="AM76" s="10" t="s">
        <v>77</v>
      </c>
      <c r="AN76" s="10" t="s">
        <v>77</v>
      </c>
      <c r="AO76" s="10"/>
      <c r="AP76" s="10" t="s">
        <v>73</v>
      </c>
      <c r="AQ76" s="10" t="s">
        <v>73</v>
      </c>
      <c r="AS76" s="10" t="s">
        <v>77</v>
      </c>
      <c r="AT76" s="10" t="s">
        <v>77</v>
      </c>
      <c r="AU76" s="10" t="s">
        <v>77</v>
      </c>
      <c r="AV76" s="10" t="s">
        <v>77</v>
      </c>
      <c r="AW76" s="10" t="s">
        <v>77</v>
      </c>
      <c r="AX76" s="10" t="s">
        <v>77</v>
      </c>
      <c r="AY76" s="10" t="s">
        <v>77</v>
      </c>
      <c r="AZ76" s="10" t="s">
        <v>77</v>
      </c>
      <c r="BA76" s="10" t="s">
        <v>77</v>
      </c>
      <c r="BB76" s="10" t="s">
        <v>77</v>
      </c>
      <c r="BC76" s="10" t="s">
        <v>77</v>
      </c>
      <c r="BD76" s="10" t="s">
        <v>77</v>
      </c>
      <c r="BE76" s="10" t="s">
        <v>77</v>
      </c>
      <c r="BF76" s="10" t="s">
        <v>77</v>
      </c>
      <c r="BG76" s="10" t="s">
        <v>77</v>
      </c>
      <c r="BH76" s="10" t="s">
        <v>77</v>
      </c>
      <c r="BI76" s="10" t="s">
        <v>77</v>
      </c>
      <c r="BJ76" s="10" t="s">
        <v>77</v>
      </c>
      <c r="BK76" s="10" t="s">
        <v>77</v>
      </c>
      <c r="BL76" s="10" t="s">
        <v>77</v>
      </c>
      <c r="BM76" s="10" t="s">
        <v>77</v>
      </c>
      <c r="BN76" s="10" t="s">
        <v>77</v>
      </c>
      <c r="BO76" s="10" t="s">
        <v>77</v>
      </c>
      <c r="BP76" s="10" t="s">
        <v>77</v>
      </c>
      <c r="BR76" s="10" t="s">
        <v>77</v>
      </c>
      <c r="BS76" s="10" t="s">
        <v>77</v>
      </c>
      <c r="BT76" s="10" t="s">
        <v>77</v>
      </c>
      <c r="BU76" s="10" t="s">
        <v>77</v>
      </c>
      <c r="BV76" s="10" t="s">
        <v>77</v>
      </c>
      <c r="BW76" s="10" t="s">
        <v>77</v>
      </c>
      <c r="BX76" s="10" t="s">
        <v>77</v>
      </c>
      <c r="BY76" s="10" t="s">
        <v>77</v>
      </c>
      <c r="CA76" s="2" t="str">
        <f aca="false">IF(AS76="x","x",IF(AS76="-","-",""))</f>
        <v>-</v>
      </c>
      <c r="CB76" s="2" t="str">
        <f aca="false">IF(AT76="x","x",IF(AT76="-","-",""))</f>
        <v>-</v>
      </c>
      <c r="CC76" s="2" t="str">
        <f aca="false">IF(AU76="x","x",IF(AU76="-","-",""))</f>
        <v>-</v>
      </c>
      <c r="CD76" s="2" t="str">
        <f aca="false">IF(AV76="x","x",IF(AV76="-","-",""))</f>
        <v>-</v>
      </c>
      <c r="CE76" s="2" t="str">
        <f aca="false">IF(AW76="x","x",IF(AW76="-","-",""))</f>
        <v>-</v>
      </c>
      <c r="CF76" s="2" t="str">
        <f aca="false">IF(AX76="x","x",IF(AX76="-","-",""))</f>
        <v>-</v>
      </c>
      <c r="CG76" s="2" t="str">
        <f aca="false">IF(AY76="x","x",IF(AY76="-","-",""))</f>
        <v>-</v>
      </c>
      <c r="CH76" s="2" t="str">
        <f aca="false">IF(AZ76="x","x",IF(AZ76="-","-",""))</f>
        <v>-</v>
      </c>
      <c r="CI76" s="2" t="str">
        <f aca="false">IF(BA76="x","x",IF(BA76="-","-",""))</f>
        <v>-</v>
      </c>
      <c r="CJ76" s="2" t="str">
        <f aca="false">IF(BB76="x","x",IF(BB76="-","-",""))</f>
        <v>-</v>
      </c>
      <c r="CK76" s="2" t="str">
        <f aca="false">IF(BC76="x","x",IF(BC76="-","-",""))</f>
        <v>-</v>
      </c>
      <c r="CL76" s="2" t="str">
        <f aca="false">IF(BD76="x","x",IF(BD76="-","-",""))</f>
        <v>-</v>
      </c>
      <c r="CM76" s="2" t="str">
        <f aca="false">IF(BE76="x","x",IF(BE76="-","-",""))</f>
        <v>-</v>
      </c>
      <c r="CN76" s="2" t="str">
        <f aca="false">IF(BF76="x","x",IF(BF76="-","-",""))</f>
        <v>-</v>
      </c>
      <c r="CO76" s="2" t="str">
        <f aca="false">IF(BG76="x","x",IF(BG76="-","-",""))</f>
        <v>-</v>
      </c>
      <c r="CP76" s="2" t="str">
        <f aca="false">IF(BH76="x","x",IF(BH76="-","-",""))</f>
        <v>-</v>
      </c>
      <c r="CQ76" s="2" t="str">
        <f aca="false">IF(BI76="x","x",IF(BI76="-","-",""))</f>
        <v>-</v>
      </c>
      <c r="CR76" s="2" t="str">
        <f aca="false">IF(BJ76="x","x",IF(BJ76="-","-",""))</f>
        <v>-</v>
      </c>
      <c r="CS76" s="2" t="str">
        <f aca="false">IF(BK76="x","x",IF(BK76="-","-",""))</f>
        <v>-</v>
      </c>
      <c r="CT76" s="2" t="str">
        <f aca="false">IF(BL76="x","x",IF(BL76="-","-",""))</f>
        <v>-</v>
      </c>
      <c r="CU76" s="2" t="str">
        <f aca="false">IF(BM76="x","x",IF(BM76="-","-",""))</f>
        <v>-</v>
      </c>
      <c r="CV76" s="2" t="str">
        <f aca="false">IF(BN76="x","x",IF(BN76="-","-",""))</f>
        <v>-</v>
      </c>
      <c r="CW76" s="2" t="str">
        <f aca="false">IF(BO76="x","x",IF(BO76="-","-",""))</f>
        <v>-</v>
      </c>
      <c r="CX76" s="2" t="str">
        <f aca="false">IF(BP76="x","x",IF(BP76="-","-",""))</f>
        <v>-</v>
      </c>
      <c r="CZ76" s="2" t="str">
        <f aca="false">IF(P76="x","x",IF(P76="-","-",""))</f>
        <v>-</v>
      </c>
      <c r="DA76" s="2" t="str">
        <f aca="false">IF(Q76="x","x",IF(Q76="-","-",""))</f>
        <v>-</v>
      </c>
      <c r="DB76" s="2" t="str">
        <f aca="false">IF(R76="x","x",IF(R76="-","-",""))</f>
        <v>-</v>
      </c>
      <c r="DC76" s="2" t="str">
        <f aca="false">IF(S76="x","x",IF(S76="-","-",""))</f>
        <v>-</v>
      </c>
      <c r="DD76" s="2" t="str">
        <f aca="false">IF(T76="x","x",IF(T76="-","-",""))</f>
        <v>-</v>
      </c>
      <c r="DE76" s="2" t="str">
        <f aca="false">IF(U76="x","x",IF(U76="-","-",""))</f>
        <v>-</v>
      </c>
      <c r="DF76" s="2" t="str">
        <f aca="false">IF(V76="x","x",IF(V76="-","-",""))</f>
        <v>-</v>
      </c>
      <c r="DG76" s="2" t="str">
        <f aca="false">IF(W76="x","x",IF(W76="-","-",""))</f>
        <v>-</v>
      </c>
      <c r="DH76" s="2" t="str">
        <f aca="false">IF(X76="x","x",IF(X76="-","-",""))</f>
        <v>-</v>
      </c>
      <c r="DI76" s="2" t="str">
        <f aca="false">IF(Y76="x","x",IF(Y76="-","-",""))</f>
        <v>-</v>
      </c>
      <c r="DJ76" s="2" t="str">
        <f aca="false">IF(Z76="x","x",IF(Z76="-","-",""))</f>
        <v>-</v>
      </c>
      <c r="DK76" s="2" t="str">
        <f aca="false">IF(AA76="x","x",IF(AA76="-","-",""))</f>
        <v>-</v>
      </c>
      <c r="DL76" s="10"/>
      <c r="DM76" s="2" t="str">
        <f aca="false">IF(AC76="x","x",IF(AC76="-","-",""))</f>
        <v>-</v>
      </c>
      <c r="DN76" s="2" t="str">
        <f aca="false">IF(AD76="x","x",IF(AD76="-","-",""))</f>
        <v>-</v>
      </c>
      <c r="DO76" s="2" t="str">
        <f aca="false">IF(AE76="x","x",IF(AE76="-","-",""))</f>
        <v>-</v>
      </c>
      <c r="DP76" s="2" t="str">
        <f aca="false">IF(AF76="x","x",IF(AF76="-","-",""))</f>
        <v>-</v>
      </c>
      <c r="DQ76" s="2" t="str">
        <f aca="false">IF(AG76="x","x",IF(AG76="-","-",""))</f>
        <v>-</v>
      </c>
      <c r="DR76" s="2" t="str">
        <f aca="false">IF(AH76="x","x",IF(AH76="-","-",""))</f>
        <v>-</v>
      </c>
      <c r="DS76" s="2" t="str">
        <f aca="false">IF(AI76="x","x",IF(AI76="-","-",""))</f>
        <v>-</v>
      </c>
      <c r="DT76" s="2" t="str">
        <f aca="false">IF(AJ76="x","x",IF(AJ76="-","-",""))</f>
        <v>-</v>
      </c>
      <c r="DU76" s="2" t="str">
        <f aca="false">IF(AK76="x","x",IF(AK76="-","-",""))</f>
        <v>-</v>
      </c>
      <c r="DV76" s="2" t="str">
        <f aca="false">IF(AL76="x","x",IF(AL76="-","-",""))</f>
        <v>-</v>
      </c>
      <c r="DW76" s="2" t="str">
        <f aca="false">IF(AM76="x","x",IF(AM76="-","-",""))</f>
        <v>-</v>
      </c>
      <c r="DX76" s="2" t="str">
        <f aca="false">IF(AN76="x","x",IF(AN76="-","-",""))</f>
        <v>-</v>
      </c>
    </row>
    <row r="77" customFormat="false" ht="13.8" hidden="false" customHeight="false" outlineLevel="0" collapsed="false">
      <c r="A77" s="10" t="s">
        <v>73</v>
      </c>
      <c r="B77" s="2" t="n">
        <v>76</v>
      </c>
      <c r="C77" s="1" t="s">
        <v>77</v>
      </c>
      <c r="D77" s="10" t="s">
        <v>92</v>
      </c>
      <c r="E77" s="10" t="s">
        <v>127</v>
      </c>
      <c r="F77" s="10"/>
      <c r="G77" s="10" t="s">
        <v>77</v>
      </c>
      <c r="H77" s="10" t="s">
        <v>77</v>
      </c>
      <c r="I77" s="10" t="s">
        <v>77</v>
      </c>
      <c r="J77" s="10" t="s">
        <v>77</v>
      </c>
      <c r="K77" s="10" t="s">
        <v>77</v>
      </c>
      <c r="L77" s="10" t="s">
        <v>77</v>
      </c>
      <c r="M77" s="2" t="n">
        <v>20</v>
      </c>
      <c r="N77" s="10" t="s">
        <v>77</v>
      </c>
      <c r="O77" s="10"/>
      <c r="P77" s="10" t="s">
        <v>77</v>
      </c>
      <c r="Q77" s="10" t="s">
        <v>77</v>
      </c>
      <c r="R77" s="10" t="s">
        <v>77</v>
      </c>
      <c r="S77" s="10" t="s">
        <v>77</v>
      </c>
      <c r="T77" s="10" t="s">
        <v>77</v>
      </c>
      <c r="U77" s="10" t="s">
        <v>77</v>
      </c>
      <c r="V77" s="10" t="s">
        <v>77</v>
      </c>
      <c r="W77" s="10" t="s">
        <v>77</v>
      </c>
      <c r="X77" s="10" t="s">
        <v>77</v>
      </c>
      <c r="Y77" s="10" t="s">
        <v>77</v>
      </c>
      <c r="Z77" s="10" t="s">
        <v>77</v>
      </c>
      <c r="AA77" s="10" t="s">
        <v>77</v>
      </c>
      <c r="AB77" s="10"/>
      <c r="AC77" s="10" t="s">
        <v>77</v>
      </c>
      <c r="AD77" s="10" t="s">
        <v>77</v>
      </c>
      <c r="AE77" s="10" t="s">
        <v>77</v>
      </c>
      <c r="AF77" s="10" t="s">
        <v>77</v>
      </c>
      <c r="AG77" s="10" t="s">
        <v>77</v>
      </c>
      <c r="AH77" s="10" t="s">
        <v>77</v>
      </c>
      <c r="AI77" s="10" t="s">
        <v>77</v>
      </c>
      <c r="AJ77" s="10" t="s">
        <v>77</v>
      </c>
      <c r="AK77" s="10" t="s">
        <v>77</v>
      </c>
      <c r="AL77" s="10" t="s">
        <v>77</v>
      </c>
      <c r="AM77" s="10" t="s">
        <v>77</v>
      </c>
      <c r="AN77" s="10" t="s">
        <v>77</v>
      </c>
      <c r="AO77" s="10"/>
      <c r="AP77" s="10" t="s">
        <v>73</v>
      </c>
      <c r="AQ77" s="10" t="s">
        <v>73</v>
      </c>
      <c r="AS77" s="10" t="s">
        <v>77</v>
      </c>
      <c r="AT77" s="10" t="s">
        <v>77</v>
      </c>
      <c r="AU77" s="10" t="s">
        <v>77</v>
      </c>
      <c r="AV77" s="10" t="s">
        <v>77</v>
      </c>
      <c r="AW77" s="10" t="s">
        <v>77</v>
      </c>
      <c r="AX77" s="10" t="s">
        <v>77</v>
      </c>
      <c r="AY77" s="10" t="s">
        <v>77</v>
      </c>
      <c r="AZ77" s="10" t="s">
        <v>77</v>
      </c>
      <c r="BA77" s="10" t="s">
        <v>77</v>
      </c>
      <c r="BB77" s="10" t="s">
        <v>77</v>
      </c>
      <c r="BC77" s="10" t="s">
        <v>77</v>
      </c>
      <c r="BD77" s="10" t="s">
        <v>77</v>
      </c>
      <c r="BE77" s="10" t="s">
        <v>77</v>
      </c>
      <c r="BF77" s="10" t="s">
        <v>77</v>
      </c>
      <c r="BG77" s="10" t="s">
        <v>77</v>
      </c>
      <c r="BH77" s="10" t="s">
        <v>77</v>
      </c>
      <c r="BI77" s="10" t="s">
        <v>77</v>
      </c>
      <c r="BJ77" s="10" t="s">
        <v>77</v>
      </c>
      <c r="BK77" s="10" t="s">
        <v>77</v>
      </c>
      <c r="BL77" s="10" t="s">
        <v>77</v>
      </c>
      <c r="BM77" s="10" t="s">
        <v>77</v>
      </c>
      <c r="BN77" s="10" t="s">
        <v>77</v>
      </c>
      <c r="BO77" s="10" t="s">
        <v>77</v>
      </c>
      <c r="BP77" s="10" t="s">
        <v>77</v>
      </c>
      <c r="BR77" s="10" t="s">
        <v>77</v>
      </c>
      <c r="BS77" s="10" t="s">
        <v>77</v>
      </c>
      <c r="BT77" s="10" t="s">
        <v>77</v>
      </c>
      <c r="BU77" s="10" t="s">
        <v>77</v>
      </c>
      <c r="BV77" s="10" t="s">
        <v>77</v>
      </c>
      <c r="BW77" s="10" t="s">
        <v>77</v>
      </c>
      <c r="BX77" s="10" t="s">
        <v>77</v>
      </c>
      <c r="BY77" s="10" t="s">
        <v>77</v>
      </c>
      <c r="CA77" s="2" t="str">
        <f aca="false">IF(AS77="x","x",IF(AS77="-","-",""))</f>
        <v>-</v>
      </c>
      <c r="CB77" s="2" t="str">
        <f aca="false">IF(AT77="x","x",IF(AT77="-","-",""))</f>
        <v>-</v>
      </c>
      <c r="CC77" s="2" t="str">
        <f aca="false">IF(AU77="x","x",IF(AU77="-","-",""))</f>
        <v>-</v>
      </c>
      <c r="CD77" s="2" t="str">
        <f aca="false">IF(AV77="x","x",IF(AV77="-","-",""))</f>
        <v>-</v>
      </c>
      <c r="CE77" s="2" t="str">
        <f aca="false">IF(AW77="x","x",IF(AW77="-","-",""))</f>
        <v>-</v>
      </c>
      <c r="CF77" s="2" t="str">
        <f aca="false">IF(AX77="x","x",IF(AX77="-","-",""))</f>
        <v>-</v>
      </c>
      <c r="CG77" s="2" t="str">
        <f aca="false">IF(AY77="x","x",IF(AY77="-","-",""))</f>
        <v>-</v>
      </c>
      <c r="CH77" s="2" t="str">
        <f aca="false">IF(AZ77="x","x",IF(AZ77="-","-",""))</f>
        <v>-</v>
      </c>
      <c r="CI77" s="2" t="str">
        <f aca="false">IF(BA77="x","x",IF(BA77="-","-",""))</f>
        <v>-</v>
      </c>
      <c r="CJ77" s="2" t="str">
        <f aca="false">IF(BB77="x","x",IF(BB77="-","-",""))</f>
        <v>-</v>
      </c>
      <c r="CK77" s="2" t="str">
        <f aca="false">IF(BC77="x","x",IF(BC77="-","-",""))</f>
        <v>-</v>
      </c>
      <c r="CL77" s="2" t="str">
        <f aca="false">IF(BD77="x","x",IF(BD77="-","-",""))</f>
        <v>-</v>
      </c>
      <c r="CM77" s="2" t="str">
        <f aca="false">IF(BE77="x","x",IF(BE77="-","-",""))</f>
        <v>-</v>
      </c>
      <c r="CN77" s="2" t="str">
        <f aca="false">IF(BF77="x","x",IF(BF77="-","-",""))</f>
        <v>-</v>
      </c>
      <c r="CO77" s="2" t="str">
        <f aca="false">IF(BG77="x","x",IF(BG77="-","-",""))</f>
        <v>-</v>
      </c>
      <c r="CP77" s="2" t="str">
        <f aca="false">IF(BH77="x","x",IF(BH77="-","-",""))</f>
        <v>-</v>
      </c>
      <c r="CQ77" s="2" t="str">
        <f aca="false">IF(BI77="x","x",IF(BI77="-","-",""))</f>
        <v>-</v>
      </c>
      <c r="CR77" s="2" t="str">
        <f aca="false">IF(BJ77="x","x",IF(BJ77="-","-",""))</f>
        <v>-</v>
      </c>
      <c r="CS77" s="2" t="str">
        <f aca="false">IF(BK77="x","x",IF(BK77="-","-",""))</f>
        <v>-</v>
      </c>
      <c r="CT77" s="2" t="str">
        <f aca="false">IF(BL77="x","x",IF(BL77="-","-",""))</f>
        <v>-</v>
      </c>
      <c r="CU77" s="2" t="str">
        <f aca="false">IF(BM77="x","x",IF(BM77="-","-",""))</f>
        <v>-</v>
      </c>
      <c r="CV77" s="2" t="str">
        <f aca="false">IF(BN77="x","x",IF(BN77="-","-",""))</f>
        <v>-</v>
      </c>
      <c r="CW77" s="2" t="str">
        <f aca="false">IF(BO77="x","x",IF(BO77="-","-",""))</f>
        <v>-</v>
      </c>
      <c r="CX77" s="2" t="str">
        <f aca="false">IF(BP77="x","x",IF(BP77="-","-",""))</f>
        <v>-</v>
      </c>
      <c r="CZ77" s="2" t="str">
        <f aca="false">IF(P77="x","x",IF(P77="-","-",""))</f>
        <v>-</v>
      </c>
      <c r="DA77" s="2" t="str">
        <f aca="false">IF(Q77="x","x",IF(Q77="-","-",""))</f>
        <v>-</v>
      </c>
      <c r="DB77" s="2" t="str">
        <f aca="false">IF(R77="x","x",IF(R77="-","-",""))</f>
        <v>-</v>
      </c>
      <c r="DC77" s="2" t="str">
        <f aca="false">IF(S77="x","x",IF(S77="-","-",""))</f>
        <v>-</v>
      </c>
      <c r="DD77" s="2" t="str">
        <f aca="false">IF(T77="x","x",IF(T77="-","-",""))</f>
        <v>-</v>
      </c>
      <c r="DE77" s="2" t="str">
        <f aca="false">IF(U77="x","x",IF(U77="-","-",""))</f>
        <v>-</v>
      </c>
      <c r="DF77" s="2" t="str">
        <f aca="false">IF(V77="x","x",IF(V77="-","-",""))</f>
        <v>-</v>
      </c>
      <c r="DG77" s="2" t="str">
        <f aca="false">IF(W77="x","x",IF(W77="-","-",""))</f>
        <v>-</v>
      </c>
      <c r="DH77" s="2" t="str">
        <f aca="false">IF(X77="x","x",IF(X77="-","-",""))</f>
        <v>-</v>
      </c>
      <c r="DI77" s="2" t="str">
        <f aca="false">IF(Y77="x","x",IF(Y77="-","-",""))</f>
        <v>-</v>
      </c>
      <c r="DJ77" s="2" t="str">
        <f aca="false">IF(Z77="x","x",IF(Z77="-","-",""))</f>
        <v>-</v>
      </c>
      <c r="DK77" s="2" t="str">
        <f aca="false">IF(AA77="x","x",IF(AA77="-","-",""))</f>
        <v>-</v>
      </c>
      <c r="DL77" s="10"/>
      <c r="DM77" s="2" t="str">
        <f aca="false">IF(AC77="x","x",IF(AC77="-","-",""))</f>
        <v>-</v>
      </c>
      <c r="DN77" s="2" t="str">
        <f aca="false">IF(AD77="x","x",IF(AD77="-","-",""))</f>
        <v>-</v>
      </c>
      <c r="DO77" s="2" t="str">
        <f aca="false">IF(AE77="x","x",IF(AE77="-","-",""))</f>
        <v>-</v>
      </c>
      <c r="DP77" s="2" t="str">
        <f aca="false">IF(AF77="x","x",IF(AF77="-","-",""))</f>
        <v>-</v>
      </c>
      <c r="DQ77" s="2" t="str">
        <f aca="false">IF(AG77="x","x",IF(AG77="-","-",""))</f>
        <v>-</v>
      </c>
      <c r="DR77" s="2" t="str">
        <f aca="false">IF(AH77="x","x",IF(AH77="-","-",""))</f>
        <v>-</v>
      </c>
      <c r="DS77" s="2" t="str">
        <f aca="false">IF(AI77="x","x",IF(AI77="-","-",""))</f>
        <v>-</v>
      </c>
      <c r="DT77" s="2" t="str">
        <f aca="false">IF(AJ77="x","x",IF(AJ77="-","-",""))</f>
        <v>-</v>
      </c>
      <c r="DU77" s="2" t="str">
        <f aca="false">IF(AK77="x","x",IF(AK77="-","-",""))</f>
        <v>-</v>
      </c>
      <c r="DV77" s="2" t="str">
        <f aca="false">IF(AL77="x","x",IF(AL77="-","-",""))</f>
        <v>-</v>
      </c>
      <c r="DW77" s="2" t="str">
        <f aca="false">IF(AM77="x","x",IF(AM77="-","-",""))</f>
        <v>-</v>
      </c>
      <c r="DX77" s="2" t="str">
        <f aca="false">IF(AN77="x","x",IF(AN77="-","-",""))</f>
        <v>-</v>
      </c>
    </row>
    <row r="78" customFormat="false" ht="13.8" hidden="false" customHeight="false" outlineLevel="0" collapsed="false">
      <c r="A78" s="10" t="s">
        <v>73</v>
      </c>
      <c r="B78" s="2" t="n">
        <v>77</v>
      </c>
      <c r="C78" s="1" t="s">
        <v>77</v>
      </c>
      <c r="D78" s="10" t="s">
        <v>92</v>
      </c>
      <c r="E78" s="10" t="s">
        <v>127</v>
      </c>
      <c r="F78" s="10"/>
      <c r="G78" s="10" t="s">
        <v>77</v>
      </c>
      <c r="H78" s="10" t="s">
        <v>77</v>
      </c>
      <c r="I78" s="10" t="s">
        <v>77</v>
      </c>
      <c r="J78" s="10" t="s">
        <v>77</v>
      </c>
      <c r="K78" s="10" t="s">
        <v>77</v>
      </c>
      <c r="L78" s="10" t="s">
        <v>77</v>
      </c>
      <c r="M78" s="2" t="n">
        <v>20</v>
      </c>
      <c r="N78" s="10" t="s">
        <v>77</v>
      </c>
      <c r="O78" s="10"/>
      <c r="P78" s="10" t="s">
        <v>77</v>
      </c>
      <c r="Q78" s="10" t="s">
        <v>77</v>
      </c>
      <c r="R78" s="10" t="s">
        <v>77</v>
      </c>
      <c r="S78" s="10" t="s">
        <v>77</v>
      </c>
      <c r="T78" s="10" t="s">
        <v>77</v>
      </c>
      <c r="U78" s="10" t="s">
        <v>77</v>
      </c>
      <c r="V78" s="10" t="s">
        <v>77</v>
      </c>
      <c r="W78" s="10" t="s">
        <v>77</v>
      </c>
      <c r="X78" s="10" t="s">
        <v>77</v>
      </c>
      <c r="Y78" s="10" t="s">
        <v>77</v>
      </c>
      <c r="Z78" s="10" t="s">
        <v>77</v>
      </c>
      <c r="AA78" s="10" t="s">
        <v>77</v>
      </c>
      <c r="AB78" s="10"/>
      <c r="AC78" s="10" t="s">
        <v>77</v>
      </c>
      <c r="AD78" s="10" t="s">
        <v>77</v>
      </c>
      <c r="AE78" s="10" t="s">
        <v>77</v>
      </c>
      <c r="AF78" s="10" t="s">
        <v>77</v>
      </c>
      <c r="AG78" s="10" t="s">
        <v>77</v>
      </c>
      <c r="AH78" s="10" t="s">
        <v>77</v>
      </c>
      <c r="AI78" s="10" t="s">
        <v>77</v>
      </c>
      <c r="AJ78" s="10" t="s">
        <v>77</v>
      </c>
      <c r="AK78" s="10" t="s">
        <v>77</v>
      </c>
      <c r="AL78" s="10" t="s">
        <v>77</v>
      </c>
      <c r="AM78" s="10" t="s">
        <v>77</v>
      </c>
      <c r="AN78" s="10" t="s">
        <v>77</v>
      </c>
      <c r="AO78" s="10"/>
      <c r="AP78" s="10" t="s">
        <v>73</v>
      </c>
      <c r="AQ78" s="10" t="s">
        <v>73</v>
      </c>
      <c r="AS78" s="10" t="s">
        <v>77</v>
      </c>
      <c r="AT78" s="10" t="s">
        <v>77</v>
      </c>
      <c r="AU78" s="10" t="s">
        <v>77</v>
      </c>
      <c r="AV78" s="10" t="s">
        <v>77</v>
      </c>
      <c r="AW78" s="10" t="s">
        <v>77</v>
      </c>
      <c r="AX78" s="10" t="s">
        <v>77</v>
      </c>
      <c r="AY78" s="10" t="s">
        <v>77</v>
      </c>
      <c r="AZ78" s="10" t="s">
        <v>77</v>
      </c>
      <c r="BA78" s="10" t="s">
        <v>77</v>
      </c>
      <c r="BB78" s="10" t="s">
        <v>77</v>
      </c>
      <c r="BC78" s="10" t="s">
        <v>77</v>
      </c>
      <c r="BD78" s="10" t="s">
        <v>77</v>
      </c>
      <c r="BE78" s="10" t="s">
        <v>77</v>
      </c>
      <c r="BF78" s="10" t="s">
        <v>77</v>
      </c>
      <c r="BG78" s="10" t="s">
        <v>77</v>
      </c>
      <c r="BH78" s="10" t="s">
        <v>77</v>
      </c>
      <c r="BI78" s="10" t="s">
        <v>77</v>
      </c>
      <c r="BJ78" s="10" t="s">
        <v>77</v>
      </c>
      <c r="BK78" s="10" t="s">
        <v>77</v>
      </c>
      <c r="BL78" s="10" t="s">
        <v>77</v>
      </c>
      <c r="BM78" s="10" t="s">
        <v>77</v>
      </c>
      <c r="BN78" s="10" t="s">
        <v>77</v>
      </c>
      <c r="BO78" s="10" t="s">
        <v>77</v>
      </c>
      <c r="BP78" s="10" t="s">
        <v>77</v>
      </c>
      <c r="BR78" s="10" t="s">
        <v>77</v>
      </c>
      <c r="BS78" s="10" t="s">
        <v>77</v>
      </c>
      <c r="BT78" s="10" t="s">
        <v>77</v>
      </c>
      <c r="BU78" s="10" t="s">
        <v>77</v>
      </c>
      <c r="BV78" s="10" t="s">
        <v>77</v>
      </c>
      <c r="BW78" s="10" t="s">
        <v>77</v>
      </c>
      <c r="BX78" s="10" t="s">
        <v>77</v>
      </c>
      <c r="BY78" s="10" t="s">
        <v>77</v>
      </c>
      <c r="CA78" s="2" t="str">
        <f aca="false">IF(AS78="x","x",IF(AS78="-","-",""))</f>
        <v>-</v>
      </c>
      <c r="CB78" s="2" t="str">
        <f aca="false">IF(AT78="x","x",IF(AT78="-","-",""))</f>
        <v>-</v>
      </c>
      <c r="CC78" s="2" t="str">
        <f aca="false">IF(AU78="x","x",IF(AU78="-","-",""))</f>
        <v>-</v>
      </c>
      <c r="CD78" s="2" t="str">
        <f aca="false">IF(AV78="x","x",IF(AV78="-","-",""))</f>
        <v>-</v>
      </c>
      <c r="CE78" s="2" t="str">
        <f aca="false">IF(AW78="x","x",IF(AW78="-","-",""))</f>
        <v>-</v>
      </c>
      <c r="CF78" s="2" t="str">
        <f aca="false">IF(AX78="x","x",IF(AX78="-","-",""))</f>
        <v>-</v>
      </c>
      <c r="CG78" s="2" t="str">
        <f aca="false">IF(AY78="x","x",IF(AY78="-","-",""))</f>
        <v>-</v>
      </c>
      <c r="CH78" s="2" t="str">
        <f aca="false">IF(AZ78="x","x",IF(AZ78="-","-",""))</f>
        <v>-</v>
      </c>
      <c r="CI78" s="2" t="str">
        <f aca="false">IF(BA78="x","x",IF(BA78="-","-",""))</f>
        <v>-</v>
      </c>
      <c r="CJ78" s="2" t="str">
        <f aca="false">IF(BB78="x","x",IF(BB78="-","-",""))</f>
        <v>-</v>
      </c>
      <c r="CK78" s="2" t="str">
        <f aca="false">IF(BC78="x","x",IF(BC78="-","-",""))</f>
        <v>-</v>
      </c>
      <c r="CL78" s="2" t="str">
        <f aca="false">IF(BD78="x","x",IF(BD78="-","-",""))</f>
        <v>-</v>
      </c>
      <c r="CM78" s="2" t="str">
        <f aca="false">IF(BE78="x","x",IF(BE78="-","-",""))</f>
        <v>-</v>
      </c>
      <c r="CN78" s="2" t="str">
        <f aca="false">IF(BF78="x","x",IF(BF78="-","-",""))</f>
        <v>-</v>
      </c>
      <c r="CO78" s="2" t="str">
        <f aca="false">IF(BG78="x","x",IF(BG78="-","-",""))</f>
        <v>-</v>
      </c>
      <c r="CP78" s="2" t="str">
        <f aca="false">IF(BH78="x","x",IF(BH78="-","-",""))</f>
        <v>-</v>
      </c>
      <c r="CQ78" s="2" t="str">
        <f aca="false">IF(BI78="x","x",IF(BI78="-","-",""))</f>
        <v>-</v>
      </c>
      <c r="CR78" s="2" t="str">
        <f aca="false">IF(BJ78="x","x",IF(BJ78="-","-",""))</f>
        <v>-</v>
      </c>
      <c r="CS78" s="2" t="str">
        <f aca="false">IF(BK78="x","x",IF(BK78="-","-",""))</f>
        <v>-</v>
      </c>
      <c r="CT78" s="2" t="str">
        <f aca="false">IF(BL78="x","x",IF(BL78="-","-",""))</f>
        <v>-</v>
      </c>
      <c r="CU78" s="2" t="str">
        <f aca="false">IF(BM78="x","x",IF(BM78="-","-",""))</f>
        <v>-</v>
      </c>
      <c r="CV78" s="2" t="str">
        <f aca="false">IF(BN78="x","x",IF(BN78="-","-",""))</f>
        <v>-</v>
      </c>
      <c r="CW78" s="2" t="str">
        <f aca="false">IF(BO78="x","x",IF(BO78="-","-",""))</f>
        <v>-</v>
      </c>
      <c r="CX78" s="2" t="str">
        <f aca="false">IF(BP78="x","x",IF(BP78="-","-",""))</f>
        <v>-</v>
      </c>
      <c r="CZ78" s="2" t="str">
        <f aca="false">IF(P78="x","x",IF(P78="-","-",""))</f>
        <v>-</v>
      </c>
      <c r="DA78" s="2" t="str">
        <f aca="false">IF(Q78="x","x",IF(Q78="-","-",""))</f>
        <v>-</v>
      </c>
      <c r="DB78" s="2" t="str">
        <f aca="false">IF(R78="x","x",IF(R78="-","-",""))</f>
        <v>-</v>
      </c>
      <c r="DC78" s="2" t="str">
        <f aca="false">IF(S78="x","x",IF(S78="-","-",""))</f>
        <v>-</v>
      </c>
      <c r="DD78" s="2" t="str">
        <f aca="false">IF(T78="x","x",IF(T78="-","-",""))</f>
        <v>-</v>
      </c>
      <c r="DE78" s="2" t="str">
        <f aca="false">IF(U78="x","x",IF(U78="-","-",""))</f>
        <v>-</v>
      </c>
      <c r="DF78" s="2" t="str">
        <f aca="false">IF(V78="x","x",IF(V78="-","-",""))</f>
        <v>-</v>
      </c>
      <c r="DG78" s="2" t="str">
        <f aca="false">IF(W78="x","x",IF(W78="-","-",""))</f>
        <v>-</v>
      </c>
      <c r="DH78" s="2" t="str">
        <f aca="false">IF(X78="x","x",IF(X78="-","-",""))</f>
        <v>-</v>
      </c>
      <c r="DI78" s="2" t="str">
        <f aca="false">IF(Y78="x","x",IF(Y78="-","-",""))</f>
        <v>-</v>
      </c>
      <c r="DJ78" s="2" t="str">
        <f aca="false">IF(Z78="x","x",IF(Z78="-","-",""))</f>
        <v>-</v>
      </c>
      <c r="DK78" s="2" t="str">
        <f aca="false">IF(AA78="x","x",IF(AA78="-","-",""))</f>
        <v>-</v>
      </c>
      <c r="DL78" s="10"/>
      <c r="DM78" s="2" t="str">
        <f aca="false">IF(AC78="x","x",IF(AC78="-","-",""))</f>
        <v>-</v>
      </c>
      <c r="DN78" s="2" t="str">
        <f aca="false">IF(AD78="x","x",IF(AD78="-","-",""))</f>
        <v>-</v>
      </c>
      <c r="DO78" s="2" t="str">
        <f aca="false">IF(AE78="x","x",IF(AE78="-","-",""))</f>
        <v>-</v>
      </c>
      <c r="DP78" s="2" t="str">
        <f aca="false">IF(AF78="x","x",IF(AF78="-","-",""))</f>
        <v>-</v>
      </c>
      <c r="DQ78" s="2" t="str">
        <f aca="false">IF(AG78="x","x",IF(AG78="-","-",""))</f>
        <v>-</v>
      </c>
      <c r="DR78" s="2" t="str">
        <f aca="false">IF(AH78="x","x",IF(AH78="-","-",""))</f>
        <v>-</v>
      </c>
      <c r="DS78" s="2" t="str">
        <f aca="false">IF(AI78="x","x",IF(AI78="-","-",""))</f>
        <v>-</v>
      </c>
      <c r="DT78" s="2" t="str">
        <f aca="false">IF(AJ78="x","x",IF(AJ78="-","-",""))</f>
        <v>-</v>
      </c>
      <c r="DU78" s="2" t="str">
        <f aca="false">IF(AK78="x","x",IF(AK78="-","-",""))</f>
        <v>-</v>
      </c>
      <c r="DV78" s="2" t="str">
        <f aca="false">IF(AL78="x","x",IF(AL78="-","-",""))</f>
        <v>-</v>
      </c>
      <c r="DW78" s="2" t="str">
        <f aca="false">IF(AM78="x","x",IF(AM78="-","-",""))</f>
        <v>-</v>
      </c>
      <c r="DX78" s="2" t="str">
        <f aca="false">IF(AN78="x","x",IF(AN78="-","-",""))</f>
        <v>-</v>
      </c>
    </row>
    <row r="79" customFormat="false" ht="13.8" hidden="false" customHeight="false" outlineLevel="0" collapsed="false">
      <c r="A79" s="10" t="s">
        <v>73</v>
      </c>
      <c r="B79" s="2" t="n">
        <v>78</v>
      </c>
      <c r="C79" s="1" t="s">
        <v>77</v>
      </c>
      <c r="D79" s="10" t="s">
        <v>92</v>
      </c>
      <c r="E79" s="10" t="s">
        <v>127</v>
      </c>
      <c r="F79" s="10"/>
      <c r="G79" s="10" t="s">
        <v>77</v>
      </c>
      <c r="H79" s="10" t="s">
        <v>77</v>
      </c>
      <c r="I79" s="10" t="s">
        <v>77</v>
      </c>
      <c r="J79" s="10" t="s">
        <v>77</v>
      </c>
      <c r="K79" s="10" t="s">
        <v>77</v>
      </c>
      <c r="L79" s="10" t="s">
        <v>77</v>
      </c>
      <c r="M79" s="2" t="n">
        <v>20</v>
      </c>
      <c r="N79" s="10" t="s">
        <v>77</v>
      </c>
      <c r="O79" s="10"/>
      <c r="P79" s="10" t="s">
        <v>77</v>
      </c>
      <c r="Q79" s="10" t="s">
        <v>77</v>
      </c>
      <c r="R79" s="10" t="s">
        <v>77</v>
      </c>
      <c r="S79" s="10" t="s">
        <v>77</v>
      </c>
      <c r="T79" s="10" t="s">
        <v>77</v>
      </c>
      <c r="U79" s="10" t="s">
        <v>77</v>
      </c>
      <c r="V79" s="10" t="s">
        <v>77</v>
      </c>
      <c r="W79" s="10" t="s">
        <v>77</v>
      </c>
      <c r="X79" s="10" t="s">
        <v>77</v>
      </c>
      <c r="Y79" s="10" t="s">
        <v>77</v>
      </c>
      <c r="Z79" s="10" t="s">
        <v>77</v>
      </c>
      <c r="AA79" s="10" t="s">
        <v>77</v>
      </c>
      <c r="AB79" s="10"/>
      <c r="AC79" s="10" t="s">
        <v>77</v>
      </c>
      <c r="AD79" s="10" t="s">
        <v>77</v>
      </c>
      <c r="AE79" s="10" t="s">
        <v>77</v>
      </c>
      <c r="AF79" s="10" t="s">
        <v>77</v>
      </c>
      <c r="AG79" s="10" t="s">
        <v>77</v>
      </c>
      <c r="AH79" s="10" t="s">
        <v>77</v>
      </c>
      <c r="AI79" s="10" t="s">
        <v>77</v>
      </c>
      <c r="AJ79" s="10" t="s">
        <v>77</v>
      </c>
      <c r="AK79" s="10" t="s">
        <v>77</v>
      </c>
      <c r="AL79" s="10" t="s">
        <v>77</v>
      </c>
      <c r="AM79" s="10" t="s">
        <v>77</v>
      </c>
      <c r="AN79" s="10" t="s">
        <v>77</v>
      </c>
      <c r="AO79" s="10"/>
      <c r="AP79" s="10" t="s">
        <v>73</v>
      </c>
      <c r="AQ79" s="10" t="s">
        <v>73</v>
      </c>
      <c r="AS79" s="10" t="s">
        <v>77</v>
      </c>
      <c r="AT79" s="10" t="s">
        <v>77</v>
      </c>
      <c r="AU79" s="10" t="s">
        <v>77</v>
      </c>
      <c r="AV79" s="10" t="s">
        <v>77</v>
      </c>
      <c r="AW79" s="10" t="s">
        <v>77</v>
      </c>
      <c r="AX79" s="10" t="s">
        <v>77</v>
      </c>
      <c r="AY79" s="10" t="s">
        <v>77</v>
      </c>
      <c r="AZ79" s="10" t="s">
        <v>77</v>
      </c>
      <c r="BA79" s="10" t="s">
        <v>77</v>
      </c>
      <c r="BB79" s="10" t="s">
        <v>77</v>
      </c>
      <c r="BC79" s="10" t="s">
        <v>77</v>
      </c>
      <c r="BD79" s="10" t="s">
        <v>77</v>
      </c>
      <c r="BE79" s="10" t="s">
        <v>77</v>
      </c>
      <c r="BF79" s="10" t="s">
        <v>77</v>
      </c>
      <c r="BG79" s="10" t="s">
        <v>77</v>
      </c>
      <c r="BH79" s="10" t="s">
        <v>77</v>
      </c>
      <c r="BI79" s="10" t="s">
        <v>77</v>
      </c>
      <c r="BJ79" s="10" t="s">
        <v>77</v>
      </c>
      <c r="BK79" s="10" t="s">
        <v>77</v>
      </c>
      <c r="BL79" s="10" t="s">
        <v>77</v>
      </c>
      <c r="BM79" s="10" t="s">
        <v>77</v>
      </c>
      <c r="BN79" s="10" t="s">
        <v>77</v>
      </c>
      <c r="BO79" s="10" t="s">
        <v>77</v>
      </c>
      <c r="BP79" s="10" t="s">
        <v>77</v>
      </c>
      <c r="BR79" s="10" t="s">
        <v>77</v>
      </c>
      <c r="BS79" s="10" t="s">
        <v>77</v>
      </c>
      <c r="BT79" s="10" t="s">
        <v>77</v>
      </c>
      <c r="BU79" s="10" t="s">
        <v>77</v>
      </c>
      <c r="BV79" s="10" t="s">
        <v>77</v>
      </c>
      <c r="BW79" s="10" t="s">
        <v>77</v>
      </c>
      <c r="BX79" s="10" t="s">
        <v>77</v>
      </c>
      <c r="BY79" s="10" t="s">
        <v>77</v>
      </c>
      <c r="CA79" s="2" t="str">
        <f aca="false">IF(AS79="x","x",IF(AS79="-","-",""))</f>
        <v>-</v>
      </c>
      <c r="CB79" s="2" t="str">
        <f aca="false">IF(AT79="x","x",IF(AT79="-","-",""))</f>
        <v>-</v>
      </c>
      <c r="CC79" s="2" t="str">
        <f aca="false">IF(AU79="x","x",IF(AU79="-","-",""))</f>
        <v>-</v>
      </c>
      <c r="CD79" s="2" t="str">
        <f aca="false">IF(AV79="x","x",IF(AV79="-","-",""))</f>
        <v>-</v>
      </c>
      <c r="CE79" s="2" t="str">
        <f aca="false">IF(AW79="x","x",IF(AW79="-","-",""))</f>
        <v>-</v>
      </c>
      <c r="CF79" s="2" t="str">
        <f aca="false">IF(AX79="x","x",IF(AX79="-","-",""))</f>
        <v>-</v>
      </c>
      <c r="CG79" s="2" t="str">
        <f aca="false">IF(AY79="x","x",IF(AY79="-","-",""))</f>
        <v>-</v>
      </c>
      <c r="CH79" s="2" t="str">
        <f aca="false">IF(AZ79="x","x",IF(AZ79="-","-",""))</f>
        <v>-</v>
      </c>
      <c r="CI79" s="2" t="str">
        <f aca="false">IF(BA79="x","x",IF(BA79="-","-",""))</f>
        <v>-</v>
      </c>
      <c r="CJ79" s="2" t="str">
        <f aca="false">IF(BB79="x","x",IF(BB79="-","-",""))</f>
        <v>-</v>
      </c>
      <c r="CK79" s="2" t="str">
        <f aca="false">IF(BC79="x","x",IF(BC79="-","-",""))</f>
        <v>-</v>
      </c>
      <c r="CL79" s="2" t="str">
        <f aca="false">IF(BD79="x","x",IF(BD79="-","-",""))</f>
        <v>-</v>
      </c>
      <c r="CM79" s="2" t="str">
        <f aca="false">IF(BE79="x","x",IF(BE79="-","-",""))</f>
        <v>-</v>
      </c>
      <c r="CN79" s="2" t="str">
        <f aca="false">IF(BF79="x","x",IF(BF79="-","-",""))</f>
        <v>-</v>
      </c>
      <c r="CO79" s="2" t="str">
        <f aca="false">IF(BG79="x","x",IF(BG79="-","-",""))</f>
        <v>-</v>
      </c>
      <c r="CP79" s="2" t="str">
        <f aca="false">IF(BH79="x","x",IF(BH79="-","-",""))</f>
        <v>-</v>
      </c>
      <c r="CQ79" s="2" t="str">
        <f aca="false">IF(BI79="x","x",IF(BI79="-","-",""))</f>
        <v>-</v>
      </c>
      <c r="CR79" s="2" t="str">
        <f aca="false">IF(BJ79="x","x",IF(BJ79="-","-",""))</f>
        <v>-</v>
      </c>
      <c r="CS79" s="2" t="str">
        <f aca="false">IF(BK79="x","x",IF(BK79="-","-",""))</f>
        <v>-</v>
      </c>
      <c r="CT79" s="2" t="str">
        <f aca="false">IF(BL79="x","x",IF(BL79="-","-",""))</f>
        <v>-</v>
      </c>
      <c r="CU79" s="2" t="str">
        <f aca="false">IF(BM79="x","x",IF(BM79="-","-",""))</f>
        <v>-</v>
      </c>
      <c r="CV79" s="2" t="str">
        <f aca="false">IF(BN79="x","x",IF(BN79="-","-",""))</f>
        <v>-</v>
      </c>
      <c r="CW79" s="2" t="str">
        <f aca="false">IF(BO79="x","x",IF(BO79="-","-",""))</f>
        <v>-</v>
      </c>
      <c r="CX79" s="2" t="str">
        <f aca="false">IF(BP79="x","x",IF(BP79="-","-",""))</f>
        <v>-</v>
      </c>
      <c r="CZ79" s="2" t="str">
        <f aca="false">IF(P79="x","x",IF(P79="-","-",""))</f>
        <v>-</v>
      </c>
      <c r="DA79" s="2" t="str">
        <f aca="false">IF(Q79="x","x",IF(Q79="-","-",""))</f>
        <v>-</v>
      </c>
      <c r="DB79" s="2" t="str">
        <f aca="false">IF(R79="x","x",IF(R79="-","-",""))</f>
        <v>-</v>
      </c>
      <c r="DC79" s="2" t="str">
        <f aca="false">IF(S79="x","x",IF(S79="-","-",""))</f>
        <v>-</v>
      </c>
      <c r="DD79" s="2" t="str">
        <f aca="false">IF(T79="x","x",IF(T79="-","-",""))</f>
        <v>-</v>
      </c>
      <c r="DE79" s="2" t="str">
        <f aca="false">IF(U79="x","x",IF(U79="-","-",""))</f>
        <v>-</v>
      </c>
      <c r="DF79" s="2" t="str">
        <f aca="false">IF(V79="x","x",IF(V79="-","-",""))</f>
        <v>-</v>
      </c>
      <c r="DG79" s="2" t="str">
        <f aca="false">IF(W79="x","x",IF(W79="-","-",""))</f>
        <v>-</v>
      </c>
      <c r="DH79" s="2" t="str">
        <f aca="false">IF(X79="x","x",IF(X79="-","-",""))</f>
        <v>-</v>
      </c>
      <c r="DI79" s="2" t="str">
        <f aca="false">IF(Y79="x","x",IF(Y79="-","-",""))</f>
        <v>-</v>
      </c>
      <c r="DJ79" s="2" t="str">
        <f aca="false">IF(Z79="x","x",IF(Z79="-","-",""))</f>
        <v>-</v>
      </c>
      <c r="DK79" s="2" t="str">
        <f aca="false">IF(AA79="x","x",IF(AA79="-","-",""))</f>
        <v>-</v>
      </c>
      <c r="DL79" s="10"/>
      <c r="DM79" s="2" t="str">
        <f aca="false">IF(AC79="x","x",IF(AC79="-","-",""))</f>
        <v>-</v>
      </c>
      <c r="DN79" s="2" t="str">
        <f aca="false">IF(AD79="x","x",IF(AD79="-","-",""))</f>
        <v>-</v>
      </c>
      <c r="DO79" s="2" t="str">
        <f aca="false">IF(AE79="x","x",IF(AE79="-","-",""))</f>
        <v>-</v>
      </c>
      <c r="DP79" s="2" t="str">
        <f aca="false">IF(AF79="x","x",IF(AF79="-","-",""))</f>
        <v>-</v>
      </c>
      <c r="DQ79" s="2" t="str">
        <f aca="false">IF(AG79="x","x",IF(AG79="-","-",""))</f>
        <v>-</v>
      </c>
      <c r="DR79" s="2" t="str">
        <f aca="false">IF(AH79="x","x",IF(AH79="-","-",""))</f>
        <v>-</v>
      </c>
      <c r="DS79" s="2" t="str">
        <f aca="false">IF(AI79="x","x",IF(AI79="-","-",""))</f>
        <v>-</v>
      </c>
      <c r="DT79" s="2" t="str">
        <f aca="false">IF(AJ79="x","x",IF(AJ79="-","-",""))</f>
        <v>-</v>
      </c>
      <c r="DU79" s="2" t="str">
        <f aca="false">IF(AK79="x","x",IF(AK79="-","-",""))</f>
        <v>-</v>
      </c>
      <c r="DV79" s="2" t="str">
        <f aca="false">IF(AL79="x","x",IF(AL79="-","-",""))</f>
        <v>-</v>
      </c>
      <c r="DW79" s="2" t="str">
        <f aca="false">IF(AM79="x","x",IF(AM79="-","-",""))</f>
        <v>-</v>
      </c>
      <c r="DX79" s="2" t="str">
        <f aca="false">IF(AN79="x","x",IF(AN79="-","-",""))</f>
        <v>-</v>
      </c>
    </row>
    <row r="80" customFormat="false" ht="13.8" hidden="false" customHeight="false" outlineLevel="0" collapsed="false">
      <c r="A80" s="10" t="s">
        <v>73</v>
      </c>
      <c r="B80" s="2" t="n">
        <v>79</v>
      </c>
      <c r="C80" s="1" t="s">
        <v>77</v>
      </c>
      <c r="D80" s="10" t="s">
        <v>92</v>
      </c>
      <c r="E80" s="10" t="s">
        <v>127</v>
      </c>
      <c r="F80" s="10"/>
      <c r="G80" s="10" t="s">
        <v>77</v>
      </c>
      <c r="H80" s="10" t="s">
        <v>77</v>
      </c>
      <c r="I80" s="10" t="s">
        <v>77</v>
      </c>
      <c r="J80" s="10" t="s">
        <v>77</v>
      </c>
      <c r="K80" s="10" t="s">
        <v>77</v>
      </c>
      <c r="L80" s="10" t="s">
        <v>77</v>
      </c>
      <c r="M80" s="2" t="n">
        <v>20</v>
      </c>
      <c r="N80" s="10" t="s">
        <v>77</v>
      </c>
      <c r="O80" s="10"/>
      <c r="P80" s="10" t="s">
        <v>77</v>
      </c>
      <c r="Q80" s="10" t="s">
        <v>77</v>
      </c>
      <c r="R80" s="10" t="s">
        <v>77</v>
      </c>
      <c r="S80" s="10" t="s">
        <v>77</v>
      </c>
      <c r="T80" s="10" t="s">
        <v>77</v>
      </c>
      <c r="U80" s="10" t="s">
        <v>77</v>
      </c>
      <c r="V80" s="10" t="s">
        <v>77</v>
      </c>
      <c r="W80" s="10" t="s">
        <v>77</v>
      </c>
      <c r="X80" s="10" t="s">
        <v>77</v>
      </c>
      <c r="Y80" s="10" t="s">
        <v>77</v>
      </c>
      <c r="Z80" s="10" t="s">
        <v>77</v>
      </c>
      <c r="AA80" s="10" t="s">
        <v>77</v>
      </c>
      <c r="AB80" s="10"/>
      <c r="AC80" s="10" t="s">
        <v>77</v>
      </c>
      <c r="AD80" s="10" t="s">
        <v>77</v>
      </c>
      <c r="AE80" s="10" t="s">
        <v>77</v>
      </c>
      <c r="AF80" s="10" t="s">
        <v>77</v>
      </c>
      <c r="AG80" s="10" t="s">
        <v>77</v>
      </c>
      <c r="AH80" s="10" t="s">
        <v>77</v>
      </c>
      <c r="AI80" s="10" t="s">
        <v>77</v>
      </c>
      <c r="AJ80" s="10" t="s">
        <v>77</v>
      </c>
      <c r="AK80" s="10" t="s">
        <v>77</v>
      </c>
      <c r="AL80" s="10" t="s">
        <v>77</v>
      </c>
      <c r="AM80" s="10" t="s">
        <v>77</v>
      </c>
      <c r="AN80" s="10" t="s">
        <v>77</v>
      </c>
      <c r="AO80" s="10"/>
      <c r="AP80" s="10" t="s">
        <v>73</v>
      </c>
      <c r="AQ80" s="10" t="s">
        <v>73</v>
      </c>
      <c r="AS80" s="10" t="s">
        <v>77</v>
      </c>
      <c r="AT80" s="10" t="s">
        <v>77</v>
      </c>
      <c r="AU80" s="10" t="s">
        <v>77</v>
      </c>
      <c r="AV80" s="10" t="s">
        <v>77</v>
      </c>
      <c r="AW80" s="10" t="s">
        <v>77</v>
      </c>
      <c r="AX80" s="10" t="s">
        <v>77</v>
      </c>
      <c r="AY80" s="10" t="s">
        <v>77</v>
      </c>
      <c r="AZ80" s="10" t="s">
        <v>77</v>
      </c>
      <c r="BA80" s="10" t="s">
        <v>77</v>
      </c>
      <c r="BB80" s="10" t="s">
        <v>77</v>
      </c>
      <c r="BC80" s="10" t="s">
        <v>77</v>
      </c>
      <c r="BD80" s="10" t="s">
        <v>77</v>
      </c>
      <c r="BE80" s="10" t="s">
        <v>77</v>
      </c>
      <c r="BF80" s="10" t="s">
        <v>77</v>
      </c>
      <c r="BG80" s="10" t="s">
        <v>77</v>
      </c>
      <c r="BH80" s="10" t="s">
        <v>77</v>
      </c>
      <c r="BI80" s="10" t="s">
        <v>77</v>
      </c>
      <c r="BJ80" s="10" t="s">
        <v>77</v>
      </c>
      <c r="BK80" s="10" t="s">
        <v>77</v>
      </c>
      <c r="BL80" s="10" t="s">
        <v>77</v>
      </c>
      <c r="BM80" s="10" t="s">
        <v>77</v>
      </c>
      <c r="BN80" s="10" t="s">
        <v>77</v>
      </c>
      <c r="BO80" s="10" t="s">
        <v>77</v>
      </c>
      <c r="BP80" s="10" t="s">
        <v>77</v>
      </c>
      <c r="BR80" s="10" t="s">
        <v>77</v>
      </c>
      <c r="BS80" s="10" t="s">
        <v>77</v>
      </c>
      <c r="BT80" s="10" t="s">
        <v>77</v>
      </c>
      <c r="BU80" s="10" t="s">
        <v>77</v>
      </c>
      <c r="BV80" s="10" t="s">
        <v>77</v>
      </c>
      <c r="BW80" s="10" t="s">
        <v>77</v>
      </c>
      <c r="BX80" s="10" t="s">
        <v>77</v>
      </c>
      <c r="BY80" s="10" t="s">
        <v>77</v>
      </c>
      <c r="CA80" s="2" t="str">
        <f aca="false">IF(AS80="x","x",IF(AS80="-","-",""))</f>
        <v>-</v>
      </c>
      <c r="CB80" s="2" t="str">
        <f aca="false">IF(AT80="x","x",IF(AT80="-","-",""))</f>
        <v>-</v>
      </c>
      <c r="CC80" s="2" t="str">
        <f aca="false">IF(AU80="x","x",IF(AU80="-","-",""))</f>
        <v>-</v>
      </c>
      <c r="CD80" s="2" t="str">
        <f aca="false">IF(AV80="x","x",IF(AV80="-","-",""))</f>
        <v>-</v>
      </c>
      <c r="CE80" s="2" t="str">
        <f aca="false">IF(AW80="x","x",IF(AW80="-","-",""))</f>
        <v>-</v>
      </c>
      <c r="CF80" s="2" t="str">
        <f aca="false">IF(AX80="x","x",IF(AX80="-","-",""))</f>
        <v>-</v>
      </c>
      <c r="CG80" s="2" t="str">
        <f aca="false">IF(AY80="x","x",IF(AY80="-","-",""))</f>
        <v>-</v>
      </c>
      <c r="CH80" s="2" t="str">
        <f aca="false">IF(AZ80="x","x",IF(AZ80="-","-",""))</f>
        <v>-</v>
      </c>
      <c r="CI80" s="2" t="str">
        <f aca="false">IF(BA80="x","x",IF(BA80="-","-",""))</f>
        <v>-</v>
      </c>
      <c r="CJ80" s="2" t="str">
        <f aca="false">IF(BB80="x","x",IF(BB80="-","-",""))</f>
        <v>-</v>
      </c>
      <c r="CK80" s="2" t="str">
        <f aca="false">IF(BC80="x","x",IF(BC80="-","-",""))</f>
        <v>-</v>
      </c>
      <c r="CL80" s="2" t="str">
        <f aca="false">IF(BD80="x","x",IF(BD80="-","-",""))</f>
        <v>-</v>
      </c>
      <c r="CM80" s="2" t="str">
        <f aca="false">IF(BE80="x","x",IF(BE80="-","-",""))</f>
        <v>-</v>
      </c>
      <c r="CN80" s="2" t="str">
        <f aca="false">IF(BF80="x","x",IF(BF80="-","-",""))</f>
        <v>-</v>
      </c>
      <c r="CO80" s="2" t="str">
        <f aca="false">IF(BG80="x","x",IF(BG80="-","-",""))</f>
        <v>-</v>
      </c>
      <c r="CP80" s="2" t="str">
        <f aca="false">IF(BH80="x","x",IF(BH80="-","-",""))</f>
        <v>-</v>
      </c>
      <c r="CQ80" s="2" t="str">
        <f aca="false">IF(BI80="x","x",IF(BI80="-","-",""))</f>
        <v>-</v>
      </c>
      <c r="CR80" s="2" t="str">
        <f aca="false">IF(BJ80="x","x",IF(BJ80="-","-",""))</f>
        <v>-</v>
      </c>
      <c r="CS80" s="2" t="str">
        <f aca="false">IF(BK80="x","x",IF(BK80="-","-",""))</f>
        <v>-</v>
      </c>
      <c r="CT80" s="2" t="str">
        <f aca="false">IF(BL80="x","x",IF(BL80="-","-",""))</f>
        <v>-</v>
      </c>
      <c r="CU80" s="2" t="str">
        <f aca="false">IF(BM80="x","x",IF(BM80="-","-",""))</f>
        <v>-</v>
      </c>
      <c r="CV80" s="2" t="str">
        <f aca="false">IF(BN80="x","x",IF(BN80="-","-",""))</f>
        <v>-</v>
      </c>
      <c r="CW80" s="2" t="str">
        <f aca="false">IF(BO80="x","x",IF(BO80="-","-",""))</f>
        <v>-</v>
      </c>
      <c r="CX80" s="2" t="str">
        <f aca="false">IF(BP80="x","x",IF(BP80="-","-",""))</f>
        <v>-</v>
      </c>
      <c r="CZ80" s="2" t="str">
        <f aca="false">IF(P80="x","x",IF(P80="-","-",""))</f>
        <v>-</v>
      </c>
      <c r="DA80" s="2" t="str">
        <f aca="false">IF(Q80="x","x",IF(Q80="-","-",""))</f>
        <v>-</v>
      </c>
      <c r="DB80" s="2" t="str">
        <f aca="false">IF(R80="x","x",IF(R80="-","-",""))</f>
        <v>-</v>
      </c>
      <c r="DC80" s="2" t="str">
        <f aca="false">IF(S80="x","x",IF(S80="-","-",""))</f>
        <v>-</v>
      </c>
      <c r="DD80" s="2" t="str">
        <f aca="false">IF(T80="x","x",IF(T80="-","-",""))</f>
        <v>-</v>
      </c>
      <c r="DE80" s="2" t="str">
        <f aca="false">IF(U80="x","x",IF(U80="-","-",""))</f>
        <v>-</v>
      </c>
      <c r="DF80" s="2" t="str">
        <f aca="false">IF(V80="x","x",IF(V80="-","-",""))</f>
        <v>-</v>
      </c>
      <c r="DG80" s="2" t="str">
        <f aca="false">IF(W80="x","x",IF(W80="-","-",""))</f>
        <v>-</v>
      </c>
      <c r="DH80" s="2" t="str">
        <f aca="false">IF(X80="x","x",IF(X80="-","-",""))</f>
        <v>-</v>
      </c>
      <c r="DI80" s="2" t="str">
        <f aca="false">IF(Y80="x","x",IF(Y80="-","-",""))</f>
        <v>-</v>
      </c>
      <c r="DJ80" s="2" t="str">
        <f aca="false">IF(Z80="x","x",IF(Z80="-","-",""))</f>
        <v>-</v>
      </c>
      <c r="DK80" s="2" t="str">
        <f aca="false">IF(AA80="x","x",IF(AA80="-","-",""))</f>
        <v>-</v>
      </c>
      <c r="DL80" s="10"/>
      <c r="DM80" s="2" t="str">
        <f aca="false">IF(AC80="x","x",IF(AC80="-","-",""))</f>
        <v>-</v>
      </c>
      <c r="DN80" s="2" t="str">
        <f aca="false">IF(AD80="x","x",IF(AD80="-","-",""))</f>
        <v>-</v>
      </c>
      <c r="DO80" s="2" t="str">
        <f aca="false">IF(AE80="x","x",IF(AE80="-","-",""))</f>
        <v>-</v>
      </c>
      <c r="DP80" s="2" t="str">
        <f aca="false">IF(AF80="x","x",IF(AF80="-","-",""))</f>
        <v>-</v>
      </c>
      <c r="DQ80" s="2" t="str">
        <f aca="false">IF(AG80="x","x",IF(AG80="-","-",""))</f>
        <v>-</v>
      </c>
      <c r="DR80" s="2" t="str">
        <f aca="false">IF(AH80="x","x",IF(AH80="-","-",""))</f>
        <v>-</v>
      </c>
      <c r="DS80" s="2" t="str">
        <f aca="false">IF(AI80="x","x",IF(AI80="-","-",""))</f>
        <v>-</v>
      </c>
      <c r="DT80" s="2" t="str">
        <f aca="false">IF(AJ80="x","x",IF(AJ80="-","-",""))</f>
        <v>-</v>
      </c>
      <c r="DU80" s="2" t="str">
        <f aca="false">IF(AK80="x","x",IF(AK80="-","-",""))</f>
        <v>-</v>
      </c>
      <c r="DV80" s="2" t="str">
        <f aca="false">IF(AL80="x","x",IF(AL80="-","-",""))</f>
        <v>-</v>
      </c>
      <c r="DW80" s="2" t="str">
        <f aca="false">IF(AM80="x","x",IF(AM80="-","-",""))</f>
        <v>-</v>
      </c>
      <c r="DX80" s="2" t="str">
        <f aca="false">IF(AN80="x","x",IF(AN80="-","-",""))</f>
        <v>-</v>
      </c>
    </row>
    <row r="81" customFormat="false" ht="13.8" hidden="false" customHeight="false" outlineLevel="0" collapsed="false">
      <c r="A81" s="10" t="s">
        <v>73</v>
      </c>
      <c r="B81" s="2" t="n">
        <v>80</v>
      </c>
      <c r="C81" s="1" t="s">
        <v>77</v>
      </c>
      <c r="D81" s="10" t="s">
        <v>92</v>
      </c>
      <c r="E81" s="10" t="s">
        <v>127</v>
      </c>
      <c r="F81" s="10"/>
      <c r="G81" s="10" t="s">
        <v>77</v>
      </c>
      <c r="H81" s="10" t="s">
        <v>77</v>
      </c>
      <c r="I81" s="10" t="s">
        <v>77</v>
      </c>
      <c r="J81" s="10" t="s">
        <v>77</v>
      </c>
      <c r="K81" s="10" t="s">
        <v>77</v>
      </c>
      <c r="L81" s="10" t="s">
        <v>77</v>
      </c>
      <c r="M81" s="2" t="n">
        <v>20</v>
      </c>
      <c r="N81" s="10" t="s">
        <v>77</v>
      </c>
      <c r="O81" s="10"/>
      <c r="P81" s="10" t="s">
        <v>77</v>
      </c>
      <c r="Q81" s="10" t="s">
        <v>77</v>
      </c>
      <c r="R81" s="10" t="s">
        <v>77</v>
      </c>
      <c r="S81" s="10" t="s">
        <v>77</v>
      </c>
      <c r="T81" s="10" t="s">
        <v>77</v>
      </c>
      <c r="U81" s="10" t="s">
        <v>77</v>
      </c>
      <c r="V81" s="10" t="s">
        <v>77</v>
      </c>
      <c r="W81" s="10" t="s">
        <v>77</v>
      </c>
      <c r="X81" s="10" t="s">
        <v>77</v>
      </c>
      <c r="Y81" s="10" t="s">
        <v>77</v>
      </c>
      <c r="Z81" s="10" t="s">
        <v>77</v>
      </c>
      <c r="AA81" s="10" t="s">
        <v>77</v>
      </c>
      <c r="AB81" s="10"/>
      <c r="AC81" s="10" t="s">
        <v>77</v>
      </c>
      <c r="AD81" s="10" t="s">
        <v>77</v>
      </c>
      <c r="AE81" s="10" t="s">
        <v>77</v>
      </c>
      <c r="AF81" s="10" t="s">
        <v>77</v>
      </c>
      <c r="AG81" s="10" t="s">
        <v>77</v>
      </c>
      <c r="AH81" s="10" t="s">
        <v>77</v>
      </c>
      <c r="AI81" s="10" t="s">
        <v>77</v>
      </c>
      <c r="AJ81" s="10" t="s">
        <v>77</v>
      </c>
      <c r="AK81" s="10" t="s">
        <v>77</v>
      </c>
      <c r="AL81" s="10" t="s">
        <v>77</v>
      </c>
      <c r="AM81" s="10" t="s">
        <v>77</v>
      </c>
      <c r="AN81" s="10" t="s">
        <v>77</v>
      </c>
      <c r="AO81" s="10"/>
      <c r="AP81" s="10" t="s">
        <v>73</v>
      </c>
      <c r="AQ81" s="10" t="s">
        <v>73</v>
      </c>
      <c r="AS81" s="10" t="s">
        <v>77</v>
      </c>
      <c r="AT81" s="10" t="s">
        <v>77</v>
      </c>
      <c r="AU81" s="10" t="s">
        <v>77</v>
      </c>
      <c r="AV81" s="10" t="s">
        <v>77</v>
      </c>
      <c r="AW81" s="10" t="s">
        <v>77</v>
      </c>
      <c r="AX81" s="10" t="s">
        <v>77</v>
      </c>
      <c r="AY81" s="10" t="s">
        <v>77</v>
      </c>
      <c r="AZ81" s="10" t="s">
        <v>77</v>
      </c>
      <c r="BA81" s="10" t="s">
        <v>77</v>
      </c>
      <c r="BB81" s="10" t="s">
        <v>77</v>
      </c>
      <c r="BC81" s="10" t="s">
        <v>77</v>
      </c>
      <c r="BD81" s="10" t="s">
        <v>77</v>
      </c>
      <c r="BE81" s="10" t="s">
        <v>77</v>
      </c>
      <c r="BF81" s="10" t="s">
        <v>77</v>
      </c>
      <c r="BG81" s="10" t="s">
        <v>77</v>
      </c>
      <c r="BH81" s="10" t="s">
        <v>77</v>
      </c>
      <c r="BI81" s="10" t="s">
        <v>77</v>
      </c>
      <c r="BJ81" s="10" t="s">
        <v>77</v>
      </c>
      <c r="BK81" s="10" t="s">
        <v>77</v>
      </c>
      <c r="BL81" s="10" t="s">
        <v>77</v>
      </c>
      <c r="BM81" s="10" t="s">
        <v>77</v>
      </c>
      <c r="BN81" s="10" t="s">
        <v>77</v>
      </c>
      <c r="BO81" s="10" t="s">
        <v>77</v>
      </c>
      <c r="BP81" s="10" t="s">
        <v>77</v>
      </c>
      <c r="BR81" s="10" t="s">
        <v>77</v>
      </c>
      <c r="BS81" s="10" t="s">
        <v>77</v>
      </c>
      <c r="BT81" s="10" t="s">
        <v>77</v>
      </c>
      <c r="BU81" s="10" t="s">
        <v>77</v>
      </c>
      <c r="BV81" s="10" t="s">
        <v>77</v>
      </c>
      <c r="BW81" s="10" t="s">
        <v>77</v>
      </c>
      <c r="BX81" s="10" t="s">
        <v>77</v>
      </c>
      <c r="BY81" s="10" t="s">
        <v>77</v>
      </c>
      <c r="CA81" s="2" t="str">
        <f aca="false">IF(AS81="x","x",IF(AS81="-","-",""))</f>
        <v>-</v>
      </c>
      <c r="CB81" s="2" t="str">
        <f aca="false">IF(AT81="x","x",IF(AT81="-","-",""))</f>
        <v>-</v>
      </c>
      <c r="CC81" s="2" t="str">
        <f aca="false">IF(AU81="x","x",IF(AU81="-","-",""))</f>
        <v>-</v>
      </c>
      <c r="CD81" s="2" t="str">
        <f aca="false">IF(AV81="x","x",IF(AV81="-","-",""))</f>
        <v>-</v>
      </c>
      <c r="CE81" s="2" t="str">
        <f aca="false">IF(AW81="x","x",IF(AW81="-","-",""))</f>
        <v>-</v>
      </c>
      <c r="CF81" s="2" t="str">
        <f aca="false">IF(AX81="x","x",IF(AX81="-","-",""))</f>
        <v>-</v>
      </c>
      <c r="CG81" s="2" t="str">
        <f aca="false">IF(AY81="x","x",IF(AY81="-","-",""))</f>
        <v>-</v>
      </c>
      <c r="CH81" s="2" t="str">
        <f aca="false">IF(AZ81="x","x",IF(AZ81="-","-",""))</f>
        <v>-</v>
      </c>
      <c r="CI81" s="2" t="str">
        <f aca="false">IF(BA81="x","x",IF(BA81="-","-",""))</f>
        <v>-</v>
      </c>
      <c r="CJ81" s="2" t="str">
        <f aca="false">IF(BB81="x","x",IF(BB81="-","-",""))</f>
        <v>-</v>
      </c>
      <c r="CK81" s="2" t="str">
        <f aca="false">IF(BC81="x","x",IF(BC81="-","-",""))</f>
        <v>-</v>
      </c>
      <c r="CL81" s="2" t="str">
        <f aca="false">IF(BD81="x","x",IF(BD81="-","-",""))</f>
        <v>-</v>
      </c>
      <c r="CM81" s="2" t="str">
        <f aca="false">IF(BE81="x","x",IF(BE81="-","-",""))</f>
        <v>-</v>
      </c>
      <c r="CN81" s="2" t="str">
        <f aca="false">IF(BF81="x","x",IF(BF81="-","-",""))</f>
        <v>-</v>
      </c>
      <c r="CO81" s="2" t="str">
        <f aca="false">IF(BG81="x","x",IF(BG81="-","-",""))</f>
        <v>-</v>
      </c>
      <c r="CP81" s="2" t="str">
        <f aca="false">IF(BH81="x","x",IF(BH81="-","-",""))</f>
        <v>-</v>
      </c>
      <c r="CQ81" s="2" t="str">
        <f aca="false">IF(BI81="x","x",IF(BI81="-","-",""))</f>
        <v>-</v>
      </c>
      <c r="CR81" s="2" t="str">
        <f aca="false">IF(BJ81="x","x",IF(BJ81="-","-",""))</f>
        <v>-</v>
      </c>
      <c r="CS81" s="2" t="str">
        <f aca="false">IF(BK81="x","x",IF(BK81="-","-",""))</f>
        <v>-</v>
      </c>
      <c r="CT81" s="2" t="str">
        <f aca="false">IF(BL81="x","x",IF(BL81="-","-",""))</f>
        <v>-</v>
      </c>
      <c r="CU81" s="2" t="str">
        <f aca="false">IF(BM81="x","x",IF(BM81="-","-",""))</f>
        <v>-</v>
      </c>
      <c r="CV81" s="2" t="str">
        <f aca="false">IF(BN81="x","x",IF(BN81="-","-",""))</f>
        <v>-</v>
      </c>
      <c r="CW81" s="2" t="str">
        <f aca="false">IF(BO81="x","x",IF(BO81="-","-",""))</f>
        <v>-</v>
      </c>
      <c r="CX81" s="2" t="str">
        <f aca="false">IF(BP81="x","x",IF(BP81="-","-",""))</f>
        <v>-</v>
      </c>
      <c r="CZ81" s="2" t="str">
        <f aca="false">IF(P81="x","x",IF(P81="-","-",""))</f>
        <v>-</v>
      </c>
      <c r="DA81" s="2" t="str">
        <f aca="false">IF(Q81="x","x",IF(Q81="-","-",""))</f>
        <v>-</v>
      </c>
      <c r="DB81" s="2" t="str">
        <f aca="false">IF(R81="x","x",IF(R81="-","-",""))</f>
        <v>-</v>
      </c>
      <c r="DC81" s="2" t="str">
        <f aca="false">IF(S81="x","x",IF(S81="-","-",""))</f>
        <v>-</v>
      </c>
      <c r="DD81" s="2" t="str">
        <f aca="false">IF(T81="x","x",IF(T81="-","-",""))</f>
        <v>-</v>
      </c>
      <c r="DE81" s="2" t="str">
        <f aca="false">IF(U81="x","x",IF(U81="-","-",""))</f>
        <v>-</v>
      </c>
      <c r="DF81" s="2" t="str">
        <f aca="false">IF(V81="x","x",IF(V81="-","-",""))</f>
        <v>-</v>
      </c>
      <c r="DG81" s="2" t="str">
        <f aca="false">IF(W81="x","x",IF(W81="-","-",""))</f>
        <v>-</v>
      </c>
      <c r="DH81" s="2" t="str">
        <f aca="false">IF(X81="x","x",IF(X81="-","-",""))</f>
        <v>-</v>
      </c>
      <c r="DI81" s="2" t="str">
        <f aca="false">IF(Y81="x","x",IF(Y81="-","-",""))</f>
        <v>-</v>
      </c>
      <c r="DJ81" s="2" t="str">
        <f aca="false">IF(Z81="x","x",IF(Z81="-","-",""))</f>
        <v>-</v>
      </c>
      <c r="DK81" s="2" t="str">
        <f aca="false">IF(AA81="x","x",IF(AA81="-","-",""))</f>
        <v>-</v>
      </c>
      <c r="DL81" s="10"/>
      <c r="DM81" s="2" t="str">
        <f aca="false">IF(AC81="x","x",IF(AC81="-","-",""))</f>
        <v>-</v>
      </c>
      <c r="DN81" s="2" t="str">
        <f aca="false">IF(AD81="x","x",IF(AD81="-","-",""))</f>
        <v>-</v>
      </c>
      <c r="DO81" s="2" t="str">
        <f aca="false">IF(AE81="x","x",IF(AE81="-","-",""))</f>
        <v>-</v>
      </c>
      <c r="DP81" s="2" t="str">
        <f aca="false">IF(AF81="x","x",IF(AF81="-","-",""))</f>
        <v>-</v>
      </c>
      <c r="DQ81" s="2" t="str">
        <f aca="false">IF(AG81="x","x",IF(AG81="-","-",""))</f>
        <v>-</v>
      </c>
      <c r="DR81" s="2" t="str">
        <f aca="false">IF(AH81="x","x",IF(AH81="-","-",""))</f>
        <v>-</v>
      </c>
      <c r="DS81" s="2" t="str">
        <f aca="false">IF(AI81="x","x",IF(AI81="-","-",""))</f>
        <v>-</v>
      </c>
      <c r="DT81" s="2" t="str">
        <f aca="false">IF(AJ81="x","x",IF(AJ81="-","-",""))</f>
        <v>-</v>
      </c>
      <c r="DU81" s="2" t="str">
        <f aca="false">IF(AK81="x","x",IF(AK81="-","-",""))</f>
        <v>-</v>
      </c>
      <c r="DV81" s="2" t="str">
        <f aca="false">IF(AL81="x","x",IF(AL81="-","-",""))</f>
        <v>-</v>
      </c>
      <c r="DW81" s="2" t="str">
        <f aca="false">IF(AM81="x","x",IF(AM81="-","-",""))</f>
        <v>-</v>
      </c>
      <c r="DX81" s="2" t="str">
        <f aca="false">IF(AN81="x","x",IF(AN81="-","-",""))</f>
        <v>-</v>
      </c>
    </row>
    <row r="82" customFormat="false" ht="13.8" hidden="false" customHeight="false" outlineLevel="0" collapsed="false">
      <c r="A82" s="10" t="s">
        <v>73</v>
      </c>
      <c r="B82" s="2" t="n">
        <v>81</v>
      </c>
      <c r="C82" s="1" t="s">
        <v>77</v>
      </c>
      <c r="D82" s="10" t="s">
        <v>92</v>
      </c>
      <c r="E82" s="10" t="s">
        <v>127</v>
      </c>
      <c r="F82" s="10"/>
      <c r="G82" s="10" t="s">
        <v>77</v>
      </c>
      <c r="H82" s="10" t="s">
        <v>77</v>
      </c>
      <c r="I82" s="10" t="s">
        <v>77</v>
      </c>
      <c r="J82" s="10" t="s">
        <v>77</v>
      </c>
      <c r="K82" s="10" t="s">
        <v>77</v>
      </c>
      <c r="L82" s="10" t="s">
        <v>77</v>
      </c>
      <c r="M82" s="2" t="n">
        <v>20</v>
      </c>
      <c r="N82" s="10" t="s">
        <v>77</v>
      </c>
      <c r="O82" s="10"/>
      <c r="P82" s="10" t="s">
        <v>77</v>
      </c>
      <c r="Q82" s="10" t="s">
        <v>77</v>
      </c>
      <c r="R82" s="10" t="s">
        <v>77</v>
      </c>
      <c r="S82" s="10" t="s">
        <v>77</v>
      </c>
      <c r="T82" s="10" t="s">
        <v>77</v>
      </c>
      <c r="U82" s="10" t="s">
        <v>77</v>
      </c>
      <c r="V82" s="10" t="s">
        <v>77</v>
      </c>
      <c r="W82" s="10" t="s">
        <v>77</v>
      </c>
      <c r="X82" s="10" t="s">
        <v>77</v>
      </c>
      <c r="Y82" s="10" t="s">
        <v>77</v>
      </c>
      <c r="Z82" s="10" t="s">
        <v>77</v>
      </c>
      <c r="AA82" s="10" t="s">
        <v>77</v>
      </c>
      <c r="AB82" s="10"/>
      <c r="AC82" s="10" t="s">
        <v>77</v>
      </c>
      <c r="AD82" s="10" t="s">
        <v>77</v>
      </c>
      <c r="AE82" s="10" t="s">
        <v>77</v>
      </c>
      <c r="AF82" s="10" t="s">
        <v>77</v>
      </c>
      <c r="AG82" s="10" t="s">
        <v>77</v>
      </c>
      <c r="AH82" s="10" t="s">
        <v>77</v>
      </c>
      <c r="AI82" s="10" t="s">
        <v>77</v>
      </c>
      <c r="AJ82" s="10" t="s">
        <v>77</v>
      </c>
      <c r="AK82" s="10" t="s">
        <v>77</v>
      </c>
      <c r="AL82" s="10" t="s">
        <v>77</v>
      </c>
      <c r="AM82" s="10" t="s">
        <v>77</v>
      </c>
      <c r="AN82" s="10" t="s">
        <v>77</v>
      </c>
      <c r="AO82" s="10"/>
      <c r="AP82" s="10" t="s">
        <v>73</v>
      </c>
      <c r="AQ82" s="10" t="s">
        <v>73</v>
      </c>
      <c r="AS82" s="10" t="s">
        <v>77</v>
      </c>
      <c r="AT82" s="10" t="s">
        <v>77</v>
      </c>
      <c r="AU82" s="10" t="s">
        <v>77</v>
      </c>
      <c r="AV82" s="10" t="s">
        <v>77</v>
      </c>
      <c r="AW82" s="10" t="s">
        <v>77</v>
      </c>
      <c r="AX82" s="10" t="s">
        <v>77</v>
      </c>
      <c r="AY82" s="10" t="s">
        <v>77</v>
      </c>
      <c r="AZ82" s="10" t="s">
        <v>77</v>
      </c>
      <c r="BA82" s="10" t="s">
        <v>77</v>
      </c>
      <c r="BB82" s="10" t="s">
        <v>77</v>
      </c>
      <c r="BC82" s="10" t="s">
        <v>77</v>
      </c>
      <c r="BD82" s="10" t="s">
        <v>77</v>
      </c>
      <c r="BE82" s="10" t="s">
        <v>77</v>
      </c>
      <c r="BF82" s="10" t="s">
        <v>77</v>
      </c>
      <c r="BG82" s="10" t="s">
        <v>77</v>
      </c>
      <c r="BH82" s="10" t="s">
        <v>77</v>
      </c>
      <c r="BI82" s="10" t="s">
        <v>77</v>
      </c>
      <c r="BJ82" s="10" t="s">
        <v>77</v>
      </c>
      <c r="BK82" s="10" t="s">
        <v>77</v>
      </c>
      <c r="BL82" s="10" t="s">
        <v>77</v>
      </c>
      <c r="BM82" s="10" t="s">
        <v>77</v>
      </c>
      <c r="BN82" s="10" t="s">
        <v>77</v>
      </c>
      <c r="BO82" s="10" t="s">
        <v>77</v>
      </c>
      <c r="BP82" s="10" t="s">
        <v>77</v>
      </c>
      <c r="BR82" s="10" t="s">
        <v>77</v>
      </c>
      <c r="BS82" s="10" t="s">
        <v>77</v>
      </c>
      <c r="BT82" s="10" t="s">
        <v>77</v>
      </c>
      <c r="BU82" s="10" t="s">
        <v>77</v>
      </c>
      <c r="BV82" s="10" t="s">
        <v>77</v>
      </c>
      <c r="BW82" s="10" t="s">
        <v>77</v>
      </c>
      <c r="BX82" s="10" t="s">
        <v>77</v>
      </c>
      <c r="BY82" s="10" t="s">
        <v>77</v>
      </c>
      <c r="CA82" s="2" t="str">
        <f aca="false">IF(AS82="x","x",IF(AS82="-","-",""))</f>
        <v>-</v>
      </c>
      <c r="CB82" s="2" t="str">
        <f aca="false">IF(AT82="x","x",IF(AT82="-","-",""))</f>
        <v>-</v>
      </c>
      <c r="CC82" s="2" t="str">
        <f aca="false">IF(AU82="x","x",IF(AU82="-","-",""))</f>
        <v>-</v>
      </c>
      <c r="CD82" s="2" t="str">
        <f aca="false">IF(AV82="x","x",IF(AV82="-","-",""))</f>
        <v>-</v>
      </c>
      <c r="CE82" s="2" t="str">
        <f aca="false">IF(AW82="x","x",IF(AW82="-","-",""))</f>
        <v>-</v>
      </c>
      <c r="CF82" s="2" t="str">
        <f aca="false">IF(AX82="x","x",IF(AX82="-","-",""))</f>
        <v>-</v>
      </c>
      <c r="CG82" s="2" t="str">
        <f aca="false">IF(AY82="x","x",IF(AY82="-","-",""))</f>
        <v>-</v>
      </c>
      <c r="CH82" s="2" t="str">
        <f aca="false">IF(AZ82="x","x",IF(AZ82="-","-",""))</f>
        <v>-</v>
      </c>
      <c r="CI82" s="2" t="str">
        <f aca="false">IF(BA82="x","x",IF(BA82="-","-",""))</f>
        <v>-</v>
      </c>
      <c r="CJ82" s="2" t="str">
        <f aca="false">IF(BB82="x","x",IF(BB82="-","-",""))</f>
        <v>-</v>
      </c>
      <c r="CK82" s="2" t="str">
        <f aca="false">IF(BC82="x","x",IF(BC82="-","-",""))</f>
        <v>-</v>
      </c>
      <c r="CL82" s="2" t="str">
        <f aca="false">IF(BD82="x","x",IF(BD82="-","-",""))</f>
        <v>-</v>
      </c>
      <c r="CM82" s="2" t="str">
        <f aca="false">IF(BE82="x","x",IF(BE82="-","-",""))</f>
        <v>-</v>
      </c>
      <c r="CN82" s="2" t="str">
        <f aca="false">IF(BF82="x","x",IF(BF82="-","-",""))</f>
        <v>-</v>
      </c>
      <c r="CO82" s="2" t="str">
        <f aca="false">IF(BG82="x","x",IF(BG82="-","-",""))</f>
        <v>-</v>
      </c>
      <c r="CP82" s="2" t="str">
        <f aca="false">IF(BH82="x","x",IF(BH82="-","-",""))</f>
        <v>-</v>
      </c>
      <c r="CQ82" s="2" t="str">
        <f aca="false">IF(BI82="x","x",IF(BI82="-","-",""))</f>
        <v>-</v>
      </c>
      <c r="CR82" s="2" t="str">
        <f aca="false">IF(BJ82="x","x",IF(BJ82="-","-",""))</f>
        <v>-</v>
      </c>
      <c r="CS82" s="2" t="str">
        <f aca="false">IF(BK82="x","x",IF(BK82="-","-",""))</f>
        <v>-</v>
      </c>
      <c r="CT82" s="2" t="str">
        <f aca="false">IF(BL82="x","x",IF(BL82="-","-",""))</f>
        <v>-</v>
      </c>
      <c r="CU82" s="2" t="str">
        <f aca="false">IF(BM82="x","x",IF(BM82="-","-",""))</f>
        <v>-</v>
      </c>
      <c r="CV82" s="2" t="str">
        <f aca="false">IF(BN82="x","x",IF(BN82="-","-",""))</f>
        <v>-</v>
      </c>
      <c r="CW82" s="2" t="str">
        <f aca="false">IF(BO82="x","x",IF(BO82="-","-",""))</f>
        <v>-</v>
      </c>
      <c r="CX82" s="2" t="str">
        <f aca="false">IF(BP82="x","x",IF(BP82="-","-",""))</f>
        <v>-</v>
      </c>
      <c r="CZ82" s="2" t="str">
        <f aca="false">IF(P82="x","x",IF(P82="-","-",""))</f>
        <v>-</v>
      </c>
      <c r="DA82" s="2" t="str">
        <f aca="false">IF(Q82="x","x",IF(Q82="-","-",""))</f>
        <v>-</v>
      </c>
      <c r="DB82" s="2" t="str">
        <f aca="false">IF(R82="x","x",IF(R82="-","-",""))</f>
        <v>-</v>
      </c>
      <c r="DC82" s="2" t="str">
        <f aca="false">IF(S82="x","x",IF(S82="-","-",""))</f>
        <v>-</v>
      </c>
      <c r="DD82" s="2" t="str">
        <f aca="false">IF(T82="x","x",IF(T82="-","-",""))</f>
        <v>-</v>
      </c>
      <c r="DE82" s="2" t="str">
        <f aca="false">IF(U82="x","x",IF(U82="-","-",""))</f>
        <v>-</v>
      </c>
      <c r="DF82" s="2" t="str">
        <f aca="false">IF(V82="x","x",IF(V82="-","-",""))</f>
        <v>-</v>
      </c>
      <c r="DG82" s="2" t="str">
        <f aca="false">IF(W82="x","x",IF(W82="-","-",""))</f>
        <v>-</v>
      </c>
      <c r="DH82" s="2" t="str">
        <f aca="false">IF(X82="x","x",IF(X82="-","-",""))</f>
        <v>-</v>
      </c>
      <c r="DI82" s="2" t="str">
        <f aca="false">IF(Y82="x","x",IF(Y82="-","-",""))</f>
        <v>-</v>
      </c>
      <c r="DJ82" s="2" t="str">
        <f aca="false">IF(Z82="x","x",IF(Z82="-","-",""))</f>
        <v>-</v>
      </c>
      <c r="DK82" s="2" t="str">
        <f aca="false">IF(AA82="x","x",IF(AA82="-","-",""))</f>
        <v>-</v>
      </c>
      <c r="DL82" s="10"/>
      <c r="DM82" s="2" t="str">
        <f aca="false">IF(AC82="x","x",IF(AC82="-","-",""))</f>
        <v>-</v>
      </c>
      <c r="DN82" s="2" t="str">
        <f aca="false">IF(AD82="x","x",IF(AD82="-","-",""))</f>
        <v>-</v>
      </c>
      <c r="DO82" s="2" t="str">
        <f aca="false">IF(AE82="x","x",IF(AE82="-","-",""))</f>
        <v>-</v>
      </c>
      <c r="DP82" s="2" t="str">
        <f aca="false">IF(AF82="x","x",IF(AF82="-","-",""))</f>
        <v>-</v>
      </c>
      <c r="DQ82" s="2" t="str">
        <f aca="false">IF(AG82="x","x",IF(AG82="-","-",""))</f>
        <v>-</v>
      </c>
      <c r="DR82" s="2" t="str">
        <f aca="false">IF(AH82="x","x",IF(AH82="-","-",""))</f>
        <v>-</v>
      </c>
      <c r="DS82" s="2" t="str">
        <f aca="false">IF(AI82="x","x",IF(AI82="-","-",""))</f>
        <v>-</v>
      </c>
      <c r="DT82" s="2" t="str">
        <f aca="false">IF(AJ82="x","x",IF(AJ82="-","-",""))</f>
        <v>-</v>
      </c>
      <c r="DU82" s="2" t="str">
        <f aca="false">IF(AK82="x","x",IF(AK82="-","-",""))</f>
        <v>-</v>
      </c>
      <c r="DV82" s="2" t="str">
        <f aca="false">IF(AL82="x","x",IF(AL82="-","-",""))</f>
        <v>-</v>
      </c>
      <c r="DW82" s="2" t="str">
        <f aca="false">IF(AM82="x","x",IF(AM82="-","-",""))</f>
        <v>-</v>
      </c>
      <c r="DX82" s="2" t="str">
        <f aca="false">IF(AN82="x","x",IF(AN82="-","-",""))</f>
        <v>-</v>
      </c>
    </row>
    <row r="83" customFormat="false" ht="13.8" hidden="false" customHeight="false" outlineLevel="0" collapsed="false">
      <c r="A83" s="10" t="s">
        <v>73</v>
      </c>
      <c r="B83" s="2" t="n">
        <v>82</v>
      </c>
      <c r="C83" s="1" t="s">
        <v>77</v>
      </c>
      <c r="D83" s="10" t="s">
        <v>92</v>
      </c>
      <c r="E83" s="10" t="s">
        <v>127</v>
      </c>
      <c r="F83" s="10"/>
      <c r="G83" s="10" t="s">
        <v>77</v>
      </c>
      <c r="H83" s="10" t="s">
        <v>77</v>
      </c>
      <c r="I83" s="10" t="s">
        <v>77</v>
      </c>
      <c r="J83" s="10" t="s">
        <v>77</v>
      </c>
      <c r="K83" s="10" t="s">
        <v>77</v>
      </c>
      <c r="L83" s="10" t="s">
        <v>77</v>
      </c>
      <c r="M83" s="2" t="n">
        <v>20</v>
      </c>
      <c r="N83" s="10" t="s">
        <v>77</v>
      </c>
      <c r="O83" s="10"/>
      <c r="P83" s="10" t="s">
        <v>77</v>
      </c>
      <c r="Q83" s="10" t="s">
        <v>77</v>
      </c>
      <c r="R83" s="10" t="s">
        <v>77</v>
      </c>
      <c r="S83" s="10" t="s">
        <v>77</v>
      </c>
      <c r="T83" s="10" t="s">
        <v>77</v>
      </c>
      <c r="U83" s="10" t="s">
        <v>77</v>
      </c>
      <c r="V83" s="10" t="s">
        <v>77</v>
      </c>
      <c r="W83" s="10" t="s">
        <v>77</v>
      </c>
      <c r="X83" s="10" t="s">
        <v>77</v>
      </c>
      <c r="Y83" s="10" t="s">
        <v>77</v>
      </c>
      <c r="Z83" s="10" t="s">
        <v>77</v>
      </c>
      <c r="AA83" s="10" t="s">
        <v>77</v>
      </c>
      <c r="AB83" s="10"/>
      <c r="AC83" s="10" t="s">
        <v>77</v>
      </c>
      <c r="AD83" s="10" t="s">
        <v>77</v>
      </c>
      <c r="AE83" s="10" t="s">
        <v>77</v>
      </c>
      <c r="AF83" s="10" t="s">
        <v>77</v>
      </c>
      <c r="AG83" s="10" t="s">
        <v>77</v>
      </c>
      <c r="AH83" s="10" t="s">
        <v>77</v>
      </c>
      <c r="AI83" s="10" t="s">
        <v>77</v>
      </c>
      <c r="AJ83" s="10" t="s">
        <v>77</v>
      </c>
      <c r="AK83" s="10" t="s">
        <v>77</v>
      </c>
      <c r="AL83" s="10" t="s">
        <v>77</v>
      </c>
      <c r="AM83" s="10" t="s">
        <v>77</v>
      </c>
      <c r="AN83" s="10" t="s">
        <v>77</v>
      </c>
      <c r="AO83" s="10"/>
      <c r="AP83" s="10" t="s">
        <v>73</v>
      </c>
      <c r="AQ83" s="10" t="s">
        <v>73</v>
      </c>
      <c r="AS83" s="10" t="s">
        <v>77</v>
      </c>
      <c r="AT83" s="10" t="s">
        <v>77</v>
      </c>
      <c r="AU83" s="10" t="s">
        <v>77</v>
      </c>
      <c r="AV83" s="10" t="s">
        <v>77</v>
      </c>
      <c r="AW83" s="10" t="s">
        <v>77</v>
      </c>
      <c r="AX83" s="10" t="s">
        <v>77</v>
      </c>
      <c r="AY83" s="10" t="s">
        <v>77</v>
      </c>
      <c r="AZ83" s="10" t="s">
        <v>77</v>
      </c>
      <c r="BA83" s="10" t="s">
        <v>77</v>
      </c>
      <c r="BB83" s="10" t="s">
        <v>77</v>
      </c>
      <c r="BC83" s="10" t="s">
        <v>77</v>
      </c>
      <c r="BD83" s="10" t="s">
        <v>77</v>
      </c>
      <c r="BE83" s="10" t="s">
        <v>77</v>
      </c>
      <c r="BF83" s="10" t="s">
        <v>77</v>
      </c>
      <c r="BG83" s="10" t="s">
        <v>77</v>
      </c>
      <c r="BH83" s="10" t="s">
        <v>77</v>
      </c>
      <c r="BI83" s="10" t="s">
        <v>77</v>
      </c>
      <c r="BJ83" s="10" t="s">
        <v>77</v>
      </c>
      <c r="BK83" s="10" t="s">
        <v>77</v>
      </c>
      <c r="BL83" s="10" t="s">
        <v>77</v>
      </c>
      <c r="BM83" s="10" t="s">
        <v>77</v>
      </c>
      <c r="BN83" s="10" t="s">
        <v>77</v>
      </c>
      <c r="BO83" s="10" t="s">
        <v>77</v>
      </c>
      <c r="BP83" s="10" t="s">
        <v>77</v>
      </c>
      <c r="BR83" s="10" t="s">
        <v>77</v>
      </c>
      <c r="BS83" s="10" t="s">
        <v>77</v>
      </c>
      <c r="BT83" s="10" t="s">
        <v>77</v>
      </c>
      <c r="BU83" s="10" t="s">
        <v>77</v>
      </c>
      <c r="BV83" s="10" t="s">
        <v>77</v>
      </c>
      <c r="BW83" s="10" t="s">
        <v>77</v>
      </c>
      <c r="BX83" s="10" t="s">
        <v>77</v>
      </c>
      <c r="BY83" s="10" t="s">
        <v>77</v>
      </c>
      <c r="CA83" s="2" t="str">
        <f aca="false">IF(AS83="x","x",IF(AS83="-","-",""))</f>
        <v>-</v>
      </c>
      <c r="CB83" s="2" t="str">
        <f aca="false">IF(AT83="x","x",IF(AT83="-","-",""))</f>
        <v>-</v>
      </c>
      <c r="CC83" s="2" t="str">
        <f aca="false">IF(AU83="x","x",IF(AU83="-","-",""))</f>
        <v>-</v>
      </c>
      <c r="CD83" s="2" t="str">
        <f aca="false">IF(AV83="x","x",IF(AV83="-","-",""))</f>
        <v>-</v>
      </c>
      <c r="CE83" s="2" t="str">
        <f aca="false">IF(AW83="x","x",IF(AW83="-","-",""))</f>
        <v>-</v>
      </c>
      <c r="CF83" s="2" t="str">
        <f aca="false">IF(AX83="x","x",IF(AX83="-","-",""))</f>
        <v>-</v>
      </c>
      <c r="CG83" s="2" t="str">
        <f aca="false">IF(AY83="x","x",IF(AY83="-","-",""))</f>
        <v>-</v>
      </c>
      <c r="CH83" s="2" t="str">
        <f aca="false">IF(AZ83="x","x",IF(AZ83="-","-",""))</f>
        <v>-</v>
      </c>
      <c r="CI83" s="2" t="str">
        <f aca="false">IF(BA83="x","x",IF(BA83="-","-",""))</f>
        <v>-</v>
      </c>
      <c r="CJ83" s="2" t="str">
        <f aca="false">IF(BB83="x","x",IF(BB83="-","-",""))</f>
        <v>-</v>
      </c>
      <c r="CK83" s="2" t="str">
        <f aca="false">IF(BC83="x","x",IF(BC83="-","-",""))</f>
        <v>-</v>
      </c>
      <c r="CL83" s="2" t="str">
        <f aca="false">IF(BD83="x","x",IF(BD83="-","-",""))</f>
        <v>-</v>
      </c>
      <c r="CM83" s="2" t="str">
        <f aca="false">IF(BE83="x","x",IF(BE83="-","-",""))</f>
        <v>-</v>
      </c>
      <c r="CN83" s="2" t="str">
        <f aca="false">IF(BF83="x","x",IF(BF83="-","-",""))</f>
        <v>-</v>
      </c>
      <c r="CO83" s="2" t="str">
        <f aca="false">IF(BG83="x","x",IF(BG83="-","-",""))</f>
        <v>-</v>
      </c>
      <c r="CP83" s="2" t="str">
        <f aca="false">IF(BH83="x","x",IF(BH83="-","-",""))</f>
        <v>-</v>
      </c>
      <c r="CQ83" s="2" t="str">
        <f aca="false">IF(BI83="x","x",IF(BI83="-","-",""))</f>
        <v>-</v>
      </c>
      <c r="CR83" s="2" t="str">
        <f aca="false">IF(BJ83="x","x",IF(BJ83="-","-",""))</f>
        <v>-</v>
      </c>
      <c r="CS83" s="2" t="str">
        <f aca="false">IF(BK83="x","x",IF(BK83="-","-",""))</f>
        <v>-</v>
      </c>
      <c r="CT83" s="2" t="str">
        <f aca="false">IF(BL83="x","x",IF(BL83="-","-",""))</f>
        <v>-</v>
      </c>
      <c r="CU83" s="2" t="str">
        <f aca="false">IF(BM83="x","x",IF(BM83="-","-",""))</f>
        <v>-</v>
      </c>
      <c r="CV83" s="2" t="str">
        <f aca="false">IF(BN83="x","x",IF(BN83="-","-",""))</f>
        <v>-</v>
      </c>
      <c r="CW83" s="2" t="str">
        <f aca="false">IF(BO83="x","x",IF(BO83="-","-",""))</f>
        <v>-</v>
      </c>
      <c r="CX83" s="2" t="str">
        <f aca="false">IF(BP83="x","x",IF(BP83="-","-",""))</f>
        <v>-</v>
      </c>
      <c r="CZ83" s="2" t="str">
        <f aca="false">IF(P83="x","x",IF(P83="-","-",""))</f>
        <v>-</v>
      </c>
      <c r="DA83" s="2" t="str">
        <f aca="false">IF(Q83="x","x",IF(Q83="-","-",""))</f>
        <v>-</v>
      </c>
      <c r="DB83" s="2" t="str">
        <f aca="false">IF(R83="x","x",IF(R83="-","-",""))</f>
        <v>-</v>
      </c>
      <c r="DC83" s="2" t="str">
        <f aca="false">IF(S83="x","x",IF(S83="-","-",""))</f>
        <v>-</v>
      </c>
      <c r="DD83" s="2" t="str">
        <f aca="false">IF(T83="x","x",IF(T83="-","-",""))</f>
        <v>-</v>
      </c>
      <c r="DE83" s="2" t="str">
        <f aca="false">IF(U83="x","x",IF(U83="-","-",""))</f>
        <v>-</v>
      </c>
      <c r="DF83" s="2" t="str">
        <f aca="false">IF(V83="x","x",IF(V83="-","-",""))</f>
        <v>-</v>
      </c>
      <c r="DG83" s="2" t="str">
        <f aca="false">IF(W83="x","x",IF(W83="-","-",""))</f>
        <v>-</v>
      </c>
      <c r="DH83" s="2" t="str">
        <f aca="false">IF(X83="x","x",IF(X83="-","-",""))</f>
        <v>-</v>
      </c>
      <c r="DI83" s="2" t="str">
        <f aca="false">IF(Y83="x","x",IF(Y83="-","-",""))</f>
        <v>-</v>
      </c>
      <c r="DJ83" s="2" t="str">
        <f aca="false">IF(Z83="x","x",IF(Z83="-","-",""))</f>
        <v>-</v>
      </c>
      <c r="DK83" s="2" t="str">
        <f aca="false">IF(AA83="x","x",IF(AA83="-","-",""))</f>
        <v>-</v>
      </c>
      <c r="DL83" s="10"/>
      <c r="DM83" s="2" t="str">
        <f aca="false">IF(AC83="x","x",IF(AC83="-","-",""))</f>
        <v>-</v>
      </c>
      <c r="DN83" s="2" t="str">
        <f aca="false">IF(AD83="x","x",IF(AD83="-","-",""))</f>
        <v>-</v>
      </c>
      <c r="DO83" s="2" t="str">
        <f aca="false">IF(AE83="x","x",IF(AE83="-","-",""))</f>
        <v>-</v>
      </c>
      <c r="DP83" s="2" t="str">
        <f aca="false">IF(AF83="x","x",IF(AF83="-","-",""))</f>
        <v>-</v>
      </c>
      <c r="DQ83" s="2" t="str">
        <f aca="false">IF(AG83="x","x",IF(AG83="-","-",""))</f>
        <v>-</v>
      </c>
      <c r="DR83" s="2" t="str">
        <f aca="false">IF(AH83="x","x",IF(AH83="-","-",""))</f>
        <v>-</v>
      </c>
      <c r="DS83" s="2" t="str">
        <f aca="false">IF(AI83="x","x",IF(AI83="-","-",""))</f>
        <v>-</v>
      </c>
      <c r="DT83" s="2" t="str">
        <f aca="false">IF(AJ83="x","x",IF(AJ83="-","-",""))</f>
        <v>-</v>
      </c>
      <c r="DU83" s="2" t="str">
        <f aca="false">IF(AK83="x","x",IF(AK83="-","-",""))</f>
        <v>-</v>
      </c>
      <c r="DV83" s="2" t="str">
        <f aca="false">IF(AL83="x","x",IF(AL83="-","-",""))</f>
        <v>-</v>
      </c>
      <c r="DW83" s="2" t="str">
        <f aca="false">IF(AM83="x","x",IF(AM83="-","-",""))</f>
        <v>-</v>
      </c>
      <c r="DX83" s="2" t="str">
        <f aca="false">IF(AN83="x","x",IF(AN83="-","-",""))</f>
        <v>-</v>
      </c>
    </row>
    <row r="84" customFormat="false" ht="13.8" hidden="false" customHeight="false" outlineLevel="0" collapsed="false">
      <c r="A84" s="10" t="s">
        <v>73</v>
      </c>
      <c r="B84" s="2" t="n">
        <v>83</v>
      </c>
      <c r="C84" s="1" t="s">
        <v>77</v>
      </c>
      <c r="D84" s="10" t="s">
        <v>92</v>
      </c>
      <c r="E84" s="10" t="s">
        <v>127</v>
      </c>
      <c r="F84" s="10"/>
      <c r="G84" s="10" t="s">
        <v>77</v>
      </c>
      <c r="H84" s="10" t="s">
        <v>77</v>
      </c>
      <c r="I84" s="10" t="s">
        <v>77</v>
      </c>
      <c r="J84" s="10" t="s">
        <v>77</v>
      </c>
      <c r="K84" s="10" t="s">
        <v>77</v>
      </c>
      <c r="L84" s="10" t="s">
        <v>77</v>
      </c>
      <c r="M84" s="2" t="n">
        <v>20</v>
      </c>
      <c r="N84" s="10" t="s">
        <v>77</v>
      </c>
      <c r="O84" s="10"/>
      <c r="P84" s="10" t="s">
        <v>77</v>
      </c>
      <c r="Q84" s="10" t="s">
        <v>77</v>
      </c>
      <c r="R84" s="10" t="s">
        <v>77</v>
      </c>
      <c r="S84" s="10" t="s">
        <v>77</v>
      </c>
      <c r="T84" s="10" t="s">
        <v>77</v>
      </c>
      <c r="U84" s="10" t="s">
        <v>77</v>
      </c>
      <c r="V84" s="10" t="s">
        <v>77</v>
      </c>
      <c r="W84" s="10" t="s">
        <v>77</v>
      </c>
      <c r="X84" s="10" t="s">
        <v>77</v>
      </c>
      <c r="Y84" s="10" t="s">
        <v>77</v>
      </c>
      <c r="Z84" s="10" t="s">
        <v>77</v>
      </c>
      <c r="AA84" s="10" t="s">
        <v>77</v>
      </c>
      <c r="AB84" s="10"/>
      <c r="AC84" s="10" t="s">
        <v>77</v>
      </c>
      <c r="AD84" s="10" t="s">
        <v>77</v>
      </c>
      <c r="AE84" s="10" t="s">
        <v>77</v>
      </c>
      <c r="AF84" s="10" t="s">
        <v>77</v>
      </c>
      <c r="AG84" s="10" t="s">
        <v>77</v>
      </c>
      <c r="AH84" s="10" t="s">
        <v>77</v>
      </c>
      <c r="AI84" s="10" t="s">
        <v>77</v>
      </c>
      <c r="AJ84" s="10" t="s">
        <v>77</v>
      </c>
      <c r="AK84" s="10" t="s">
        <v>77</v>
      </c>
      <c r="AL84" s="10" t="s">
        <v>77</v>
      </c>
      <c r="AM84" s="10" t="s">
        <v>77</v>
      </c>
      <c r="AN84" s="10" t="s">
        <v>77</v>
      </c>
      <c r="AO84" s="10"/>
      <c r="AP84" s="10" t="s">
        <v>73</v>
      </c>
      <c r="AQ84" s="10" t="s">
        <v>73</v>
      </c>
      <c r="AS84" s="10" t="s">
        <v>77</v>
      </c>
      <c r="AT84" s="10" t="s">
        <v>77</v>
      </c>
      <c r="AU84" s="10" t="s">
        <v>77</v>
      </c>
      <c r="AV84" s="10" t="s">
        <v>77</v>
      </c>
      <c r="AW84" s="10" t="s">
        <v>77</v>
      </c>
      <c r="AX84" s="10" t="s">
        <v>77</v>
      </c>
      <c r="AY84" s="10" t="s">
        <v>77</v>
      </c>
      <c r="AZ84" s="10" t="s">
        <v>77</v>
      </c>
      <c r="BA84" s="10" t="s">
        <v>77</v>
      </c>
      <c r="BB84" s="10" t="s">
        <v>77</v>
      </c>
      <c r="BC84" s="10" t="s">
        <v>77</v>
      </c>
      <c r="BD84" s="10" t="s">
        <v>77</v>
      </c>
      <c r="BE84" s="10" t="s">
        <v>77</v>
      </c>
      <c r="BF84" s="10" t="s">
        <v>77</v>
      </c>
      <c r="BG84" s="10" t="s">
        <v>77</v>
      </c>
      <c r="BH84" s="10" t="s">
        <v>77</v>
      </c>
      <c r="BI84" s="10" t="s">
        <v>77</v>
      </c>
      <c r="BJ84" s="10" t="s">
        <v>77</v>
      </c>
      <c r="BK84" s="10" t="s">
        <v>77</v>
      </c>
      <c r="BL84" s="10" t="s">
        <v>77</v>
      </c>
      <c r="BM84" s="10" t="s">
        <v>77</v>
      </c>
      <c r="BN84" s="10" t="s">
        <v>77</v>
      </c>
      <c r="BO84" s="10" t="s">
        <v>77</v>
      </c>
      <c r="BP84" s="10" t="s">
        <v>77</v>
      </c>
      <c r="BR84" s="10" t="s">
        <v>77</v>
      </c>
      <c r="BS84" s="10" t="s">
        <v>77</v>
      </c>
      <c r="BT84" s="10" t="s">
        <v>77</v>
      </c>
      <c r="BU84" s="10" t="s">
        <v>77</v>
      </c>
      <c r="BV84" s="10" t="s">
        <v>77</v>
      </c>
      <c r="BW84" s="10" t="s">
        <v>77</v>
      </c>
      <c r="BX84" s="10" t="s">
        <v>77</v>
      </c>
      <c r="BY84" s="10" t="s">
        <v>77</v>
      </c>
      <c r="CA84" s="2" t="str">
        <f aca="false">IF(AS84="x","x",IF(AS84="-","-",""))</f>
        <v>-</v>
      </c>
      <c r="CB84" s="2" t="str">
        <f aca="false">IF(AT84="x","x",IF(AT84="-","-",""))</f>
        <v>-</v>
      </c>
      <c r="CC84" s="2" t="str">
        <f aca="false">IF(AU84="x","x",IF(AU84="-","-",""))</f>
        <v>-</v>
      </c>
      <c r="CD84" s="2" t="str">
        <f aca="false">IF(AV84="x","x",IF(AV84="-","-",""))</f>
        <v>-</v>
      </c>
      <c r="CE84" s="2" t="str">
        <f aca="false">IF(AW84="x","x",IF(AW84="-","-",""))</f>
        <v>-</v>
      </c>
      <c r="CF84" s="2" t="str">
        <f aca="false">IF(AX84="x","x",IF(AX84="-","-",""))</f>
        <v>-</v>
      </c>
      <c r="CG84" s="2" t="str">
        <f aca="false">IF(AY84="x","x",IF(AY84="-","-",""))</f>
        <v>-</v>
      </c>
      <c r="CH84" s="2" t="str">
        <f aca="false">IF(AZ84="x","x",IF(AZ84="-","-",""))</f>
        <v>-</v>
      </c>
      <c r="CI84" s="2" t="str">
        <f aca="false">IF(BA84="x","x",IF(BA84="-","-",""))</f>
        <v>-</v>
      </c>
      <c r="CJ84" s="2" t="str">
        <f aca="false">IF(BB84="x","x",IF(BB84="-","-",""))</f>
        <v>-</v>
      </c>
      <c r="CK84" s="2" t="str">
        <f aca="false">IF(BC84="x","x",IF(BC84="-","-",""))</f>
        <v>-</v>
      </c>
      <c r="CL84" s="2" t="str">
        <f aca="false">IF(BD84="x","x",IF(BD84="-","-",""))</f>
        <v>-</v>
      </c>
      <c r="CM84" s="2" t="str">
        <f aca="false">IF(BE84="x","x",IF(BE84="-","-",""))</f>
        <v>-</v>
      </c>
      <c r="CN84" s="2" t="str">
        <f aca="false">IF(BF84="x","x",IF(BF84="-","-",""))</f>
        <v>-</v>
      </c>
      <c r="CO84" s="2" t="str">
        <f aca="false">IF(BG84="x","x",IF(BG84="-","-",""))</f>
        <v>-</v>
      </c>
      <c r="CP84" s="2" t="str">
        <f aca="false">IF(BH84="x","x",IF(BH84="-","-",""))</f>
        <v>-</v>
      </c>
      <c r="CQ84" s="2" t="str">
        <f aca="false">IF(BI84="x","x",IF(BI84="-","-",""))</f>
        <v>-</v>
      </c>
      <c r="CR84" s="2" t="str">
        <f aca="false">IF(BJ84="x","x",IF(BJ84="-","-",""))</f>
        <v>-</v>
      </c>
      <c r="CS84" s="2" t="str">
        <f aca="false">IF(BK84="x","x",IF(BK84="-","-",""))</f>
        <v>-</v>
      </c>
      <c r="CT84" s="2" t="str">
        <f aca="false">IF(BL84="x","x",IF(BL84="-","-",""))</f>
        <v>-</v>
      </c>
      <c r="CU84" s="2" t="str">
        <f aca="false">IF(BM84="x","x",IF(BM84="-","-",""))</f>
        <v>-</v>
      </c>
      <c r="CV84" s="2" t="str">
        <f aca="false">IF(BN84="x","x",IF(BN84="-","-",""))</f>
        <v>-</v>
      </c>
      <c r="CW84" s="2" t="str">
        <f aca="false">IF(BO84="x","x",IF(BO84="-","-",""))</f>
        <v>-</v>
      </c>
      <c r="CX84" s="2" t="str">
        <f aca="false">IF(BP84="x","x",IF(BP84="-","-",""))</f>
        <v>-</v>
      </c>
      <c r="CZ84" s="2" t="str">
        <f aca="false">IF(P84="x","x",IF(P84="-","-",""))</f>
        <v>-</v>
      </c>
      <c r="DA84" s="2" t="str">
        <f aca="false">IF(Q84="x","x",IF(Q84="-","-",""))</f>
        <v>-</v>
      </c>
      <c r="DB84" s="2" t="str">
        <f aca="false">IF(R84="x","x",IF(R84="-","-",""))</f>
        <v>-</v>
      </c>
      <c r="DC84" s="2" t="str">
        <f aca="false">IF(S84="x","x",IF(S84="-","-",""))</f>
        <v>-</v>
      </c>
      <c r="DD84" s="2" t="str">
        <f aca="false">IF(T84="x","x",IF(T84="-","-",""))</f>
        <v>-</v>
      </c>
      <c r="DE84" s="2" t="str">
        <f aca="false">IF(U84="x","x",IF(U84="-","-",""))</f>
        <v>-</v>
      </c>
      <c r="DF84" s="2" t="str">
        <f aca="false">IF(V84="x","x",IF(V84="-","-",""))</f>
        <v>-</v>
      </c>
      <c r="DG84" s="2" t="str">
        <f aca="false">IF(W84="x","x",IF(W84="-","-",""))</f>
        <v>-</v>
      </c>
      <c r="DH84" s="2" t="str">
        <f aca="false">IF(X84="x","x",IF(X84="-","-",""))</f>
        <v>-</v>
      </c>
      <c r="DI84" s="2" t="str">
        <f aca="false">IF(Y84="x","x",IF(Y84="-","-",""))</f>
        <v>-</v>
      </c>
      <c r="DJ84" s="2" t="str">
        <f aca="false">IF(Z84="x","x",IF(Z84="-","-",""))</f>
        <v>-</v>
      </c>
      <c r="DK84" s="2" t="str">
        <f aca="false">IF(AA84="x","x",IF(AA84="-","-",""))</f>
        <v>-</v>
      </c>
      <c r="DL84" s="10"/>
      <c r="DM84" s="2" t="str">
        <f aca="false">IF(AC84="x","x",IF(AC84="-","-",""))</f>
        <v>-</v>
      </c>
      <c r="DN84" s="2" t="str">
        <f aca="false">IF(AD84="x","x",IF(AD84="-","-",""))</f>
        <v>-</v>
      </c>
      <c r="DO84" s="2" t="str">
        <f aca="false">IF(AE84="x","x",IF(AE84="-","-",""))</f>
        <v>-</v>
      </c>
      <c r="DP84" s="2" t="str">
        <f aca="false">IF(AF84="x","x",IF(AF84="-","-",""))</f>
        <v>-</v>
      </c>
      <c r="DQ84" s="2" t="str">
        <f aca="false">IF(AG84="x","x",IF(AG84="-","-",""))</f>
        <v>-</v>
      </c>
      <c r="DR84" s="2" t="str">
        <f aca="false">IF(AH84="x","x",IF(AH84="-","-",""))</f>
        <v>-</v>
      </c>
      <c r="DS84" s="2" t="str">
        <f aca="false">IF(AI84="x","x",IF(AI84="-","-",""))</f>
        <v>-</v>
      </c>
      <c r="DT84" s="2" t="str">
        <f aca="false">IF(AJ84="x","x",IF(AJ84="-","-",""))</f>
        <v>-</v>
      </c>
      <c r="DU84" s="2" t="str">
        <f aca="false">IF(AK84="x","x",IF(AK84="-","-",""))</f>
        <v>-</v>
      </c>
      <c r="DV84" s="2" t="str">
        <f aca="false">IF(AL84="x","x",IF(AL84="-","-",""))</f>
        <v>-</v>
      </c>
      <c r="DW84" s="2" t="str">
        <f aca="false">IF(AM84="x","x",IF(AM84="-","-",""))</f>
        <v>-</v>
      </c>
      <c r="DX84" s="2" t="str">
        <f aca="false">IF(AN84="x","x",IF(AN84="-","-",""))</f>
        <v>-</v>
      </c>
    </row>
    <row r="85" customFormat="false" ht="13.8" hidden="false" customHeight="false" outlineLevel="0" collapsed="false">
      <c r="A85" s="10" t="s">
        <v>73</v>
      </c>
      <c r="B85" s="2" t="n">
        <v>84</v>
      </c>
      <c r="C85" s="1" t="s">
        <v>77</v>
      </c>
      <c r="D85" s="10" t="s">
        <v>92</v>
      </c>
      <c r="E85" s="10" t="s">
        <v>127</v>
      </c>
      <c r="F85" s="10"/>
      <c r="G85" s="10" t="s">
        <v>77</v>
      </c>
      <c r="H85" s="10" t="s">
        <v>77</v>
      </c>
      <c r="I85" s="10" t="s">
        <v>77</v>
      </c>
      <c r="J85" s="10" t="s">
        <v>77</v>
      </c>
      <c r="K85" s="10" t="s">
        <v>77</v>
      </c>
      <c r="L85" s="10" t="s">
        <v>77</v>
      </c>
      <c r="M85" s="2" t="n">
        <v>20</v>
      </c>
      <c r="N85" s="10" t="s">
        <v>77</v>
      </c>
      <c r="O85" s="10"/>
      <c r="P85" s="10" t="s">
        <v>77</v>
      </c>
      <c r="Q85" s="10" t="s">
        <v>77</v>
      </c>
      <c r="R85" s="10" t="s">
        <v>77</v>
      </c>
      <c r="S85" s="10" t="s">
        <v>77</v>
      </c>
      <c r="T85" s="10" t="s">
        <v>77</v>
      </c>
      <c r="U85" s="10" t="s">
        <v>77</v>
      </c>
      <c r="V85" s="10" t="s">
        <v>77</v>
      </c>
      <c r="W85" s="10" t="s">
        <v>77</v>
      </c>
      <c r="X85" s="10" t="s">
        <v>77</v>
      </c>
      <c r="Y85" s="10" t="s">
        <v>77</v>
      </c>
      <c r="Z85" s="10" t="s">
        <v>77</v>
      </c>
      <c r="AA85" s="10" t="s">
        <v>77</v>
      </c>
      <c r="AB85" s="10"/>
      <c r="AC85" s="10" t="s">
        <v>77</v>
      </c>
      <c r="AD85" s="10" t="s">
        <v>77</v>
      </c>
      <c r="AE85" s="10" t="s">
        <v>77</v>
      </c>
      <c r="AF85" s="10" t="s">
        <v>77</v>
      </c>
      <c r="AG85" s="10" t="s">
        <v>77</v>
      </c>
      <c r="AH85" s="10" t="s">
        <v>77</v>
      </c>
      <c r="AI85" s="10" t="s">
        <v>77</v>
      </c>
      <c r="AJ85" s="10" t="s">
        <v>77</v>
      </c>
      <c r="AK85" s="10" t="s">
        <v>77</v>
      </c>
      <c r="AL85" s="10" t="s">
        <v>77</v>
      </c>
      <c r="AM85" s="10" t="s">
        <v>77</v>
      </c>
      <c r="AN85" s="10" t="s">
        <v>77</v>
      </c>
      <c r="AO85" s="10"/>
      <c r="AP85" s="10" t="s">
        <v>73</v>
      </c>
      <c r="AQ85" s="10" t="s">
        <v>73</v>
      </c>
      <c r="AS85" s="10" t="s">
        <v>77</v>
      </c>
      <c r="AT85" s="10" t="s">
        <v>77</v>
      </c>
      <c r="AU85" s="10" t="s">
        <v>77</v>
      </c>
      <c r="AV85" s="10" t="s">
        <v>77</v>
      </c>
      <c r="AW85" s="10" t="s">
        <v>77</v>
      </c>
      <c r="AX85" s="10" t="s">
        <v>77</v>
      </c>
      <c r="AY85" s="10" t="s">
        <v>77</v>
      </c>
      <c r="AZ85" s="10" t="s">
        <v>77</v>
      </c>
      <c r="BA85" s="10" t="s">
        <v>77</v>
      </c>
      <c r="BB85" s="10" t="s">
        <v>77</v>
      </c>
      <c r="BC85" s="10" t="s">
        <v>77</v>
      </c>
      <c r="BD85" s="10" t="s">
        <v>77</v>
      </c>
      <c r="BE85" s="10" t="s">
        <v>77</v>
      </c>
      <c r="BF85" s="10" t="s">
        <v>77</v>
      </c>
      <c r="BG85" s="10" t="s">
        <v>77</v>
      </c>
      <c r="BH85" s="10" t="s">
        <v>77</v>
      </c>
      <c r="BI85" s="10" t="s">
        <v>77</v>
      </c>
      <c r="BJ85" s="10" t="s">
        <v>77</v>
      </c>
      <c r="BK85" s="10" t="s">
        <v>77</v>
      </c>
      <c r="BL85" s="10" t="s">
        <v>77</v>
      </c>
      <c r="BM85" s="10" t="s">
        <v>77</v>
      </c>
      <c r="BN85" s="10" t="s">
        <v>77</v>
      </c>
      <c r="BO85" s="10" t="s">
        <v>77</v>
      </c>
      <c r="BP85" s="10" t="s">
        <v>77</v>
      </c>
      <c r="BR85" s="10" t="s">
        <v>77</v>
      </c>
      <c r="BS85" s="10" t="s">
        <v>77</v>
      </c>
      <c r="BT85" s="10" t="s">
        <v>77</v>
      </c>
      <c r="BU85" s="10" t="s">
        <v>77</v>
      </c>
      <c r="BV85" s="10" t="s">
        <v>77</v>
      </c>
      <c r="BW85" s="10" t="s">
        <v>77</v>
      </c>
      <c r="BX85" s="10" t="s">
        <v>77</v>
      </c>
      <c r="BY85" s="10" t="s">
        <v>77</v>
      </c>
      <c r="CA85" s="2" t="str">
        <f aca="false">IF(AS85="x","x",IF(AS85="-","-",""))</f>
        <v>-</v>
      </c>
      <c r="CB85" s="2" t="str">
        <f aca="false">IF(AT85="x","x",IF(AT85="-","-",""))</f>
        <v>-</v>
      </c>
      <c r="CC85" s="2" t="str">
        <f aca="false">IF(AU85="x","x",IF(AU85="-","-",""))</f>
        <v>-</v>
      </c>
      <c r="CD85" s="2" t="str">
        <f aca="false">IF(AV85="x","x",IF(AV85="-","-",""))</f>
        <v>-</v>
      </c>
      <c r="CE85" s="2" t="str">
        <f aca="false">IF(AW85="x","x",IF(AW85="-","-",""))</f>
        <v>-</v>
      </c>
      <c r="CF85" s="2" t="str">
        <f aca="false">IF(AX85="x","x",IF(AX85="-","-",""))</f>
        <v>-</v>
      </c>
      <c r="CG85" s="2" t="str">
        <f aca="false">IF(AY85="x","x",IF(AY85="-","-",""))</f>
        <v>-</v>
      </c>
      <c r="CH85" s="2" t="str">
        <f aca="false">IF(AZ85="x","x",IF(AZ85="-","-",""))</f>
        <v>-</v>
      </c>
      <c r="CI85" s="2" t="str">
        <f aca="false">IF(BA85="x","x",IF(BA85="-","-",""))</f>
        <v>-</v>
      </c>
      <c r="CJ85" s="2" t="str">
        <f aca="false">IF(BB85="x","x",IF(BB85="-","-",""))</f>
        <v>-</v>
      </c>
      <c r="CK85" s="2" t="str">
        <f aca="false">IF(BC85="x","x",IF(BC85="-","-",""))</f>
        <v>-</v>
      </c>
      <c r="CL85" s="2" t="str">
        <f aca="false">IF(BD85="x","x",IF(BD85="-","-",""))</f>
        <v>-</v>
      </c>
      <c r="CM85" s="2" t="str">
        <f aca="false">IF(BE85="x","x",IF(BE85="-","-",""))</f>
        <v>-</v>
      </c>
      <c r="CN85" s="2" t="str">
        <f aca="false">IF(BF85="x","x",IF(BF85="-","-",""))</f>
        <v>-</v>
      </c>
      <c r="CO85" s="2" t="str">
        <f aca="false">IF(BG85="x","x",IF(BG85="-","-",""))</f>
        <v>-</v>
      </c>
      <c r="CP85" s="2" t="str">
        <f aca="false">IF(BH85="x","x",IF(BH85="-","-",""))</f>
        <v>-</v>
      </c>
      <c r="CQ85" s="2" t="str">
        <f aca="false">IF(BI85="x","x",IF(BI85="-","-",""))</f>
        <v>-</v>
      </c>
      <c r="CR85" s="2" t="str">
        <f aca="false">IF(BJ85="x","x",IF(BJ85="-","-",""))</f>
        <v>-</v>
      </c>
      <c r="CS85" s="2" t="str">
        <f aca="false">IF(BK85="x","x",IF(BK85="-","-",""))</f>
        <v>-</v>
      </c>
      <c r="CT85" s="2" t="str">
        <f aca="false">IF(BL85="x","x",IF(BL85="-","-",""))</f>
        <v>-</v>
      </c>
      <c r="CU85" s="2" t="str">
        <f aca="false">IF(BM85="x","x",IF(BM85="-","-",""))</f>
        <v>-</v>
      </c>
      <c r="CV85" s="2" t="str">
        <f aca="false">IF(BN85="x","x",IF(BN85="-","-",""))</f>
        <v>-</v>
      </c>
      <c r="CW85" s="2" t="str">
        <f aca="false">IF(BO85="x","x",IF(BO85="-","-",""))</f>
        <v>-</v>
      </c>
      <c r="CX85" s="2" t="str">
        <f aca="false">IF(BP85="x","x",IF(BP85="-","-",""))</f>
        <v>-</v>
      </c>
      <c r="CZ85" s="2" t="str">
        <f aca="false">IF(P85="x","x",IF(P85="-","-",""))</f>
        <v>-</v>
      </c>
      <c r="DA85" s="2" t="str">
        <f aca="false">IF(Q85="x","x",IF(Q85="-","-",""))</f>
        <v>-</v>
      </c>
      <c r="DB85" s="2" t="str">
        <f aca="false">IF(R85="x","x",IF(R85="-","-",""))</f>
        <v>-</v>
      </c>
      <c r="DC85" s="2" t="str">
        <f aca="false">IF(S85="x","x",IF(S85="-","-",""))</f>
        <v>-</v>
      </c>
      <c r="DD85" s="2" t="str">
        <f aca="false">IF(T85="x","x",IF(T85="-","-",""))</f>
        <v>-</v>
      </c>
      <c r="DE85" s="2" t="str">
        <f aca="false">IF(U85="x","x",IF(U85="-","-",""))</f>
        <v>-</v>
      </c>
      <c r="DF85" s="2" t="str">
        <f aca="false">IF(V85="x","x",IF(V85="-","-",""))</f>
        <v>-</v>
      </c>
      <c r="DG85" s="2" t="str">
        <f aca="false">IF(W85="x","x",IF(W85="-","-",""))</f>
        <v>-</v>
      </c>
      <c r="DH85" s="2" t="str">
        <f aca="false">IF(X85="x","x",IF(X85="-","-",""))</f>
        <v>-</v>
      </c>
      <c r="DI85" s="2" t="str">
        <f aca="false">IF(Y85="x","x",IF(Y85="-","-",""))</f>
        <v>-</v>
      </c>
      <c r="DJ85" s="2" t="str">
        <f aca="false">IF(Z85="x","x",IF(Z85="-","-",""))</f>
        <v>-</v>
      </c>
      <c r="DK85" s="2" t="str">
        <f aca="false">IF(AA85="x","x",IF(AA85="-","-",""))</f>
        <v>-</v>
      </c>
      <c r="DL85" s="10"/>
      <c r="DM85" s="2" t="str">
        <f aca="false">IF(AC85="x","x",IF(AC85="-","-",""))</f>
        <v>-</v>
      </c>
      <c r="DN85" s="2" t="str">
        <f aca="false">IF(AD85="x","x",IF(AD85="-","-",""))</f>
        <v>-</v>
      </c>
      <c r="DO85" s="2" t="str">
        <f aca="false">IF(AE85="x","x",IF(AE85="-","-",""))</f>
        <v>-</v>
      </c>
      <c r="DP85" s="2" t="str">
        <f aca="false">IF(AF85="x","x",IF(AF85="-","-",""))</f>
        <v>-</v>
      </c>
      <c r="DQ85" s="2" t="str">
        <f aca="false">IF(AG85="x","x",IF(AG85="-","-",""))</f>
        <v>-</v>
      </c>
      <c r="DR85" s="2" t="str">
        <f aca="false">IF(AH85="x","x",IF(AH85="-","-",""))</f>
        <v>-</v>
      </c>
      <c r="DS85" s="2" t="str">
        <f aca="false">IF(AI85="x","x",IF(AI85="-","-",""))</f>
        <v>-</v>
      </c>
      <c r="DT85" s="2" t="str">
        <f aca="false">IF(AJ85="x","x",IF(AJ85="-","-",""))</f>
        <v>-</v>
      </c>
      <c r="DU85" s="2" t="str">
        <f aca="false">IF(AK85="x","x",IF(AK85="-","-",""))</f>
        <v>-</v>
      </c>
      <c r="DV85" s="2" t="str">
        <f aca="false">IF(AL85="x","x",IF(AL85="-","-",""))</f>
        <v>-</v>
      </c>
      <c r="DW85" s="2" t="str">
        <f aca="false">IF(AM85="x","x",IF(AM85="-","-",""))</f>
        <v>-</v>
      </c>
      <c r="DX85" s="2" t="str">
        <f aca="false">IF(AN85="x","x",IF(AN85="-","-",""))</f>
        <v>-</v>
      </c>
    </row>
    <row r="86" customFormat="false" ht="13.8" hidden="false" customHeight="false" outlineLevel="0" collapsed="false">
      <c r="A86" s="10" t="s">
        <v>73</v>
      </c>
      <c r="B86" s="2" t="n">
        <v>85</v>
      </c>
      <c r="C86" s="1" t="s">
        <v>77</v>
      </c>
      <c r="D86" s="10" t="s">
        <v>92</v>
      </c>
      <c r="E86" s="10" t="s">
        <v>127</v>
      </c>
      <c r="F86" s="10"/>
      <c r="G86" s="10" t="s">
        <v>77</v>
      </c>
      <c r="H86" s="10" t="s">
        <v>77</v>
      </c>
      <c r="I86" s="10" t="s">
        <v>77</v>
      </c>
      <c r="J86" s="10" t="s">
        <v>77</v>
      </c>
      <c r="K86" s="10" t="s">
        <v>77</v>
      </c>
      <c r="L86" s="10" t="s">
        <v>77</v>
      </c>
      <c r="M86" s="2" t="n">
        <v>20</v>
      </c>
      <c r="N86" s="10" t="s">
        <v>77</v>
      </c>
      <c r="O86" s="10"/>
      <c r="P86" s="10" t="s">
        <v>77</v>
      </c>
      <c r="Q86" s="10" t="s">
        <v>77</v>
      </c>
      <c r="R86" s="10" t="s">
        <v>77</v>
      </c>
      <c r="S86" s="10" t="s">
        <v>77</v>
      </c>
      <c r="T86" s="10" t="s">
        <v>77</v>
      </c>
      <c r="U86" s="10" t="s">
        <v>77</v>
      </c>
      <c r="V86" s="10" t="s">
        <v>77</v>
      </c>
      <c r="W86" s="10" t="s">
        <v>77</v>
      </c>
      <c r="X86" s="10" t="s">
        <v>77</v>
      </c>
      <c r="Y86" s="10" t="s">
        <v>77</v>
      </c>
      <c r="Z86" s="10" t="s">
        <v>77</v>
      </c>
      <c r="AA86" s="10" t="s">
        <v>77</v>
      </c>
      <c r="AB86" s="10"/>
      <c r="AC86" s="10" t="s">
        <v>77</v>
      </c>
      <c r="AD86" s="10" t="s">
        <v>77</v>
      </c>
      <c r="AE86" s="10" t="s">
        <v>77</v>
      </c>
      <c r="AF86" s="10" t="s">
        <v>77</v>
      </c>
      <c r="AG86" s="10" t="s">
        <v>77</v>
      </c>
      <c r="AH86" s="10" t="s">
        <v>77</v>
      </c>
      <c r="AI86" s="10" t="s">
        <v>77</v>
      </c>
      <c r="AJ86" s="10" t="s">
        <v>77</v>
      </c>
      <c r="AK86" s="10" t="s">
        <v>77</v>
      </c>
      <c r="AL86" s="10" t="s">
        <v>77</v>
      </c>
      <c r="AM86" s="10" t="s">
        <v>77</v>
      </c>
      <c r="AN86" s="10" t="s">
        <v>77</v>
      </c>
      <c r="AO86" s="10"/>
      <c r="AP86" s="10" t="s">
        <v>73</v>
      </c>
      <c r="AQ86" s="10" t="s">
        <v>73</v>
      </c>
      <c r="AS86" s="10" t="s">
        <v>77</v>
      </c>
      <c r="AT86" s="10" t="s">
        <v>77</v>
      </c>
      <c r="AU86" s="10" t="s">
        <v>77</v>
      </c>
      <c r="AV86" s="10" t="s">
        <v>77</v>
      </c>
      <c r="AW86" s="10" t="s">
        <v>77</v>
      </c>
      <c r="AX86" s="10" t="s">
        <v>77</v>
      </c>
      <c r="AY86" s="10" t="s">
        <v>77</v>
      </c>
      <c r="AZ86" s="10" t="s">
        <v>77</v>
      </c>
      <c r="BA86" s="10" t="s">
        <v>77</v>
      </c>
      <c r="BB86" s="10" t="s">
        <v>77</v>
      </c>
      <c r="BC86" s="10" t="s">
        <v>77</v>
      </c>
      <c r="BD86" s="10" t="s">
        <v>77</v>
      </c>
      <c r="BE86" s="10" t="s">
        <v>77</v>
      </c>
      <c r="BF86" s="10" t="s">
        <v>77</v>
      </c>
      <c r="BG86" s="10" t="s">
        <v>77</v>
      </c>
      <c r="BH86" s="10" t="s">
        <v>77</v>
      </c>
      <c r="BI86" s="10" t="s">
        <v>77</v>
      </c>
      <c r="BJ86" s="10" t="s">
        <v>77</v>
      </c>
      <c r="BK86" s="10" t="s">
        <v>77</v>
      </c>
      <c r="BL86" s="10" t="s">
        <v>77</v>
      </c>
      <c r="BM86" s="10" t="s">
        <v>77</v>
      </c>
      <c r="BN86" s="10" t="s">
        <v>77</v>
      </c>
      <c r="BO86" s="10" t="s">
        <v>77</v>
      </c>
      <c r="BP86" s="10" t="s">
        <v>77</v>
      </c>
      <c r="BR86" s="10" t="s">
        <v>77</v>
      </c>
      <c r="BS86" s="10" t="s">
        <v>77</v>
      </c>
      <c r="BT86" s="10" t="s">
        <v>77</v>
      </c>
      <c r="BU86" s="10" t="s">
        <v>77</v>
      </c>
      <c r="BV86" s="10" t="s">
        <v>77</v>
      </c>
      <c r="BW86" s="10" t="s">
        <v>77</v>
      </c>
      <c r="BX86" s="10" t="s">
        <v>77</v>
      </c>
      <c r="BY86" s="10" t="s">
        <v>77</v>
      </c>
      <c r="CA86" s="2" t="str">
        <f aca="false">IF(AS86="x","x",IF(AS86="-","-",""))</f>
        <v>-</v>
      </c>
      <c r="CB86" s="2" t="str">
        <f aca="false">IF(AT86="x","x",IF(AT86="-","-",""))</f>
        <v>-</v>
      </c>
      <c r="CC86" s="2" t="str">
        <f aca="false">IF(AU86="x","x",IF(AU86="-","-",""))</f>
        <v>-</v>
      </c>
      <c r="CD86" s="2" t="str">
        <f aca="false">IF(AV86="x","x",IF(AV86="-","-",""))</f>
        <v>-</v>
      </c>
      <c r="CE86" s="2" t="str">
        <f aca="false">IF(AW86="x","x",IF(AW86="-","-",""))</f>
        <v>-</v>
      </c>
      <c r="CF86" s="2" t="str">
        <f aca="false">IF(AX86="x","x",IF(AX86="-","-",""))</f>
        <v>-</v>
      </c>
      <c r="CG86" s="2" t="str">
        <f aca="false">IF(AY86="x","x",IF(AY86="-","-",""))</f>
        <v>-</v>
      </c>
      <c r="CH86" s="2" t="str">
        <f aca="false">IF(AZ86="x","x",IF(AZ86="-","-",""))</f>
        <v>-</v>
      </c>
      <c r="CI86" s="2" t="str">
        <f aca="false">IF(BA86="x","x",IF(BA86="-","-",""))</f>
        <v>-</v>
      </c>
      <c r="CJ86" s="2" t="str">
        <f aca="false">IF(BB86="x","x",IF(BB86="-","-",""))</f>
        <v>-</v>
      </c>
      <c r="CK86" s="2" t="str">
        <f aca="false">IF(BC86="x","x",IF(BC86="-","-",""))</f>
        <v>-</v>
      </c>
      <c r="CL86" s="2" t="str">
        <f aca="false">IF(BD86="x","x",IF(BD86="-","-",""))</f>
        <v>-</v>
      </c>
      <c r="CM86" s="2" t="str">
        <f aca="false">IF(BE86="x","x",IF(BE86="-","-",""))</f>
        <v>-</v>
      </c>
      <c r="CN86" s="2" t="str">
        <f aca="false">IF(BF86="x","x",IF(BF86="-","-",""))</f>
        <v>-</v>
      </c>
      <c r="CO86" s="2" t="str">
        <f aca="false">IF(BG86="x","x",IF(BG86="-","-",""))</f>
        <v>-</v>
      </c>
      <c r="CP86" s="2" t="str">
        <f aca="false">IF(BH86="x","x",IF(BH86="-","-",""))</f>
        <v>-</v>
      </c>
      <c r="CQ86" s="2" t="str">
        <f aca="false">IF(BI86="x","x",IF(BI86="-","-",""))</f>
        <v>-</v>
      </c>
      <c r="CR86" s="2" t="str">
        <f aca="false">IF(BJ86="x","x",IF(BJ86="-","-",""))</f>
        <v>-</v>
      </c>
      <c r="CS86" s="2" t="str">
        <f aca="false">IF(BK86="x","x",IF(BK86="-","-",""))</f>
        <v>-</v>
      </c>
      <c r="CT86" s="2" t="str">
        <f aca="false">IF(BL86="x","x",IF(BL86="-","-",""))</f>
        <v>-</v>
      </c>
      <c r="CU86" s="2" t="str">
        <f aca="false">IF(BM86="x","x",IF(BM86="-","-",""))</f>
        <v>-</v>
      </c>
      <c r="CV86" s="2" t="str">
        <f aca="false">IF(BN86="x","x",IF(BN86="-","-",""))</f>
        <v>-</v>
      </c>
      <c r="CW86" s="2" t="str">
        <f aca="false">IF(BO86="x","x",IF(BO86="-","-",""))</f>
        <v>-</v>
      </c>
      <c r="CX86" s="2" t="str">
        <f aca="false">IF(BP86="x","x",IF(BP86="-","-",""))</f>
        <v>-</v>
      </c>
      <c r="CZ86" s="2" t="str">
        <f aca="false">IF(P86="x","x",IF(P86="-","-",""))</f>
        <v>-</v>
      </c>
      <c r="DA86" s="2" t="str">
        <f aca="false">IF(Q86="x","x",IF(Q86="-","-",""))</f>
        <v>-</v>
      </c>
      <c r="DB86" s="2" t="str">
        <f aca="false">IF(R86="x","x",IF(R86="-","-",""))</f>
        <v>-</v>
      </c>
      <c r="DC86" s="2" t="str">
        <f aca="false">IF(S86="x","x",IF(S86="-","-",""))</f>
        <v>-</v>
      </c>
      <c r="DD86" s="2" t="str">
        <f aca="false">IF(T86="x","x",IF(T86="-","-",""))</f>
        <v>-</v>
      </c>
      <c r="DE86" s="2" t="str">
        <f aca="false">IF(U86="x","x",IF(U86="-","-",""))</f>
        <v>-</v>
      </c>
      <c r="DF86" s="2" t="str">
        <f aca="false">IF(V86="x","x",IF(V86="-","-",""))</f>
        <v>-</v>
      </c>
      <c r="DG86" s="2" t="str">
        <f aca="false">IF(W86="x","x",IF(W86="-","-",""))</f>
        <v>-</v>
      </c>
      <c r="DH86" s="2" t="str">
        <f aca="false">IF(X86="x","x",IF(X86="-","-",""))</f>
        <v>-</v>
      </c>
      <c r="DI86" s="2" t="str">
        <f aca="false">IF(Y86="x","x",IF(Y86="-","-",""))</f>
        <v>-</v>
      </c>
      <c r="DJ86" s="2" t="str">
        <f aca="false">IF(Z86="x","x",IF(Z86="-","-",""))</f>
        <v>-</v>
      </c>
      <c r="DK86" s="2" t="str">
        <f aca="false">IF(AA86="x","x",IF(AA86="-","-",""))</f>
        <v>-</v>
      </c>
      <c r="DL86" s="10"/>
      <c r="DM86" s="2" t="str">
        <f aca="false">IF(AC86="x","x",IF(AC86="-","-",""))</f>
        <v>-</v>
      </c>
      <c r="DN86" s="2" t="str">
        <f aca="false">IF(AD86="x","x",IF(AD86="-","-",""))</f>
        <v>-</v>
      </c>
      <c r="DO86" s="2" t="str">
        <f aca="false">IF(AE86="x","x",IF(AE86="-","-",""))</f>
        <v>-</v>
      </c>
      <c r="DP86" s="2" t="str">
        <f aca="false">IF(AF86="x","x",IF(AF86="-","-",""))</f>
        <v>-</v>
      </c>
      <c r="DQ86" s="2" t="str">
        <f aca="false">IF(AG86="x","x",IF(AG86="-","-",""))</f>
        <v>-</v>
      </c>
      <c r="DR86" s="2" t="str">
        <f aca="false">IF(AH86="x","x",IF(AH86="-","-",""))</f>
        <v>-</v>
      </c>
      <c r="DS86" s="2" t="str">
        <f aca="false">IF(AI86="x","x",IF(AI86="-","-",""))</f>
        <v>-</v>
      </c>
      <c r="DT86" s="2" t="str">
        <f aca="false">IF(AJ86="x","x",IF(AJ86="-","-",""))</f>
        <v>-</v>
      </c>
      <c r="DU86" s="2" t="str">
        <f aca="false">IF(AK86="x","x",IF(AK86="-","-",""))</f>
        <v>-</v>
      </c>
      <c r="DV86" s="2" t="str">
        <f aca="false">IF(AL86="x","x",IF(AL86="-","-",""))</f>
        <v>-</v>
      </c>
      <c r="DW86" s="2" t="str">
        <f aca="false">IF(AM86="x","x",IF(AM86="-","-",""))</f>
        <v>-</v>
      </c>
      <c r="DX86" s="2" t="str">
        <f aca="false">IF(AN86="x","x",IF(AN86="-","-",""))</f>
        <v>-</v>
      </c>
    </row>
    <row r="87" customFormat="false" ht="13.8" hidden="false" customHeight="false" outlineLevel="0" collapsed="false">
      <c r="A87" s="10" t="s">
        <v>73</v>
      </c>
      <c r="B87" s="2" t="n">
        <v>86</v>
      </c>
      <c r="C87" s="1" t="s">
        <v>77</v>
      </c>
      <c r="D87" s="10" t="s">
        <v>92</v>
      </c>
      <c r="E87" s="10" t="s">
        <v>127</v>
      </c>
      <c r="F87" s="10"/>
      <c r="G87" s="10" t="s">
        <v>77</v>
      </c>
      <c r="H87" s="10" t="s">
        <v>77</v>
      </c>
      <c r="I87" s="10" t="s">
        <v>77</v>
      </c>
      <c r="J87" s="10" t="s">
        <v>77</v>
      </c>
      <c r="K87" s="10" t="s">
        <v>77</v>
      </c>
      <c r="L87" s="10" t="s">
        <v>77</v>
      </c>
      <c r="M87" s="2" t="n">
        <v>20</v>
      </c>
      <c r="N87" s="10" t="s">
        <v>77</v>
      </c>
      <c r="O87" s="10"/>
      <c r="P87" s="10" t="s">
        <v>77</v>
      </c>
      <c r="Q87" s="10" t="s">
        <v>77</v>
      </c>
      <c r="R87" s="10" t="s">
        <v>77</v>
      </c>
      <c r="S87" s="10" t="s">
        <v>77</v>
      </c>
      <c r="T87" s="10" t="s">
        <v>77</v>
      </c>
      <c r="U87" s="10" t="s">
        <v>77</v>
      </c>
      <c r="V87" s="10" t="s">
        <v>77</v>
      </c>
      <c r="W87" s="10" t="s">
        <v>77</v>
      </c>
      <c r="X87" s="10" t="s">
        <v>77</v>
      </c>
      <c r="Y87" s="10" t="s">
        <v>77</v>
      </c>
      <c r="Z87" s="10" t="s">
        <v>77</v>
      </c>
      <c r="AA87" s="10" t="s">
        <v>77</v>
      </c>
      <c r="AB87" s="10"/>
      <c r="AC87" s="10" t="s">
        <v>77</v>
      </c>
      <c r="AD87" s="10" t="s">
        <v>77</v>
      </c>
      <c r="AE87" s="10" t="s">
        <v>77</v>
      </c>
      <c r="AF87" s="10" t="s">
        <v>77</v>
      </c>
      <c r="AG87" s="10" t="s">
        <v>77</v>
      </c>
      <c r="AH87" s="10" t="s">
        <v>77</v>
      </c>
      <c r="AI87" s="10" t="s">
        <v>77</v>
      </c>
      <c r="AJ87" s="10" t="s">
        <v>77</v>
      </c>
      <c r="AK87" s="10" t="s">
        <v>77</v>
      </c>
      <c r="AL87" s="10" t="s">
        <v>77</v>
      </c>
      <c r="AM87" s="10" t="s">
        <v>77</v>
      </c>
      <c r="AN87" s="10" t="s">
        <v>77</v>
      </c>
      <c r="AO87" s="10"/>
      <c r="AP87" s="10" t="s">
        <v>73</v>
      </c>
      <c r="AQ87" s="10" t="s">
        <v>73</v>
      </c>
      <c r="AS87" s="10" t="s">
        <v>77</v>
      </c>
      <c r="AT87" s="10" t="s">
        <v>77</v>
      </c>
      <c r="AU87" s="10" t="s">
        <v>77</v>
      </c>
      <c r="AV87" s="10" t="s">
        <v>77</v>
      </c>
      <c r="AW87" s="10" t="s">
        <v>77</v>
      </c>
      <c r="AX87" s="10" t="s">
        <v>77</v>
      </c>
      <c r="AY87" s="10" t="s">
        <v>77</v>
      </c>
      <c r="AZ87" s="10" t="s">
        <v>77</v>
      </c>
      <c r="BA87" s="10" t="s">
        <v>77</v>
      </c>
      <c r="BB87" s="10" t="s">
        <v>77</v>
      </c>
      <c r="BC87" s="10" t="s">
        <v>77</v>
      </c>
      <c r="BD87" s="10" t="s">
        <v>77</v>
      </c>
      <c r="BE87" s="10" t="s">
        <v>77</v>
      </c>
      <c r="BF87" s="10" t="s">
        <v>77</v>
      </c>
      <c r="BG87" s="10" t="s">
        <v>77</v>
      </c>
      <c r="BH87" s="10" t="s">
        <v>77</v>
      </c>
      <c r="BI87" s="10" t="s">
        <v>77</v>
      </c>
      <c r="BJ87" s="10" t="s">
        <v>77</v>
      </c>
      <c r="BK87" s="10" t="s">
        <v>77</v>
      </c>
      <c r="BL87" s="10" t="s">
        <v>77</v>
      </c>
      <c r="BM87" s="10" t="s">
        <v>77</v>
      </c>
      <c r="BN87" s="10" t="s">
        <v>77</v>
      </c>
      <c r="BO87" s="10" t="s">
        <v>77</v>
      </c>
      <c r="BP87" s="10" t="s">
        <v>77</v>
      </c>
      <c r="BR87" s="10" t="s">
        <v>77</v>
      </c>
      <c r="BS87" s="10" t="s">
        <v>77</v>
      </c>
      <c r="BT87" s="10" t="s">
        <v>77</v>
      </c>
      <c r="BU87" s="10" t="s">
        <v>77</v>
      </c>
      <c r="BV87" s="10" t="s">
        <v>77</v>
      </c>
      <c r="BW87" s="10" t="s">
        <v>77</v>
      </c>
      <c r="BX87" s="10" t="s">
        <v>77</v>
      </c>
      <c r="BY87" s="10" t="s">
        <v>77</v>
      </c>
      <c r="CA87" s="2" t="str">
        <f aca="false">IF(AS87="x","x",IF(AS87="-","-",""))</f>
        <v>-</v>
      </c>
      <c r="CB87" s="2" t="str">
        <f aca="false">IF(AT87="x","x",IF(AT87="-","-",""))</f>
        <v>-</v>
      </c>
      <c r="CC87" s="2" t="str">
        <f aca="false">IF(AU87="x","x",IF(AU87="-","-",""))</f>
        <v>-</v>
      </c>
      <c r="CD87" s="2" t="str">
        <f aca="false">IF(AV87="x","x",IF(AV87="-","-",""))</f>
        <v>-</v>
      </c>
      <c r="CE87" s="2" t="str">
        <f aca="false">IF(AW87="x","x",IF(AW87="-","-",""))</f>
        <v>-</v>
      </c>
      <c r="CF87" s="2" t="str">
        <f aca="false">IF(AX87="x","x",IF(AX87="-","-",""))</f>
        <v>-</v>
      </c>
      <c r="CG87" s="2" t="str">
        <f aca="false">IF(AY87="x","x",IF(AY87="-","-",""))</f>
        <v>-</v>
      </c>
      <c r="CH87" s="2" t="str">
        <f aca="false">IF(AZ87="x","x",IF(AZ87="-","-",""))</f>
        <v>-</v>
      </c>
      <c r="CI87" s="2" t="str">
        <f aca="false">IF(BA87="x","x",IF(BA87="-","-",""))</f>
        <v>-</v>
      </c>
      <c r="CJ87" s="2" t="str">
        <f aca="false">IF(BB87="x","x",IF(BB87="-","-",""))</f>
        <v>-</v>
      </c>
      <c r="CK87" s="2" t="str">
        <f aca="false">IF(BC87="x","x",IF(BC87="-","-",""))</f>
        <v>-</v>
      </c>
      <c r="CL87" s="2" t="str">
        <f aca="false">IF(BD87="x","x",IF(BD87="-","-",""))</f>
        <v>-</v>
      </c>
      <c r="CM87" s="2" t="str">
        <f aca="false">IF(BE87="x","x",IF(BE87="-","-",""))</f>
        <v>-</v>
      </c>
      <c r="CN87" s="2" t="str">
        <f aca="false">IF(BF87="x","x",IF(BF87="-","-",""))</f>
        <v>-</v>
      </c>
      <c r="CO87" s="2" t="str">
        <f aca="false">IF(BG87="x","x",IF(BG87="-","-",""))</f>
        <v>-</v>
      </c>
      <c r="CP87" s="2" t="str">
        <f aca="false">IF(BH87="x","x",IF(BH87="-","-",""))</f>
        <v>-</v>
      </c>
      <c r="CQ87" s="2" t="str">
        <f aca="false">IF(BI87="x","x",IF(BI87="-","-",""))</f>
        <v>-</v>
      </c>
      <c r="CR87" s="2" t="str">
        <f aca="false">IF(BJ87="x","x",IF(BJ87="-","-",""))</f>
        <v>-</v>
      </c>
      <c r="CS87" s="2" t="str">
        <f aca="false">IF(BK87="x","x",IF(BK87="-","-",""))</f>
        <v>-</v>
      </c>
      <c r="CT87" s="2" t="str">
        <f aca="false">IF(BL87="x","x",IF(BL87="-","-",""))</f>
        <v>-</v>
      </c>
      <c r="CU87" s="2" t="str">
        <f aca="false">IF(BM87="x","x",IF(BM87="-","-",""))</f>
        <v>-</v>
      </c>
      <c r="CV87" s="2" t="str">
        <f aca="false">IF(BN87="x","x",IF(BN87="-","-",""))</f>
        <v>-</v>
      </c>
      <c r="CW87" s="2" t="str">
        <f aca="false">IF(BO87="x","x",IF(BO87="-","-",""))</f>
        <v>-</v>
      </c>
      <c r="CX87" s="2" t="str">
        <f aca="false">IF(BP87="x","x",IF(BP87="-","-",""))</f>
        <v>-</v>
      </c>
      <c r="CZ87" s="2" t="str">
        <f aca="false">IF(P87="x","x",IF(P87="-","-",""))</f>
        <v>-</v>
      </c>
      <c r="DA87" s="2" t="str">
        <f aca="false">IF(Q87="x","x",IF(Q87="-","-",""))</f>
        <v>-</v>
      </c>
      <c r="DB87" s="2" t="str">
        <f aca="false">IF(R87="x","x",IF(R87="-","-",""))</f>
        <v>-</v>
      </c>
      <c r="DC87" s="2" t="str">
        <f aca="false">IF(S87="x","x",IF(S87="-","-",""))</f>
        <v>-</v>
      </c>
      <c r="DD87" s="2" t="str">
        <f aca="false">IF(T87="x","x",IF(T87="-","-",""))</f>
        <v>-</v>
      </c>
      <c r="DE87" s="2" t="str">
        <f aca="false">IF(U87="x","x",IF(U87="-","-",""))</f>
        <v>-</v>
      </c>
      <c r="DF87" s="2" t="str">
        <f aca="false">IF(V87="x","x",IF(V87="-","-",""))</f>
        <v>-</v>
      </c>
      <c r="DG87" s="2" t="str">
        <f aca="false">IF(W87="x","x",IF(W87="-","-",""))</f>
        <v>-</v>
      </c>
      <c r="DH87" s="2" t="str">
        <f aca="false">IF(X87="x","x",IF(X87="-","-",""))</f>
        <v>-</v>
      </c>
      <c r="DI87" s="2" t="str">
        <f aca="false">IF(Y87="x","x",IF(Y87="-","-",""))</f>
        <v>-</v>
      </c>
      <c r="DJ87" s="2" t="str">
        <f aca="false">IF(Z87="x","x",IF(Z87="-","-",""))</f>
        <v>-</v>
      </c>
      <c r="DK87" s="2" t="str">
        <f aca="false">IF(AA87="x","x",IF(AA87="-","-",""))</f>
        <v>-</v>
      </c>
      <c r="DL87" s="10"/>
      <c r="DM87" s="2" t="str">
        <f aca="false">IF(AC87="x","x",IF(AC87="-","-",""))</f>
        <v>-</v>
      </c>
      <c r="DN87" s="2" t="str">
        <f aca="false">IF(AD87="x","x",IF(AD87="-","-",""))</f>
        <v>-</v>
      </c>
      <c r="DO87" s="2" t="str">
        <f aca="false">IF(AE87="x","x",IF(AE87="-","-",""))</f>
        <v>-</v>
      </c>
      <c r="DP87" s="2" t="str">
        <f aca="false">IF(AF87="x","x",IF(AF87="-","-",""))</f>
        <v>-</v>
      </c>
      <c r="DQ87" s="2" t="str">
        <f aca="false">IF(AG87="x","x",IF(AG87="-","-",""))</f>
        <v>-</v>
      </c>
      <c r="DR87" s="2" t="str">
        <f aca="false">IF(AH87="x","x",IF(AH87="-","-",""))</f>
        <v>-</v>
      </c>
      <c r="DS87" s="2" t="str">
        <f aca="false">IF(AI87="x","x",IF(AI87="-","-",""))</f>
        <v>-</v>
      </c>
      <c r="DT87" s="2" t="str">
        <f aca="false">IF(AJ87="x","x",IF(AJ87="-","-",""))</f>
        <v>-</v>
      </c>
      <c r="DU87" s="2" t="str">
        <f aca="false">IF(AK87="x","x",IF(AK87="-","-",""))</f>
        <v>-</v>
      </c>
      <c r="DV87" s="2" t="str">
        <f aca="false">IF(AL87="x","x",IF(AL87="-","-",""))</f>
        <v>-</v>
      </c>
      <c r="DW87" s="2" t="str">
        <f aca="false">IF(AM87="x","x",IF(AM87="-","-",""))</f>
        <v>-</v>
      </c>
      <c r="DX87" s="2" t="str">
        <f aca="false">IF(AN87="x","x",IF(AN87="-","-",""))</f>
        <v>-</v>
      </c>
    </row>
    <row r="88" customFormat="false" ht="13.8" hidden="false" customHeight="false" outlineLevel="0" collapsed="false">
      <c r="A88" s="10" t="s">
        <v>73</v>
      </c>
      <c r="B88" s="2" t="n">
        <v>87</v>
      </c>
      <c r="C88" s="1" t="s">
        <v>77</v>
      </c>
      <c r="D88" s="10" t="s">
        <v>92</v>
      </c>
      <c r="E88" s="10" t="s">
        <v>127</v>
      </c>
      <c r="F88" s="10"/>
      <c r="G88" s="10" t="s">
        <v>77</v>
      </c>
      <c r="H88" s="10" t="s">
        <v>77</v>
      </c>
      <c r="I88" s="10" t="s">
        <v>77</v>
      </c>
      <c r="J88" s="10" t="s">
        <v>77</v>
      </c>
      <c r="K88" s="10" t="s">
        <v>77</v>
      </c>
      <c r="L88" s="10" t="s">
        <v>77</v>
      </c>
      <c r="M88" s="2" t="n">
        <v>20</v>
      </c>
      <c r="N88" s="10" t="s">
        <v>77</v>
      </c>
      <c r="O88" s="10"/>
      <c r="P88" s="10" t="s">
        <v>77</v>
      </c>
      <c r="Q88" s="10" t="s">
        <v>77</v>
      </c>
      <c r="R88" s="10" t="s">
        <v>77</v>
      </c>
      <c r="S88" s="10" t="s">
        <v>77</v>
      </c>
      <c r="T88" s="10" t="s">
        <v>77</v>
      </c>
      <c r="U88" s="10" t="s">
        <v>77</v>
      </c>
      <c r="V88" s="10" t="s">
        <v>77</v>
      </c>
      <c r="W88" s="10" t="s">
        <v>77</v>
      </c>
      <c r="X88" s="10" t="s">
        <v>77</v>
      </c>
      <c r="Y88" s="10" t="s">
        <v>77</v>
      </c>
      <c r="Z88" s="10" t="s">
        <v>77</v>
      </c>
      <c r="AA88" s="10" t="s">
        <v>77</v>
      </c>
      <c r="AB88" s="10"/>
      <c r="AC88" s="10" t="s">
        <v>77</v>
      </c>
      <c r="AD88" s="10" t="s">
        <v>77</v>
      </c>
      <c r="AE88" s="10" t="s">
        <v>77</v>
      </c>
      <c r="AF88" s="10" t="s">
        <v>77</v>
      </c>
      <c r="AG88" s="10" t="s">
        <v>77</v>
      </c>
      <c r="AH88" s="10" t="s">
        <v>77</v>
      </c>
      <c r="AI88" s="10" t="s">
        <v>77</v>
      </c>
      <c r="AJ88" s="10" t="s">
        <v>77</v>
      </c>
      <c r="AK88" s="10" t="s">
        <v>77</v>
      </c>
      <c r="AL88" s="10" t="s">
        <v>77</v>
      </c>
      <c r="AM88" s="10" t="s">
        <v>77</v>
      </c>
      <c r="AN88" s="10" t="s">
        <v>77</v>
      </c>
      <c r="AO88" s="10"/>
      <c r="AP88" s="10" t="s">
        <v>73</v>
      </c>
      <c r="AQ88" s="10" t="s">
        <v>73</v>
      </c>
      <c r="AS88" s="10" t="s">
        <v>77</v>
      </c>
      <c r="AT88" s="10" t="s">
        <v>77</v>
      </c>
      <c r="AU88" s="10" t="s">
        <v>77</v>
      </c>
      <c r="AV88" s="10" t="s">
        <v>77</v>
      </c>
      <c r="AW88" s="10" t="s">
        <v>77</v>
      </c>
      <c r="AX88" s="10" t="s">
        <v>77</v>
      </c>
      <c r="AY88" s="10" t="s">
        <v>77</v>
      </c>
      <c r="AZ88" s="10" t="s">
        <v>77</v>
      </c>
      <c r="BA88" s="10" t="s">
        <v>77</v>
      </c>
      <c r="BB88" s="10" t="s">
        <v>77</v>
      </c>
      <c r="BC88" s="10" t="s">
        <v>77</v>
      </c>
      <c r="BD88" s="10" t="s">
        <v>77</v>
      </c>
      <c r="BE88" s="10" t="s">
        <v>77</v>
      </c>
      <c r="BF88" s="10" t="s">
        <v>77</v>
      </c>
      <c r="BG88" s="10" t="s">
        <v>77</v>
      </c>
      <c r="BH88" s="10" t="s">
        <v>77</v>
      </c>
      <c r="BI88" s="10" t="s">
        <v>77</v>
      </c>
      <c r="BJ88" s="10" t="s">
        <v>77</v>
      </c>
      <c r="BK88" s="10" t="s">
        <v>77</v>
      </c>
      <c r="BL88" s="10" t="s">
        <v>77</v>
      </c>
      <c r="BM88" s="10" t="s">
        <v>77</v>
      </c>
      <c r="BN88" s="10" t="s">
        <v>77</v>
      </c>
      <c r="BO88" s="10" t="s">
        <v>77</v>
      </c>
      <c r="BP88" s="10" t="s">
        <v>77</v>
      </c>
      <c r="BR88" s="10" t="s">
        <v>77</v>
      </c>
      <c r="BS88" s="10" t="s">
        <v>77</v>
      </c>
      <c r="BT88" s="10" t="s">
        <v>77</v>
      </c>
      <c r="BU88" s="10" t="s">
        <v>77</v>
      </c>
      <c r="BV88" s="10" t="s">
        <v>77</v>
      </c>
      <c r="BW88" s="10" t="s">
        <v>77</v>
      </c>
      <c r="BX88" s="10" t="s">
        <v>77</v>
      </c>
      <c r="BY88" s="10" t="s">
        <v>77</v>
      </c>
      <c r="CA88" s="2" t="str">
        <f aca="false">IF(AS88="x","x",IF(AS88="-","-",""))</f>
        <v>-</v>
      </c>
      <c r="CB88" s="2" t="str">
        <f aca="false">IF(AT88="x","x",IF(AT88="-","-",""))</f>
        <v>-</v>
      </c>
      <c r="CC88" s="2" t="str">
        <f aca="false">IF(AU88="x","x",IF(AU88="-","-",""))</f>
        <v>-</v>
      </c>
      <c r="CD88" s="2" t="str">
        <f aca="false">IF(AV88="x","x",IF(AV88="-","-",""))</f>
        <v>-</v>
      </c>
      <c r="CE88" s="2" t="str">
        <f aca="false">IF(AW88="x","x",IF(AW88="-","-",""))</f>
        <v>-</v>
      </c>
      <c r="CF88" s="2" t="str">
        <f aca="false">IF(AX88="x","x",IF(AX88="-","-",""))</f>
        <v>-</v>
      </c>
      <c r="CG88" s="2" t="str">
        <f aca="false">IF(AY88="x","x",IF(AY88="-","-",""))</f>
        <v>-</v>
      </c>
      <c r="CH88" s="2" t="str">
        <f aca="false">IF(AZ88="x","x",IF(AZ88="-","-",""))</f>
        <v>-</v>
      </c>
      <c r="CI88" s="2" t="str">
        <f aca="false">IF(BA88="x","x",IF(BA88="-","-",""))</f>
        <v>-</v>
      </c>
      <c r="CJ88" s="2" t="str">
        <f aca="false">IF(BB88="x","x",IF(BB88="-","-",""))</f>
        <v>-</v>
      </c>
      <c r="CK88" s="2" t="str">
        <f aca="false">IF(BC88="x","x",IF(BC88="-","-",""))</f>
        <v>-</v>
      </c>
      <c r="CL88" s="2" t="str">
        <f aca="false">IF(BD88="x","x",IF(BD88="-","-",""))</f>
        <v>-</v>
      </c>
      <c r="CM88" s="2" t="str">
        <f aca="false">IF(BE88="x","x",IF(BE88="-","-",""))</f>
        <v>-</v>
      </c>
      <c r="CN88" s="2" t="str">
        <f aca="false">IF(BF88="x","x",IF(BF88="-","-",""))</f>
        <v>-</v>
      </c>
      <c r="CO88" s="2" t="str">
        <f aca="false">IF(BG88="x","x",IF(BG88="-","-",""))</f>
        <v>-</v>
      </c>
      <c r="CP88" s="2" t="str">
        <f aca="false">IF(BH88="x","x",IF(BH88="-","-",""))</f>
        <v>-</v>
      </c>
      <c r="CQ88" s="2" t="str">
        <f aca="false">IF(BI88="x","x",IF(BI88="-","-",""))</f>
        <v>-</v>
      </c>
      <c r="CR88" s="2" t="str">
        <f aca="false">IF(BJ88="x","x",IF(BJ88="-","-",""))</f>
        <v>-</v>
      </c>
      <c r="CS88" s="2" t="str">
        <f aca="false">IF(BK88="x","x",IF(BK88="-","-",""))</f>
        <v>-</v>
      </c>
      <c r="CT88" s="2" t="str">
        <f aca="false">IF(BL88="x","x",IF(BL88="-","-",""))</f>
        <v>-</v>
      </c>
      <c r="CU88" s="2" t="str">
        <f aca="false">IF(BM88="x","x",IF(BM88="-","-",""))</f>
        <v>-</v>
      </c>
      <c r="CV88" s="2" t="str">
        <f aca="false">IF(BN88="x","x",IF(BN88="-","-",""))</f>
        <v>-</v>
      </c>
      <c r="CW88" s="2" t="str">
        <f aca="false">IF(BO88="x","x",IF(BO88="-","-",""))</f>
        <v>-</v>
      </c>
      <c r="CX88" s="2" t="str">
        <f aca="false">IF(BP88="x","x",IF(BP88="-","-",""))</f>
        <v>-</v>
      </c>
      <c r="CZ88" s="2" t="str">
        <f aca="false">IF(P88="x","x",IF(P88="-","-",""))</f>
        <v>-</v>
      </c>
      <c r="DA88" s="2" t="str">
        <f aca="false">IF(Q88="x","x",IF(Q88="-","-",""))</f>
        <v>-</v>
      </c>
      <c r="DB88" s="2" t="str">
        <f aca="false">IF(R88="x","x",IF(R88="-","-",""))</f>
        <v>-</v>
      </c>
      <c r="DC88" s="2" t="str">
        <f aca="false">IF(S88="x","x",IF(S88="-","-",""))</f>
        <v>-</v>
      </c>
      <c r="DD88" s="2" t="str">
        <f aca="false">IF(T88="x","x",IF(T88="-","-",""))</f>
        <v>-</v>
      </c>
      <c r="DE88" s="2" t="str">
        <f aca="false">IF(U88="x","x",IF(U88="-","-",""))</f>
        <v>-</v>
      </c>
      <c r="DF88" s="2" t="str">
        <f aca="false">IF(V88="x","x",IF(V88="-","-",""))</f>
        <v>-</v>
      </c>
      <c r="DG88" s="2" t="str">
        <f aca="false">IF(W88="x","x",IF(W88="-","-",""))</f>
        <v>-</v>
      </c>
      <c r="DH88" s="2" t="str">
        <f aca="false">IF(X88="x","x",IF(X88="-","-",""))</f>
        <v>-</v>
      </c>
      <c r="DI88" s="2" t="str">
        <f aca="false">IF(Y88="x","x",IF(Y88="-","-",""))</f>
        <v>-</v>
      </c>
      <c r="DJ88" s="2" t="str">
        <f aca="false">IF(Z88="x","x",IF(Z88="-","-",""))</f>
        <v>-</v>
      </c>
      <c r="DK88" s="2" t="str">
        <f aca="false">IF(AA88="x","x",IF(AA88="-","-",""))</f>
        <v>-</v>
      </c>
      <c r="DL88" s="10"/>
      <c r="DM88" s="2" t="str">
        <f aca="false">IF(AC88="x","x",IF(AC88="-","-",""))</f>
        <v>-</v>
      </c>
      <c r="DN88" s="2" t="str">
        <f aca="false">IF(AD88="x","x",IF(AD88="-","-",""))</f>
        <v>-</v>
      </c>
      <c r="DO88" s="2" t="str">
        <f aca="false">IF(AE88="x","x",IF(AE88="-","-",""))</f>
        <v>-</v>
      </c>
      <c r="DP88" s="2" t="str">
        <f aca="false">IF(AF88="x","x",IF(AF88="-","-",""))</f>
        <v>-</v>
      </c>
      <c r="DQ88" s="2" t="str">
        <f aca="false">IF(AG88="x","x",IF(AG88="-","-",""))</f>
        <v>-</v>
      </c>
      <c r="DR88" s="2" t="str">
        <f aca="false">IF(AH88="x","x",IF(AH88="-","-",""))</f>
        <v>-</v>
      </c>
      <c r="DS88" s="2" t="str">
        <f aca="false">IF(AI88="x","x",IF(AI88="-","-",""))</f>
        <v>-</v>
      </c>
      <c r="DT88" s="2" t="str">
        <f aca="false">IF(AJ88="x","x",IF(AJ88="-","-",""))</f>
        <v>-</v>
      </c>
      <c r="DU88" s="2" t="str">
        <f aca="false">IF(AK88="x","x",IF(AK88="-","-",""))</f>
        <v>-</v>
      </c>
      <c r="DV88" s="2" t="str">
        <f aca="false">IF(AL88="x","x",IF(AL88="-","-",""))</f>
        <v>-</v>
      </c>
      <c r="DW88" s="2" t="str">
        <f aca="false">IF(AM88="x","x",IF(AM88="-","-",""))</f>
        <v>-</v>
      </c>
      <c r="DX88" s="2" t="str">
        <f aca="false">IF(AN88="x","x",IF(AN88="-","-",""))</f>
        <v>-</v>
      </c>
    </row>
    <row r="89" customFormat="false" ht="13.8" hidden="false" customHeight="false" outlineLevel="0" collapsed="false">
      <c r="A89" s="10" t="s">
        <v>73</v>
      </c>
      <c r="B89" s="2" t="n">
        <v>88</v>
      </c>
      <c r="C89" s="1" t="s">
        <v>77</v>
      </c>
      <c r="D89" s="10" t="s">
        <v>92</v>
      </c>
      <c r="E89" s="10" t="s">
        <v>127</v>
      </c>
      <c r="F89" s="10"/>
      <c r="G89" s="10" t="s">
        <v>77</v>
      </c>
      <c r="H89" s="10" t="s">
        <v>77</v>
      </c>
      <c r="I89" s="10" t="s">
        <v>77</v>
      </c>
      <c r="J89" s="10" t="s">
        <v>77</v>
      </c>
      <c r="K89" s="10" t="s">
        <v>77</v>
      </c>
      <c r="L89" s="10" t="s">
        <v>77</v>
      </c>
      <c r="M89" s="2" t="n">
        <v>20</v>
      </c>
      <c r="N89" s="10" t="s">
        <v>77</v>
      </c>
      <c r="O89" s="10"/>
      <c r="P89" s="10" t="s">
        <v>77</v>
      </c>
      <c r="Q89" s="10" t="s">
        <v>77</v>
      </c>
      <c r="R89" s="10" t="s">
        <v>77</v>
      </c>
      <c r="S89" s="10" t="s">
        <v>77</v>
      </c>
      <c r="T89" s="10" t="s">
        <v>77</v>
      </c>
      <c r="U89" s="10" t="s">
        <v>77</v>
      </c>
      <c r="V89" s="10" t="s">
        <v>77</v>
      </c>
      <c r="W89" s="10" t="s">
        <v>77</v>
      </c>
      <c r="X89" s="10" t="s">
        <v>77</v>
      </c>
      <c r="Y89" s="10" t="s">
        <v>77</v>
      </c>
      <c r="Z89" s="10" t="s">
        <v>77</v>
      </c>
      <c r="AA89" s="10" t="s">
        <v>77</v>
      </c>
      <c r="AB89" s="10"/>
      <c r="AC89" s="10" t="s">
        <v>77</v>
      </c>
      <c r="AD89" s="10" t="s">
        <v>77</v>
      </c>
      <c r="AE89" s="10" t="s">
        <v>77</v>
      </c>
      <c r="AF89" s="10" t="s">
        <v>77</v>
      </c>
      <c r="AG89" s="10" t="s">
        <v>77</v>
      </c>
      <c r="AH89" s="10" t="s">
        <v>77</v>
      </c>
      <c r="AI89" s="10" t="s">
        <v>77</v>
      </c>
      <c r="AJ89" s="10" t="s">
        <v>77</v>
      </c>
      <c r="AK89" s="10" t="s">
        <v>77</v>
      </c>
      <c r="AL89" s="10" t="s">
        <v>77</v>
      </c>
      <c r="AM89" s="10" t="s">
        <v>77</v>
      </c>
      <c r="AN89" s="10" t="s">
        <v>77</v>
      </c>
      <c r="AO89" s="10"/>
      <c r="AP89" s="10" t="s">
        <v>73</v>
      </c>
      <c r="AQ89" s="10" t="s">
        <v>73</v>
      </c>
      <c r="AS89" s="10" t="s">
        <v>77</v>
      </c>
      <c r="AT89" s="10" t="s">
        <v>77</v>
      </c>
      <c r="AU89" s="10" t="s">
        <v>77</v>
      </c>
      <c r="AV89" s="10" t="s">
        <v>77</v>
      </c>
      <c r="AW89" s="10" t="s">
        <v>77</v>
      </c>
      <c r="AX89" s="10" t="s">
        <v>77</v>
      </c>
      <c r="AY89" s="10" t="s">
        <v>77</v>
      </c>
      <c r="AZ89" s="10" t="s">
        <v>77</v>
      </c>
      <c r="BA89" s="10" t="s">
        <v>77</v>
      </c>
      <c r="BB89" s="10" t="s">
        <v>77</v>
      </c>
      <c r="BC89" s="10" t="s">
        <v>77</v>
      </c>
      <c r="BD89" s="10" t="s">
        <v>77</v>
      </c>
      <c r="BE89" s="10" t="s">
        <v>77</v>
      </c>
      <c r="BF89" s="10" t="s">
        <v>77</v>
      </c>
      <c r="BG89" s="10" t="s">
        <v>77</v>
      </c>
      <c r="BH89" s="10" t="s">
        <v>77</v>
      </c>
      <c r="BI89" s="10" t="s">
        <v>77</v>
      </c>
      <c r="BJ89" s="10" t="s">
        <v>77</v>
      </c>
      <c r="BK89" s="10" t="s">
        <v>77</v>
      </c>
      <c r="BL89" s="10" t="s">
        <v>77</v>
      </c>
      <c r="BM89" s="10" t="s">
        <v>77</v>
      </c>
      <c r="BN89" s="10" t="s">
        <v>77</v>
      </c>
      <c r="BO89" s="10" t="s">
        <v>77</v>
      </c>
      <c r="BP89" s="10" t="s">
        <v>77</v>
      </c>
      <c r="BR89" s="10" t="s">
        <v>77</v>
      </c>
      <c r="BS89" s="10" t="s">
        <v>77</v>
      </c>
      <c r="BT89" s="10" t="s">
        <v>77</v>
      </c>
      <c r="BU89" s="10" t="s">
        <v>77</v>
      </c>
      <c r="BV89" s="10" t="s">
        <v>77</v>
      </c>
      <c r="BW89" s="10" t="s">
        <v>77</v>
      </c>
      <c r="BX89" s="10" t="s">
        <v>77</v>
      </c>
      <c r="BY89" s="10" t="s">
        <v>77</v>
      </c>
      <c r="CA89" s="2" t="str">
        <f aca="false">IF(AS89="x","x",IF(AS89="-","-",""))</f>
        <v>-</v>
      </c>
      <c r="CB89" s="2" t="str">
        <f aca="false">IF(AT89="x","x",IF(AT89="-","-",""))</f>
        <v>-</v>
      </c>
      <c r="CC89" s="2" t="str">
        <f aca="false">IF(AU89="x","x",IF(AU89="-","-",""))</f>
        <v>-</v>
      </c>
      <c r="CD89" s="2" t="str">
        <f aca="false">IF(AV89="x","x",IF(AV89="-","-",""))</f>
        <v>-</v>
      </c>
      <c r="CE89" s="2" t="str">
        <f aca="false">IF(AW89="x","x",IF(AW89="-","-",""))</f>
        <v>-</v>
      </c>
      <c r="CF89" s="2" t="str">
        <f aca="false">IF(AX89="x","x",IF(AX89="-","-",""))</f>
        <v>-</v>
      </c>
      <c r="CG89" s="2" t="str">
        <f aca="false">IF(AY89="x","x",IF(AY89="-","-",""))</f>
        <v>-</v>
      </c>
      <c r="CH89" s="2" t="str">
        <f aca="false">IF(AZ89="x","x",IF(AZ89="-","-",""))</f>
        <v>-</v>
      </c>
      <c r="CI89" s="2" t="str">
        <f aca="false">IF(BA89="x","x",IF(BA89="-","-",""))</f>
        <v>-</v>
      </c>
      <c r="CJ89" s="2" t="str">
        <f aca="false">IF(BB89="x","x",IF(BB89="-","-",""))</f>
        <v>-</v>
      </c>
      <c r="CK89" s="2" t="str">
        <f aca="false">IF(BC89="x","x",IF(BC89="-","-",""))</f>
        <v>-</v>
      </c>
      <c r="CL89" s="2" t="str">
        <f aca="false">IF(BD89="x","x",IF(BD89="-","-",""))</f>
        <v>-</v>
      </c>
      <c r="CM89" s="2" t="str">
        <f aca="false">IF(BE89="x","x",IF(BE89="-","-",""))</f>
        <v>-</v>
      </c>
      <c r="CN89" s="2" t="str">
        <f aca="false">IF(BF89="x","x",IF(BF89="-","-",""))</f>
        <v>-</v>
      </c>
      <c r="CO89" s="2" t="str">
        <f aca="false">IF(BG89="x","x",IF(BG89="-","-",""))</f>
        <v>-</v>
      </c>
      <c r="CP89" s="2" t="str">
        <f aca="false">IF(BH89="x","x",IF(BH89="-","-",""))</f>
        <v>-</v>
      </c>
      <c r="CQ89" s="2" t="str">
        <f aca="false">IF(BI89="x","x",IF(BI89="-","-",""))</f>
        <v>-</v>
      </c>
      <c r="CR89" s="2" t="str">
        <f aca="false">IF(BJ89="x","x",IF(BJ89="-","-",""))</f>
        <v>-</v>
      </c>
      <c r="CS89" s="2" t="str">
        <f aca="false">IF(BK89="x","x",IF(BK89="-","-",""))</f>
        <v>-</v>
      </c>
      <c r="CT89" s="2" t="str">
        <f aca="false">IF(BL89="x","x",IF(BL89="-","-",""))</f>
        <v>-</v>
      </c>
      <c r="CU89" s="2" t="str">
        <f aca="false">IF(BM89="x","x",IF(BM89="-","-",""))</f>
        <v>-</v>
      </c>
      <c r="CV89" s="2" t="str">
        <f aca="false">IF(BN89="x","x",IF(BN89="-","-",""))</f>
        <v>-</v>
      </c>
      <c r="CW89" s="2" t="str">
        <f aca="false">IF(BO89="x","x",IF(BO89="-","-",""))</f>
        <v>-</v>
      </c>
      <c r="CX89" s="2" t="str">
        <f aca="false">IF(BP89="x","x",IF(BP89="-","-",""))</f>
        <v>-</v>
      </c>
      <c r="CZ89" s="2" t="str">
        <f aca="false">IF(P89="x","x",IF(P89="-","-",""))</f>
        <v>-</v>
      </c>
      <c r="DA89" s="2" t="str">
        <f aca="false">IF(Q89="x","x",IF(Q89="-","-",""))</f>
        <v>-</v>
      </c>
      <c r="DB89" s="2" t="str">
        <f aca="false">IF(R89="x","x",IF(R89="-","-",""))</f>
        <v>-</v>
      </c>
      <c r="DC89" s="2" t="str">
        <f aca="false">IF(S89="x","x",IF(S89="-","-",""))</f>
        <v>-</v>
      </c>
      <c r="DD89" s="2" t="str">
        <f aca="false">IF(T89="x","x",IF(T89="-","-",""))</f>
        <v>-</v>
      </c>
      <c r="DE89" s="2" t="str">
        <f aca="false">IF(U89="x","x",IF(U89="-","-",""))</f>
        <v>-</v>
      </c>
      <c r="DF89" s="2" t="str">
        <f aca="false">IF(V89="x","x",IF(V89="-","-",""))</f>
        <v>-</v>
      </c>
      <c r="DG89" s="2" t="str">
        <f aca="false">IF(W89="x","x",IF(W89="-","-",""))</f>
        <v>-</v>
      </c>
      <c r="DH89" s="2" t="str">
        <f aca="false">IF(X89="x","x",IF(X89="-","-",""))</f>
        <v>-</v>
      </c>
      <c r="DI89" s="2" t="str">
        <f aca="false">IF(Y89="x","x",IF(Y89="-","-",""))</f>
        <v>-</v>
      </c>
      <c r="DJ89" s="2" t="str">
        <f aca="false">IF(Z89="x","x",IF(Z89="-","-",""))</f>
        <v>-</v>
      </c>
      <c r="DK89" s="2" t="str">
        <f aca="false">IF(AA89="x","x",IF(AA89="-","-",""))</f>
        <v>-</v>
      </c>
      <c r="DL89" s="10"/>
      <c r="DM89" s="2" t="str">
        <f aca="false">IF(AC89="x","x",IF(AC89="-","-",""))</f>
        <v>-</v>
      </c>
      <c r="DN89" s="2" t="str">
        <f aca="false">IF(AD89="x","x",IF(AD89="-","-",""))</f>
        <v>-</v>
      </c>
      <c r="DO89" s="2" t="str">
        <f aca="false">IF(AE89="x","x",IF(AE89="-","-",""))</f>
        <v>-</v>
      </c>
      <c r="DP89" s="2" t="str">
        <f aca="false">IF(AF89="x","x",IF(AF89="-","-",""))</f>
        <v>-</v>
      </c>
      <c r="DQ89" s="2" t="str">
        <f aca="false">IF(AG89="x","x",IF(AG89="-","-",""))</f>
        <v>-</v>
      </c>
      <c r="DR89" s="2" t="str">
        <f aca="false">IF(AH89="x","x",IF(AH89="-","-",""))</f>
        <v>-</v>
      </c>
      <c r="DS89" s="2" t="str">
        <f aca="false">IF(AI89="x","x",IF(AI89="-","-",""))</f>
        <v>-</v>
      </c>
      <c r="DT89" s="2" t="str">
        <f aca="false">IF(AJ89="x","x",IF(AJ89="-","-",""))</f>
        <v>-</v>
      </c>
      <c r="DU89" s="2" t="str">
        <f aca="false">IF(AK89="x","x",IF(AK89="-","-",""))</f>
        <v>-</v>
      </c>
      <c r="DV89" s="2" t="str">
        <f aca="false">IF(AL89="x","x",IF(AL89="-","-",""))</f>
        <v>-</v>
      </c>
      <c r="DW89" s="2" t="str">
        <f aca="false">IF(AM89="x","x",IF(AM89="-","-",""))</f>
        <v>-</v>
      </c>
      <c r="DX89" s="2" t="str">
        <f aca="false">IF(AN89="x","x",IF(AN89="-","-",""))</f>
        <v>-</v>
      </c>
    </row>
    <row r="90" customFormat="false" ht="13.8" hidden="false" customHeight="false" outlineLevel="0" collapsed="false">
      <c r="A90" s="10" t="s">
        <v>73</v>
      </c>
      <c r="B90" s="2" t="n">
        <v>89</v>
      </c>
      <c r="C90" s="1" t="s">
        <v>77</v>
      </c>
      <c r="D90" s="10" t="s">
        <v>92</v>
      </c>
      <c r="E90" s="10" t="s">
        <v>127</v>
      </c>
      <c r="F90" s="10"/>
      <c r="G90" s="10" t="s">
        <v>77</v>
      </c>
      <c r="H90" s="10" t="s">
        <v>77</v>
      </c>
      <c r="I90" s="10" t="s">
        <v>77</v>
      </c>
      <c r="J90" s="10" t="s">
        <v>77</v>
      </c>
      <c r="K90" s="10" t="s">
        <v>77</v>
      </c>
      <c r="L90" s="10" t="s">
        <v>77</v>
      </c>
      <c r="M90" s="2" t="n">
        <v>20</v>
      </c>
      <c r="N90" s="10" t="s">
        <v>77</v>
      </c>
      <c r="O90" s="10"/>
      <c r="P90" s="10" t="s">
        <v>77</v>
      </c>
      <c r="Q90" s="10" t="s">
        <v>77</v>
      </c>
      <c r="R90" s="10" t="s">
        <v>77</v>
      </c>
      <c r="S90" s="10" t="s">
        <v>77</v>
      </c>
      <c r="T90" s="10" t="s">
        <v>77</v>
      </c>
      <c r="U90" s="10" t="s">
        <v>77</v>
      </c>
      <c r="V90" s="10" t="s">
        <v>77</v>
      </c>
      <c r="W90" s="10" t="s">
        <v>77</v>
      </c>
      <c r="X90" s="10" t="s">
        <v>77</v>
      </c>
      <c r="Y90" s="10" t="s">
        <v>77</v>
      </c>
      <c r="Z90" s="10" t="s">
        <v>77</v>
      </c>
      <c r="AA90" s="10" t="s">
        <v>77</v>
      </c>
      <c r="AB90" s="10"/>
      <c r="AC90" s="10" t="s">
        <v>77</v>
      </c>
      <c r="AD90" s="10" t="s">
        <v>77</v>
      </c>
      <c r="AE90" s="10" t="s">
        <v>77</v>
      </c>
      <c r="AF90" s="10" t="s">
        <v>77</v>
      </c>
      <c r="AG90" s="10" t="s">
        <v>77</v>
      </c>
      <c r="AH90" s="10" t="s">
        <v>77</v>
      </c>
      <c r="AI90" s="10" t="s">
        <v>77</v>
      </c>
      <c r="AJ90" s="10" t="s">
        <v>77</v>
      </c>
      <c r="AK90" s="10" t="s">
        <v>77</v>
      </c>
      <c r="AL90" s="10" t="s">
        <v>77</v>
      </c>
      <c r="AM90" s="10" t="s">
        <v>77</v>
      </c>
      <c r="AN90" s="10" t="s">
        <v>77</v>
      </c>
      <c r="AO90" s="10"/>
      <c r="AP90" s="10" t="s">
        <v>73</v>
      </c>
      <c r="AQ90" s="10" t="s">
        <v>73</v>
      </c>
      <c r="AS90" s="10" t="s">
        <v>77</v>
      </c>
      <c r="AT90" s="10" t="s">
        <v>77</v>
      </c>
      <c r="AU90" s="10" t="s">
        <v>77</v>
      </c>
      <c r="AV90" s="10" t="s">
        <v>77</v>
      </c>
      <c r="AW90" s="10" t="s">
        <v>77</v>
      </c>
      <c r="AX90" s="10" t="s">
        <v>77</v>
      </c>
      <c r="AY90" s="10" t="s">
        <v>77</v>
      </c>
      <c r="AZ90" s="10" t="s">
        <v>77</v>
      </c>
      <c r="BA90" s="10" t="s">
        <v>77</v>
      </c>
      <c r="BB90" s="10" t="s">
        <v>77</v>
      </c>
      <c r="BC90" s="10" t="s">
        <v>77</v>
      </c>
      <c r="BD90" s="10" t="s">
        <v>77</v>
      </c>
      <c r="BE90" s="10" t="s">
        <v>77</v>
      </c>
      <c r="BF90" s="10" t="s">
        <v>77</v>
      </c>
      <c r="BG90" s="10" t="s">
        <v>77</v>
      </c>
      <c r="BH90" s="10" t="s">
        <v>77</v>
      </c>
      <c r="BI90" s="10" t="s">
        <v>77</v>
      </c>
      <c r="BJ90" s="10" t="s">
        <v>77</v>
      </c>
      <c r="BK90" s="10" t="s">
        <v>77</v>
      </c>
      <c r="BL90" s="10" t="s">
        <v>77</v>
      </c>
      <c r="BM90" s="10" t="s">
        <v>77</v>
      </c>
      <c r="BN90" s="10" t="s">
        <v>77</v>
      </c>
      <c r="BO90" s="10" t="s">
        <v>77</v>
      </c>
      <c r="BP90" s="10" t="s">
        <v>77</v>
      </c>
      <c r="BR90" s="10" t="s">
        <v>77</v>
      </c>
      <c r="BS90" s="10" t="s">
        <v>77</v>
      </c>
      <c r="BT90" s="10" t="s">
        <v>77</v>
      </c>
      <c r="BU90" s="10" t="s">
        <v>77</v>
      </c>
      <c r="BV90" s="10" t="s">
        <v>77</v>
      </c>
      <c r="BW90" s="10" t="s">
        <v>77</v>
      </c>
      <c r="BX90" s="10" t="s">
        <v>77</v>
      </c>
      <c r="BY90" s="10" t="s">
        <v>77</v>
      </c>
      <c r="CA90" s="2" t="str">
        <f aca="false">IF(AS90="x","x",IF(AS90="-","-",""))</f>
        <v>-</v>
      </c>
      <c r="CB90" s="2" t="str">
        <f aca="false">IF(AT90="x","x",IF(AT90="-","-",""))</f>
        <v>-</v>
      </c>
      <c r="CC90" s="2" t="str">
        <f aca="false">IF(AU90="x","x",IF(AU90="-","-",""))</f>
        <v>-</v>
      </c>
      <c r="CD90" s="2" t="str">
        <f aca="false">IF(AV90="x","x",IF(AV90="-","-",""))</f>
        <v>-</v>
      </c>
      <c r="CE90" s="2" t="str">
        <f aca="false">IF(AW90="x","x",IF(AW90="-","-",""))</f>
        <v>-</v>
      </c>
      <c r="CF90" s="2" t="str">
        <f aca="false">IF(AX90="x","x",IF(AX90="-","-",""))</f>
        <v>-</v>
      </c>
      <c r="CG90" s="2" t="str">
        <f aca="false">IF(AY90="x","x",IF(AY90="-","-",""))</f>
        <v>-</v>
      </c>
      <c r="CH90" s="2" t="str">
        <f aca="false">IF(AZ90="x","x",IF(AZ90="-","-",""))</f>
        <v>-</v>
      </c>
      <c r="CI90" s="2" t="str">
        <f aca="false">IF(BA90="x","x",IF(BA90="-","-",""))</f>
        <v>-</v>
      </c>
      <c r="CJ90" s="2" t="str">
        <f aca="false">IF(BB90="x","x",IF(BB90="-","-",""))</f>
        <v>-</v>
      </c>
      <c r="CK90" s="2" t="str">
        <f aca="false">IF(BC90="x","x",IF(BC90="-","-",""))</f>
        <v>-</v>
      </c>
      <c r="CL90" s="2" t="str">
        <f aca="false">IF(BD90="x","x",IF(BD90="-","-",""))</f>
        <v>-</v>
      </c>
      <c r="CM90" s="2" t="str">
        <f aca="false">IF(BE90="x","x",IF(BE90="-","-",""))</f>
        <v>-</v>
      </c>
      <c r="CN90" s="2" t="str">
        <f aca="false">IF(BF90="x","x",IF(BF90="-","-",""))</f>
        <v>-</v>
      </c>
      <c r="CO90" s="2" t="str">
        <f aca="false">IF(BG90="x","x",IF(BG90="-","-",""))</f>
        <v>-</v>
      </c>
      <c r="CP90" s="2" t="str">
        <f aca="false">IF(BH90="x","x",IF(BH90="-","-",""))</f>
        <v>-</v>
      </c>
      <c r="CQ90" s="2" t="str">
        <f aca="false">IF(BI90="x","x",IF(BI90="-","-",""))</f>
        <v>-</v>
      </c>
      <c r="CR90" s="2" t="str">
        <f aca="false">IF(BJ90="x","x",IF(BJ90="-","-",""))</f>
        <v>-</v>
      </c>
      <c r="CS90" s="2" t="str">
        <f aca="false">IF(BK90="x","x",IF(BK90="-","-",""))</f>
        <v>-</v>
      </c>
      <c r="CT90" s="2" t="str">
        <f aca="false">IF(BL90="x","x",IF(BL90="-","-",""))</f>
        <v>-</v>
      </c>
      <c r="CU90" s="2" t="str">
        <f aca="false">IF(BM90="x","x",IF(BM90="-","-",""))</f>
        <v>-</v>
      </c>
      <c r="CV90" s="2" t="str">
        <f aca="false">IF(BN90="x","x",IF(BN90="-","-",""))</f>
        <v>-</v>
      </c>
      <c r="CW90" s="2" t="str">
        <f aca="false">IF(BO90="x","x",IF(BO90="-","-",""))</f>
        <v>-</v>
      </c>
      <c r="CX90" s="2" t="str">
        <f aca="false">IF(BP90="x","x",IF(BP90="-","-",""))</f>
        <v>-</v>
      </c>
      <c r="CZ90" s="2" t="str">
        <f aca="false">IF(P90="x","x",IF(P90="-","-",""))</f>
        <v>-</v>
      </c>
      <c r="DA90" s="2" t="str">
        <f aca="false">IF(Q90="x","x",IF(Q90="-","-",""))</f>
        <v>-</v>
      </c>
      <c r="DB90" s="2" t="str">
        <f aca="false">IF(R90="x","x",IF(R90="-","-",""))</f>
        <v>-</v>
      </c>
      <c r="DC90" s="2" t="str">
        <f aca="false">IF(S90="x","x",IF(S90="-","-",""))</f>
        <v>-</v>
      </c>
      <c r="DD90" s="2" t="str">
        <f aca="false">IF(T90="x","x",IF(T90="-","-",""))</f>
        <v>-</v>
      </c>
      <c r="DE90" s="2" t="str">
        <f aca="false">IF(U90="x","x",IF(U90="-","-",""))</f>
        <v>-</v>
      </c>
      <c r="DF90" s="2" t="str">
        <f aca="false">IF(V90="x","x",IF(V90="-","-",""))</f>
        <v>-</v>
      </c>
      <c r="DG90" s="2" t="str">
        <f aca="false">IF(W90="x","x",IF(W90="-","-",""))</f>
        <v>-</v>
      </c>
      <c r="DH90" s="2" t="str">
        <f aca="false">IF(X90="x","x",IF(X90="-","-",""))</f>
        <v>-</v>
      </c>
      <c r="DI90" s="2" t="str">
        <f aca="false">IF(Y90="x","x",IF(Y90="-","-",""))</f>
        <v>-</v>
      </c>
      <c r="DJ90" s="2" t="str">
        <f aca="false">IF(Z90="x","x",IF(Z90="-","-",""))</f>
        <v>-</v>
      </c>
      <c r="DK90" s="2" t="str">
        <f aca="false">IF(AA90="x","x",IF(AA90="-","-",""))</f>
        <v>-</v>
      </c>
      <c r="DL90" s="10"/>
      <c r="DM90" s="2" t="str">
        <f aca="false">IF(AC90="x","x",IF(AC90="-","-",""))</f>
        <v>-</v>
      </c>
      <c r="DN90" s="2" t="str">
        <f aca="false">IF(AD90="x","x",IF(AD90="-","-",""))</f>
        <v>-</v>
      </c>
      <c r="DO90" s="2" t="str">
        <f aca="false">IF(AE90="x","x",IF(AE90="-","-",""))</f>
        <v>-</v>
      </c>
      <c r="DP90" s="2" t="str">
        <f aca="false">IF(AF90="x","x",IF(AF90="-","-",""))</f>
        <v>-</v>
      </c>
      <c r="DQ90" s="2" t="str">
        <f aca="false">IF(AG90="x","x",IF(AG90="-","-",""))</f>
        <v>-</v>
      </c>
      <c r="DR90" s="2" t="str">
        <f aca="false">IF(AH90="x","x",IF(AH90="-","-",""))</f>
        <v>-</v>
      </c>
      <c r="DS90" s="2" t="str">
        <f aca="false">IF(AI90="x","x",IF(AI90="-","-",""))</f>
        <v>-</v>
      </c>
      <c r="DT90" s="2" t="str">
        <f aca="false">IF(AJ90="x","x",IF(AJ90="-","-",""))</f>
        <v>-</v>
      </c>
      <c r="DU90" s="2" t="str">
        <f aca="false">IF(AK90="x","x",IF(AK90="-","-",""))</f>
        <v>-</v>
      </c>
      <c r="DV90" s="2" t="str">
        <f aca="false">IF(AL90="x","x",IF(AL90="-","-",""))</f>
        <v>-</v>
      </c>
      <c r="DW90" s="2" t="str">
        <f aca="false">IF(AM90="x","x",IF(AM90="-","-",""))</f>
        <v>-</v>
      </c>
      <c r="DX90" s="2" t="str">
        <f aca="false">IF(AN90="x","x",IF(AN90="-","-",""))</f>
        <v>-</v>
      </c>
    </row>
    <row r="91" customFormat="false" ht="13.8" hidden="false" customHeight="false" outlineLevel="0" collapsed="false">
      <c r="A91" s="10" t="s">
        <v>73</v>
      </c>
      <c r="B91" s="2" t="n">
        <v>90</v>
      </c>
      <c r="C91" s="1" t="s">
        <v>77</v>
      </c>
      <c r="D91" s="10" t="s">
        <v>92</v>
      </c>
      <c r="E91" s="10" t="s">
        <v>127</v>
      </c>
      <c r="F91" s="10"/>
      <c r="G91" s="10" t="s">
        <v>77</v>
      </c>
      <c r="H91" s="10" t="s">
        <v>77</v>
      </c>
      <c r="I91" s="10" t="s">
        <v>77</v>
      </c>
      <c r="J91" s="10" t="s">
        <v>77</v>
      </c>
      <c r="K91" s="10" t="s">
        <v>77</v>
      </c>
      <c r="L91" s="10" t="s">
        <v>77</v>
      </c>
      <c r="M91" s="2" t="n">
        <v>20</v>
      </c>
      <c r="N91" s="10" t="s">
        <v>77</v>
      </c>
      <c r="O91" s="10"/>
      <c r="P91" s="10" t="s">
        <v>77</v>
      </c>
      <c r="Q91" s="10" t="s">
        <v>77</v>
      </c>
      <c r="R91" s="10" t="s">
        <v>77</v>
      </c>
      <c r="S91" s="10" t="s">
        <v>77</v>
      </c>
      <c r="T91" s="10" t="s">
        <v>77</v>
      </c>
      <c r="U91" s="10" t="s">
        <v>77</v>
      </c>
      <c r="V91" s="10" t="s">
        <v>77</v>
      </c>
      <c r="W91" s="10" t="s">
        <v>77</v>
      </c>
      <c r="X91" s="10" t="s">
        <v>77</v>
      </c>
      <c r="Y91" s="10" t="s">
        <v>77</v>
      </c>
      <c r="Z91" s="10" t="s">
        <v>77</v>
      </c>
      <c r="AA91" s="10" t="s">
        <v>77</v>
      </c>
      <c r="AB91" s="10"/>
      <c r="AC91" s="10" t="s">
        <v>77</v>
      </c>
      <c r="AD91" s="10" t="s">
        <v>77</v>
      </c>
      <c r="AE91" s="10" t="s">
        <v>77</v>
      </c>
      <c r="AF91" s="10" t="s">
        <v>77</v>
      </c>
      <c r="AG91" s="10" t="s">
        <v>77</v>
      </c>
      <c r="AH91" s="10" t="s">
        <v>77</v>
      </c>
      <c r="AI91" s="10" t="s">
        <v>77</v>
      </c>
      <c r="AJ91" s="10" t="s">
        <v>77</v>
      </c>
      <c r="AK91" s="10" t="s">
        <v>77</v>
      </c>
      <c r="AL91" s="10" t="s">
        <v>77</v>
      </c>
      <c r="AM91" s="10" t="s">
        <v>77</v>
      </c>
      <c r="AN91" s="10" t="s">
        <v>77</v>
      </c>
      <c r="AO91" s="10"/>
      <c r="AP91" s="10" t="s">
        <v>73</v>
      </c>
      <c r="AQ91" s="10" t="s">
        <v>73</v>
      </c>
      <c r="AS91" s="10" t="s">
        <v>77</v>
      </c>
      <c r="AT91" s="10" t="s">
        <v>77</v>
      </c>
      <c r="AU91" s="10" t="s">
        <v>77</v>
      </c>
      <c r="AV91" s="10" t="s">
        <v>77</v>
      </c>
      <c r="AW91" s="10" t="s">
        <v>77</v>
      </c>
      <c r="AX91" s="10" t="s">
        <v>77</v>
      </c>
      <c r="AY91" s="10" t="s">
        <v>77</v>
      </c>
      <c r="AZ91" s="10" t="s">
        <v>77</v>
      </c>
      <c r="BA91" s="10" t="s">
        <v>77</v>
      </c>
      <c r="BB91" s="10" t="s">
        <v>77</v>
      </c>
      <c r="BC91" s="10" t="s">
        <v>77</v>
      </c>
      <c r="BD91" s="10" t="s">
        <v>77</v>
      </c>
      <c r="BE91" s="10" t="s">
        <v>77</v>
      </c>
      <c r="BF91" s="10" t="s">
        <v>77</v>
      </c>
      <c r="BG91" s="10" t="s">
        <v>77</v>
      </c>
      <c r="BH91" s="10" t="s">
        <v>77</v>
      </c>
      <c r="BI91" s="10" t="s">
        <v>77</v>
      </c>
      <c r="BJ91" s="10" t="s">
        <v>77</v>
      </c>
      <c r="BK91" s="10" t="s">
        <v>77</v>
      </c>
      <c r="BL91" s="10" t="s">
        <v>77</v>
      </c>
      <c r="BM91" s="10" t="s">
        <v>77</v>
      </c>
      <c r="BN91" s="10" t="s">
        <v>77</v>
      </c>
      <c r="BO91" s="10" t="s">
        <v>77</v>
      </c>
      <c r="BP91" s="10" t="s">
        <v>77</v>
      </c>
      <c r="BR91" s="10" t="s">
        <v>77</v>
      </c>
      <c r="BS91" s="10" t="s">
        <v>77</v>
      </c>
      <c r="BT91" s="10" t="s">
        <v>77</v>
      </c>
      <c r="BU91" s="10" t="s">
        <v>77</v>
      </c>
      <c r="BV91" s="10" t="s">
        <v>77</v>
      </c>
      <c r="BW91" s="10" t="s">
        <v>77</v>
      </c>
      <c r="BX91" s="10" t="s">
        <v>77</v>
      </c>
      <c r="BY91" s="10" t="s">
        <v>77</v>
      </c>
      <c r="CA91" s="2" t="str">
        <f aca="false">IF(AS91="x","x",IF(AS91="-","-",""))</f>
        <v>-</v>
      </c>
      <c r="CB91" s="2" t="str">
        <f aca="false">IF(AT91="x","x",IF(AT91="-","-",""))</f>
        <v>-</v>
      </c>
      <c r="CC91" s="2" t="str">
        <f aca="false">IF(AU91="x","x",IF(AU91="-","-",""))</f>
        <v>-</v>
      </c>
      <c r="CD91" s="2" t="str">
        <f aca="false">IF(AV91="x","x",IF(AV91="-","-",""))</f>
        <v>-</v>
      </c>
      <c r="CE91" s="2" t="str">
        <f aca="false">IF(AW91="x","x",IF(AW91="-","-",""))</f>
        <v>-</v>
      </c>
      <c r="CF91" s="2" t="str">
        <f aca="false">IF(AX91="x","x",IF(AX91="-","-",""))</f>
        <v>-</v>
      </c>
      <c r="CG91" s="2" t="str">
        <f aca="false">IF(AY91="x","x",IF(AY91="-","-",""))</f>
        <v>-</v>
      </c>
      <c r="CH91" s="2" t="str">
        <f aca="false">IF(AZ91="x","x",IF(AZ91="-","-",""))</f>
        <v>-</v>
      </c>
      <c r="CI91" s="2" t="str">
        <f aca="false">IF(BA91="x","x",IF(BA91="-","-",""))</f>
        <v>-</v>
      </c>
      <c r="CJ91" s="2" t="str">
        <f aca="false">IF(BB91="x","x",IF(BB91="-","-",""))</f>
        <v>-</v>
      </c>
      <c r="CK91" s="2" t="str">
        <f aca="false">IF(BC91="x","x",IF(BC91="-","-",""))</f>
        <v>-</v>
      </c>
      <c r="CL91" s="2" t="str">
        <f aca="false">IF(BD91="x","x",IF(BD91="-","-",""))</f>
        <v>-</v>
      </c>
      <c r="CM91" s="2" t="str">
        <f aca="false">IF(BE91="x","x",IF(BE91="-","-",""))</f>
        <v>-</v>
      </c>
      <c r="CN91" s="2" t="str">
        <f aca="false">IF(BF91="x","x",IF(BF91="-","-",""))</f>
        <v>-</v>
      </c>
      <c r="CO91" s="2" t="str">
        <f aca="false">IF(BG91="x","x",IF(BG91="-","-",""))</f>
        <v>-</v>
      </c>
      <c r="CP91" s="2" t="str">
        <f aca="false">IF(BH91="x","x",IF(BH91="-","-",""))</f>
        <v>-</v>
      </c>
      <c r="CQ91" s="2" t="str">
        <f aca="false">IF(BI91="x","x",IF(BI91="-","-",""))</f>
        <v>-</v>
      </c>
      <c r="CR91" s="2" t="str">
        <f aca="false">IF(BJ91="x","x",IF(BJ91="-","-",""))</f>
        <v>-</v>
      </c>
      <c r="CS91" s="2" t="str">
        <f aca="false">IF(BK91="x","x",IF(BK91="-","-",""))</f>
        <v>-</v>
      </c>
      <c r="CT91" s="2" t="str">
        <f aca="false">IF(BL91="x","x",IF(BL91="-","-",""))</f>
        <v>-</v>
      </c>
      <c r="CU91" s="2" t="str">
        <f aca="false">IF(BM91="x","x",IF(BM91="-","-",""))</f>
        <v>-</v>
      </c>
      <c r="CV91" s="2" t="str">
        <f aca="false">IF(BN91="x","x",IF(BN91="-","-",""))</f>
        <v>-</v>
      </c>
      <c r="CW91" s="2" t="str">
        <f aca="false">IF(BO91="x","x",IF(BO91="-","-",""))</f>
        <v>-</v>
      </c>
      <c r="CX91" s="2" t="str">
        <f aca="false">IF(BP91="x","x",IF(BP91="-","-",""))</f>
        <v>-</v>
      </c>
      <c r="CZ91" s="2" t="str">
        <f aca="false">IF(P91="x","x",IF(P91="-","-",""))</f>
        <v>-</v>
      </c>
      <c r="DA91" s="2" t="str">
        <f aca="false">IF(Q91="x","x",IF(Q91="-","-",""))</f>
        <v>-</v>
      </c>
      <c r="DB91" s="2" t="str">
        <f aca="false">IF(R91="x","x",IF(R91="-","-",""))</f>
        <v>-</v>
      </c>
      <c r="DC91" s="2" t="str">
        <f aca="false">IF(S91="x","x",IF(S91="-","-",""))</f>
        <v>-</v>
      </c>
      <c r="DD91" s="2" t="str">
        <f aca="false">IF(T91="x","x",IF(T91="-","-",""))</f>
        <v>-</v>
      </c>
      <c r="DE91" s="2" t="str">
        <f aca="false">IF(U91="x","x",IF(U91="-","-",""))</f>
        <v>-</v>
      </c>
      <c r="DF91" s="2" t="str">
        <f aca="false">IF(V91="x","x",IF(V91="-","-",""))</f>
        <v>-</v>
      </c>
      <c r="DG91" s="2" t="str">
        <f aca="false">IF(W91="x","x",IF(W91="-","-",""))</f>
        <v>-</v>
      </c>
      <c r="DH91" s="2" t="str">
        <f aca="false">IF(X91="x","x",IF(X91="-","-",""))</f>
        <v>-</v>
      </c>
      <c r="DI91" s="2" t="str">
        <f aca="false">IF(Y91="x","x",IF(Y91="-","-",""))</f>
        <v>-</v>
      </c>
      <c r="DJ91" s="2" t="str">
        <f aca="false">IF(Z91="x","x",IF(Z91="-","-",""))</f>
        <v>-</v>
      </c>
      <c r="DK91" s="2" t="str">
        <f aca="false">IF(AA91="x","x",IF(AA91="-","-",""))</f>
        <v>-</v>
      </c>
      <c r="DL91" s="10"/>
      <c r="DM91" s="2" t="str">
        <f aca="false">IF(AC91="x","x",IF(AC91="-","-",""))</f>
        <v>-</v>
      </c>
      <c r="DN91" s="2" t="str">
        <f aca="false">IF(AD91="x","x",IF(AD91="-","-",""))</f>
        <v>-</v>
      </c>
      <c r="DO91" s="2" t="str">
        <f aca="false">IF(AE91="x","x",IF(AE91="-","-",""))</f>
        <v>-</v>
      </c>
      <c r="DP91" s="2" t="str">
        <f aca="false">IF(AF91="x","x",IF(AF91="-","-",""))</f>
        <v>-</v>
      </c>
      <c r="DQ91" s="2" t="str">
        <f aca="false">IF(AG91="x","x",IF(AG91="-","-",""))</f>
        <v>-</v>
      </c>
      <c r="DR91" s="2" t="str">
        <f aca="false">IF(AH91="x","x",IF(AH91="-","-",""))</f>
        <v>-</v>
      </c>
      <c r="DS91" s="2" t="str">
        <f aca="false">IF(AI91="x","x",IF(AI91="-","-",""))</f>
        <v>-</v>
      </c>
      <c r="DT91" s="2" t="str">
        <f aca="false">IF(AJ91="x","x",IF(AJ91="-","-",""))</f>
        <v>-</v>
      </c>
      <c r="DU91" s="2" t="str">
        <f aca="false">IF(AK91="x","x",IF(AK91="-","-",""))</f>
        <v>-</v>
      </c>
      <c r="DV91" s="2" t="str">
        <f aca="false">IF(AL91="x","x",IF(AL91="-","-",""))</f>
        <v>-</v>
      </c>
      <c r="DW91" s="2" t="str">
        <f aca="false">IF(AM91="x","x",IF(AM91="-","-",""))</f>
        <v>-</v>
      </c>
      <c r="DX91" s="2" t="str">
        <f aca="false">IF(AN91="x","x",IF(AN91="-","-",""))</f>
        <v>-</v>
      </c>
    </row>
    <row r="92" customFormat="false" ht="13.8" hidden="false" customHeight="false" outlineLevel="0" collapsed="false">
      <c r="A92" s="10" t="s">
        <v>73</v>
      </c>
      <c r="B92" s="2" t="n">
        <v>91</v>
      </c>
      <c r="C92" s="1" t="s">
        <v>77</v>
      </c>
      <c r="D92" s="10" t="s">
        <v>92</v>
      </c>
      <c r="E92" s="10" t="s">
        <v>127</v>
      </c>
      <c r="F92" s="10"/>
      <c r="G92" s="10" t="s">
        <v>77</v>
      </c>
      <c r="H92" s="10" t="s">
        <v>77</v>
      </c>
      <c r="I92" s="10" t="s">
        <v>77</v>
      </c>
      <c r="J92" s="10" t="s">
        <v>77</v>
      </c>
      <c r="K92" s="10" t="s">
        <v>77</v>
      </c>
      <c r="L92" s="10" t="s">
        <v>77</v>
      </c>
      <c r="M92" s="2" t="n">
        <v>20</v>
      </c>
      <c r="N92" s="10" t="s">
        <v>77</v>
      </c>
      <c r="O92" s="10"/>
      <c r="P92" s="10" t="s">
        <v>77</v>
      </c>
      <c r="Q92" s="10" t="s">
        <v>77</v>
      </c>
      <c r="R92" s="10" t="s">
        <v>77</v>
      </c>
      <c r="S92" s="10" t="s">
        <v>77</v>
      </c>
      <c r="T92" s="10" t="s">
        <v>77</v>
      </c>
      <c r="U92" s="10" t="s">
        <v>77</v>
      </c>
      <c r="V92" s="10" t="s">
        <v>77</v>
      </c>
      <c r="W92" s="10" t="s">
        <v>77</v>
      </c>
      <c r="X92" s="10" t="s">
        <v>77</v>
      </c>
      <c r="Y92" s="10" t="s">
        <v>77</v>
      </c>
      <c r="Z92" s="10" t="s">
        <v>77</v>
      </c>
      <c r="AA92" s="10" t="s">
        <v>77</v>
      </c>
      <c r="AB92" s="10"/>
      <c r="AC92" s="10" t="s">
        <v>77</v>
      </c>
      <c r="AD92" s="10" t="s">
        <v>77</v>
      </c>
      <c r="AE92" s="10" t="s">
        <v>77</v>
      </c>
      <c r="AF92" s="10" t="s">
        <v>77</v>
      </c>
      <c r="AG92" s="10" t="s">
        <v>77</v>
      </c>
      <c r="AH92" s="10" t="s">
        <v>77</v>
      </c>
      <c r="AI92" s="10" t="s">
        <v>77</v>
      </c>
      <c r="AJ92" s="10" t="s">
        <v>77</v>
      </c>
      <c r="AK92" s="10" t="s">
        <v>77</v>
      </c>
      <c r="AL92" s="10" t="s">
        <v>77</v>
      </c>
      <c r="AM92" s="10" t="s">
        <v>77</v>
      </c>
      <c r="AN92" s="10" t="s">
        <v>77</v>
      </c>
      <c r="AO92" s="10"/>
      <c r="AP92" s="10" t="s">
        <v>73</v>
      </c>
      <c r="AQ92" s="10" t="s">
        <v>73</v>
      </c>
      <c r="AS92" s="10" t="s">
        <v>77</v>
      </c>
      <c r="AT92" s="10" t="s">
        <v>77</v>
      </c>
      <c r="AU92" s="10" t="s">
        <v>77</v>
      </c>
      <c r="AV92" s="10" t="s">
        <v>77</v>
      </c>
      <c r="AW92" s="10" t="s">
        <v>77</v>
      </c>
      <c r="AX92" s="10" t="s">
        <v>77</v>
      </c>
      <c r="AY92" s="10" t="s">
        <v>77</v>
      </c>
      <c r="AZ92" s="10" t="s">
        <v>77</v>
      </c>
      <c r="BA92" s="10" t="s">
        <v>77</v>
      </c>
      <c r="BB92" s="10" t="s">
        <v>77</v>
      </c>
      <c r="BC92" s="10" t="s">
        <v>77</v>
      </c>
      <c r="BD92" s="10" t="s">
        <v>77</v>
      </c>
      <c r="BE92" s="10" t="s">
        <v>77</v>
      </c>
      <c r="BF92" s="10" t="s">
        <v>77</v>
      </c>
      <c r="BG92" s="10" t="s">
        <v>77</v>
      </c>
      <c r="BH92" s="10" t="s">
        <v>77</v>
      </c>
      <c r="BI92" s="10" t="s">
        <v>77</v>
      </c>
      <c r="BJ92" s="10" t="s">
        <v>77</v>
      </c>
      <c r="BK92" s="10" t="s">
        <v>77</v>
      </c>
      <c r="BL92" s="10" t="s">
        <v>77</v>
      </c>
      <c r="BM92" s="10" t="s">
        <v>77</v>
      </c>
      <c r="BN92" s="10" t="s">
        <v>77</v>
      </c>
      <c r="BO92" s="10" t="s">
        <v>77</v>
      </c>
      <c r="BP92" s="10" t="s">
        <v>77</v>
      </c>
      <c r="BR92" s="10" t="s">
        <v>77</v>
      </c>
      <c r="BS92" s="10" t="s">
        <v>77</v>
      </c>
      <c r="BT92" s="10" t="s">
        <v>77</v>
      </c>
      <c r="BU92" s="10" t="s">
        <v>77</v>
      </c>
      <c r="BV92" s="10" t="s">
        <v>77</v>
      </c>
      <c r="BW92" s="10" t="s">
        <v>77</v>
      </c>
      <c r="BX92" s="10" t="s">
        <v>77</v>
      </c>
      <c r="BY92" s="10" t="s">
        <v>77</v>
      </c>
      <c r="CA92" s="2" t="str">
        <f aca="false">IF(AS92="x","x",IF(AS92="-","-",""))</f>
        <v>-</v>
      </c>
      <c r="CB92" s="2" t="str">
        <f aca="false">IF(AT92="x","x",IF(AT92="-","-",""))</f>
        <v>-</v>
      </c>
      <c r="CC92" s="2" t="str">
        <f aca="false">IF(AU92="x","x",IF(AU92="-","-",""))</f>
        <v>-</v>
      </c>
      <c r="CD92" s="2" t="str">
        <f aca="false">IF(AV92="x","x",IF(AV92="-","-",""))</f>
        <v>-</v>
      </c>
      <c r="CE92" s="2" t="str">
        <f aca="false">IF(AW92="x","x",IF(AW92="-","-",""))</f>
        <v>-</v>
      </c>
      <c r="CF92" s="2" t="str">
        <f aca="false">IF(AX92="x","x",IF(AX92="-","-",""))</f>
        <v>-</v>
      </c>
      <c r="CG92" s="2" t="str">
        <f aca="false">IF(AY92="x","x",IF(AY92="-","-",""))</f>
        <v>-</v>
      </c>
      <c r="CH92" s="2" t="str">
        <f aca="false">IF(AZ92="x","x",IF(AZ92="-","-",""))</f>
        <v>-</v>
      </c>
      <c r="CI92" s="2" t="str">
        <f aca="false">IF(BA92="x","x",IF(BA92="-","-",""))</f>
        <v>-</v>
      </c>
      <c r="CJ92" s="2" t="str">
        <f aca="false">IF(BB92="x","x",IF(BB92="-","-",""))</f>
        <v>-</v>
      </c>
      <c r="CK92" s="2" t="str">
        <f aca="false">IF(BC92="x","x",IF(BC92="-","-",""))</f>
        <v>-</v>
      </c>
      <c r="CL92" s="2" t="str">
        <f aca="false">IF(BD92="x","x",IF(BD92="-","-",""))</f>
        <v>-</v>
      </c>
      <c r="CM92" s="2" t="str">
        <f aca="false">IF(BE92="x","x",IF(BE92="-","-",""))</f>
        <v>-</v>
      </c>
      <c r="CN92" s="2" t="str">
        <f aca="false">IF(BF92="x","x",IF(BF92="-","-",""))</f>
        <v>-</v>
      </c>
      <c r="CO92" s="2" t="str">
        <f aca="false">IF(BG92="x","x",IF(BG92="-","-",""))</f>
        <v>-</v>
      </c>
      <c r="CP92" s="2" t="str">
        <f aca="false">IF(BH92="x","x",IF(BH92="-","-",""))</f>
        <v>-</v>
      </c>
      <c r="CQ92" s="2" t="str">
        <f aca="false">IF(BI92="x","x",IF(BI92="-","-",""))</f>
        <v>-</v>
      </c>
      <c r="CR92" s="2" t="str">
        <f aca="false">IF(BJ92="x","x",IF(BJ92="-","-",""))</f>
        <v>-</v>
      </c>
      <c r="CS92" s="2" t="str">
        <f aca="false">IF(BK92="x","x",IF(BK92="-","-",""))</f>
        <v>-</v>
      </c>
      <c r="CT92" s="2" t="str">
        <f aca="false">IF(BL92="x","x",IF(BL92="-","-",""))</f>
        <v>-</v>
      </c>
      <c r="CU92" s="2" t="str">
        <f aca="false">IF(BM92="x","x",IF(BM92="-","-",""))</f>
        <v>-</v>
      </c>
      <c r="CV92" s="2" t="str">
        <f aca="false">IF(BN92="x","x",IF(BN92="-","-",""))</f>
        <v>-</v>
      </c>
      <c r="CW92" s="2" t="str">
        <f aca="false">IF(BO92="x","x",IF(BO92="-","-",""))</f>
        <v>-</v>
      </c>
      <c r="CX92" s="2" t="str">
        <f aca="false">IF(BP92="x","x",IF(BP92="-","-",""))</f>
        <v>-</v>
      </c>
      <c r="CZ92" s="2" t="str">
        <f aca="false">IF(P92="x","x",IF(P92="-","-",""))</f>
        <v>-</v>
      </c>
      <c r="DA92" s="2" t="str">
        <f aca="false">IF(Q92="x","x",IF(Q92="-","-",""))</f>
        <v>-</v>
      </c>
      <c r="DB92" s="2" t="str">
        <f aca="false">IF(R92="x","x",IF(R92="-","-",""))</f>
        <v>-</v>
      </c>
      <c r="DC92" s="2" t="str">
        <f aca="false">IF(S92="x","x",IF(S92="-","-",""))</f>
        <v>-</v>
      </c>
      <c r="DD92" s="2" t="str">
        <f aca="false">IF(T92="x","x",IF(T92="-","-",""))</f>
        <v>-</v>
      </c>
      <c r="DE92" s="2" t="str">
        <f aca="false">IF(U92="x","x",IF(U92="-","-",""))</f>
        <v>-</v>
      </c>
      <c r="DF92" s="2" t="str">
        <f aca="false">IF(V92="x","x",IF(V92="-","-",""))</f>
        <v>-</v>
      </c>
      <c r="DG92" s="2" t="str">
        <f aca="false">IF(W92="x","x",IF(W92="-","-",""))</f>
        <v>-</v>
      </c>
      <c r="DH92" s="2" t="str">
        <f aca="false">IF(X92="x","x",IF(X92="-","-",""))</f>
        <v>-</v>
      </c>
      <c r="DI92" s="2" t="str">
        <f aca="false">IF(Y92="x","x",IF(Y92="-","-",""))</f>
        <v>-</v>
      </c>
      <c r="DJ92" s="2" t="str">
        <f aca="false">IF(Z92="x","x",IF(Z92="-","-",""))</f>
        <v>-</v>
      </c>
      <c r="DK92" s="2" t="str">
        <f aca="false">IF(AA92="x","x",IF(AA92="-","-",""))</f>
        <v>-</v>
      </c>
      <c r="DL92" s="10"/>
      <c r="DM92" s="2" t="str">
        <f aca="false">IF(AC92="x","x",IF(AC92="-","-",""))</f>
        <v>-</v>
      </c>
      <c r="DN92" s="2" t="str">
        <f aca="false">IF(AD92="x","x",IF(AD92="-","-",""))</f>
        <v>-</v>
      </c>
      <c r="DO92" s="2" t="str">
        <f aca="false">IF(AE92="x","x",IF(AE92="-","-",""))</f>
        <v>-</v>
      </c>
      <c r="DP92" s="2" t="str">
        <f aca="false">IF(AF92="x","x",IF(AF92="-","-",""))</f>
        <v>-</v>
      </c>
      <c r="DQ92" s="2" t="str">
        <f aca="false">IF(AG92="x","x",IF(AG92="-","-",""))</f>
        <v>-</v>
      </c>
      <c r="DR92" s="2" t="str">
        <f aca="false">IF(AH92="x","x",IF(AH92="-","-",""))</f>
        <v>-</v>
      </c>
      <c r="DS92" s="2" t="str">
        <f aca="false">IF(AI92="x","x",IF(AI92="-","-",""))</f>
        <v>-</v>
      </c>
      <c r="DT92" s="2" t="str">
        <f aca="false">IF(AJ92="x","x",IF(AJ92="-","-",""))</f>
        <v>-</v>
      </c>
      <c r="DU92" s="2" t="str">
        <f aca="false">IF(AK92="x","x",IF(AK92="-","-",""))</f>
        <v>-</v>
      </c>
      <c r="DV92" s="2" t="str">
        <f aca="false">IF(AL92="x","x",IF(AL92="-","-",""))</f>
        <v>-</v>
      </c>
      <c r="DW92" s="2" t="str">
        <f aca="false">IF(AM92="x","x",IF(AM92="-","-",""))</f>
        <v>-</v>
      </c>
      <c r="DX92" s="2" t="str">
        <f aca="false">IF(AN92="x","x",IF(AN92="-","-",""))</f>
        <v>-</v>
      </c>
    </row>
    <row r="93" customFormat="false" ht="13.8" hidden="false" customHeight="false" outlineLevel="0" collapsed="false">
      <c r="A93" s="10" t="s">
        <v>73</v>
      </c>
      <c r="B93" s="2" t="n">
        <v>92</v>
      </c>
      <c r="C93" s="1" t="s">
        <v>77</v>
      </c>
      <c r="D93" s="10" t="s">
        <v>92</v>
      </c>
      <c r="E93" s="10" t="s">
        <v>127</v>
      </c>
      <c r="F93" s="10"/>
      <c r="G93" s="10" t="s">
        <v>77</v>
      </c>
      <c r="H93" s="10" t="s">
        <v>77</v>
      </c>
      <c r="I93" s="10" t="s">
        <v>77</v>
      </c>
      <c r="J93" s="10" t="s">
        <v>77</v>
      </c>
      <c r="K93" s="10" t="s">
        <v>77</v>
      </c>
      <c r="L93" s="10" t="s">
        <v>77</v>
      </c>
      <c r="M93" s="2" t="n">
        <v>20</v>
      </c>
      <c r="N93" s="10" t="s">
        <v>77</v>
      </c>
      <c r="O93" s="10"/>
      <c r="P93" s="10" t="s">
        <v>77</v>
      </c>
      <c r="Q93" s="10" t="s">
        <v>77</v>
      </c>
      <c r="R93" s="10" t="s">
        <v>77</v>
      </c>
      <c r="S93" s="10" t="s">
        <v>77</v>
      </c>
      <c r="T93" s="10" t="s">
        <v>77</v>
      </c>
      <c r="U93" s="10" t="s">
        <v>77</v>
      </c>
      <c r="V93" s="10" t="s">
        <v>77</v>
      </c>
      <c r="W93" s="10" t="s">
        <v>77</v>
      </c>
      <c r="X93" s="10" t="s">
        <v>77</v>
      </c>
      <c r="Y93" s="10" t="s">
        <v>77</v>
      </c>
      <c r="Z93" s="10" t="s">
        <v>77</v>
      </c>
      <c r="AA93" s="10" t="s">
        <v>77</v>
      </c>
      <c r="AB93" s="10"/>
      <c r="AC93" s="10" t="s">
        <v>77</v>
      </c>
      <c r="AD93" s="10" t="s">
        <v>77</v>
      </c>
      <c r="AE93" s="10" t="s">
        <v>77</v>
      </c>
      <c r="AF93" s="10" t="s">
        <v>77</v>
      </c>
      <c r="AG93" s="10" t="s">
        <v>77</v>
      </c>
      <c r="AH93" s="10" t="s">
        <v>77</v>
      </c>
      <c r="AI93" s="10" t="s">
        <v>77</v>
      </c>
      <c r="AJ93" s="10" t="s">
        <v>77</v>
      </c>
      <c r="AK93" s="10" t="s">
        <v>77</v>
      </c>
      <c r="AL93" s="10" t="s">
        <v>77</v>
      </c>
      <c r="AM93" s="10" t="s">
        <v>77</v>
      </c>
      <c r="AN93" s="10" t="s">
        <v>77</v>
      </c>
      <c r="AO93" s="10"/>
      <c r="AP93" s="10" t="s">
        <v>73</v>
      </c>
      <c r="AQ93" s="10" t="s">
        <v>73</v>
      </c>
      <c r="AS93" s="10" t="s">
        <v>77</v>
      </c>
      <c r="AT93" s="10" t="s">
        <v>77</v>
      </c>
      <c r="AU93" s="10" t="s">
        <v>77</v>
      </c>
      <c r="AV93" s="10" t="s">
        <v>77</v>
      </c>
      <c r="AW93" s="10" t="s">
        <v>77</v>
      </c>
      <c r="AX93" s="10" t="s">
        <v>77</v>
      </c>
      <c r="AY93" s="10" t="s">
        <v>77</v>
      </c>
      <c r="AZ93" s="10" t="s">
        <v>77</v>
      </c>
      <c r="BA93" s="10" t="s">
        <v>77</v>
      </c>
      <c r="BB93" s="10" t="s">
        <v>77</v>
      </c>
      <c r="BC93" s="10" t="s">
        <v>77</v>
      </c>
      <c r="BD93" s="10" t="s">
        <v>77</v>
      </c>
      <c r="BE93" s="10" t="s">
        <v>77</v>
      </c>
      <c r="BF93" s="10" t="s">
        <v>77</v>
      </c>
      <c r="BG93" s="10" t="s">
        <v>77</v>
      </c>
      <c r="BH93" s="10" t="s">
        <v>77</v>
      </c>
      <c r="BI93" s="10" t="s">
        <v>77</v>
      </c>
      <c r="BJ93" s="10" t="s">
        <v>77</v>
      </c>
      <c r="BK93" s="10" t="s">
        <v>77</v>
      </c>
      <c r="BL93" s="10" t="s">
        <v>77</v>
      </c>
      <c r="BM93" s="10" t="s">
        <v>77</v>
      </c>
      <c r="BN93" s="10" t="s">
        <v>77</v>
      </c>
      <c r="BO93" s="10" t="s">
        <v>77</v>
      </c>
      <c r="BP93" s="10" t="s">
        <v>77</v>
      </c>
      <c r="BR93" s="10" t="s">
        <v>77</v>
      </c>
      <c r="BS93" s="10" t="s">
        <v>77</v>
      </c>
      <c r="BT93" s="10" t="s">
        <v>77</v>
      </c>
      <c r="BU93" s="10" t="s">
        <v>77</v>
      </c>
      <c r="BV93" s="10" t="s">
        <v>77</v>
      </c>
      <c r="BW93" s="10" t="s">
        <v>77</v>
      </c>
      <c r="BX93" s="10" t="s">
        <v>77</v>
      </c>
      <c r="BY93" s="10" t="s">
        <v>77</v>
      </c>
      <c r="CA93" s="2" t="str">
        <f aca="false">IF(AS93="x","x",IF(AS93="-","-",""))</f>
        <v>-</v>
      </c>
      <c r="CB93" s="2" t="str">
        <f aca="false">IF(AT93="x","x",IF(AT93="-","-",""))</f>
        <v>-</v>
      </c>
      <c r="CC93" s="2" t="str">
        <f aca="false">IF(AU93="x","x",IF(AU93="-","-",""))</f>
        <v>-</v>
      </c>
      <c r="CD93" s="2" t="str">
        <f aca="false">IF(AV93="x","x",IF(AV93="-","-",""))</f>
        <v>-</v>
      </c>
      <c r="CE93" s="2" t="str">
        <f aca="false">IF(AW93="x","x",IF(AW93="-","-",""))</f>
        <v>-</v>
      </c>
      <c r="CF93" s="2" t="str">
        <f aca="false">IF(AX93="x","x",IF(AX93="-","-",""))</f>
        <v>-</v>
      </c>
      <c r="CG93" s="2" t="str">
        <f aca="false">IF(AY93="x","x",IF(AY93="-","-",""))</f>
        <v>-</v>
      </c>
      <c r="CH93" s="2" t="str">
        <f aca="false">IF(AZ93="x","x",IF(AZ93="-","-",""))</f>
        <v>-</v>
      </c>
      <c r="CI93" s="2" t="str">
        <f aca="false">IF(BA93="x","x",IF(BA93="-","-",""))</f>
        <v>-</v>
      </c>
      <c r="CJ93" s="2" t="str">
        <f aca="false">IF(BB93="x","x",IF(BB93="-","-",""))</f>
        <v>-</v>
      </c>
      <c r="CK93" s="2" t="str">
        <f aca="false">IF(BC93="x","x",IF(BC93="-","-",""))</f>
        <v>-</v>
      </c>
      <c r="CL93" s="2" t="str">
        <f aca="false">IF(BD93="x","x",IF(BD93="-","-",""))</f>
        <v>-</v>
      </c>
      <c r="CM93" s="2" t="str">
        <f aca="false">IF(BE93="x","x",IF(BE93="-","-",""))</f>
        <v>-</v>
      </c>
      <c r="CN93" s="2" t="str">
        <f aca="false">IF(BF93="x","x",IF(BF93="-","-",""))</f>
        <v>-</v>
      </c>
      <c r="CO93" s="2" t="str">
        <f aca="false">IF(BG93="x","x",IF(BG93="-","-",""))</f>
        <v>-</v>
      </c>
      <c r="CP93" s="2" t="str">
        <f aca="false">IF(BH93="x","x",IF(BH93="-","-",""))</f>
        <v>-</v>
      </c>
      <c r="CQ93" s="2" t="str">
        <f aca="false">IF(BI93="x","x",IF(BI93="-","-",""))</f>
        <v>-</v>
      </c>
      <c r="CR93" s="2" t="str">
        <f aca="false">IF(BJ93="x","x",IF(BJ93="-","-",""))</f>
        <v>-</v>
      </c>
      <c r="CS93" s="2" t="str">
        <f aca="false">IF(BK93="x","x",IF(BK93="-","-",""))</f>
        <v>-</v>
      </c>
      <c r="CT93" s="2" t="str">
        <f aca="false">IF(BL93="x","x",IF(BL93="-","-",""))</f>
        <v>-</v>
      </c>
      <c r="CU93" s="2" t="str">
        <f aca="false">IF(BM93="x","x",IF(BM93="-","-",""))</f>
        <v>-</v>
      </c>
      <c r="CV93" s="2" t="str">
        <f aca="false">IF(BN93="x","x",IF(BN93="-","-",""))</f>
        <v>-</v>
      </c>
      <c r="CW93" s="2" t="str">
        <f aca="false">IF(BO93="x","x",IF(BO93="-","-",""))</f>
        <v>-</v>
      </c>
      <c r="CX93" s="2" t="str">
        <f aca="false">IF(BP93="x","x",IF(BP93="-","-",""))</f>
        <v>-</v>
      </c>
      <c r="CZ93" s="2" t="str">
        <f aca="false">IF(P93="x","x",IF(P93="-","-",""))</f>
        <v>-</v>
      </c>
      <c r="DA93" s="2" t="str">
        <f aca="false">IF(Q93="x","x",IF(Q93="-","-",""))</f>
        <v>-</v>
      </c>
      <c r="DB93" s="2" t="str">
        <f aca="false">IF(R93="x","x",IF(R93="-","-",""))</f>
        <v>-</v>
      </c>
      <c r="DC93" s="2" t="str">
        <f aca="false">IF(S93="x","x",IF(S93="-","-",""))</f>
        <v>-</v>
      </c>
      <c r="DD93" s="2" t="str">
        <f aca="false">IF(T93="x","x",IF(T93="-","-",""))</f>
        <v>-</v>
      </c>
      <c r="DE93" s="2" t="str">
        <f aca="false">IF(U93="x","x",IF(U93="-","-",""))</f>
        <v>-</v>
      </c>
      <c r="DF93" s="2" t="str">
        <f aca="false">IF(V93="x","x",IF(V93="-","-",""))</f>
        <v>-</v>
      </c>
      <c r="DG93" s="2" t="str">
        <f aca="false">IF(W93="x","x",IF(W93="-","-",""))</f>
        <v>-</v>
      </c>
      <c r="DH93" s="2" t="str">
        <f aca="false">IF(X93="x","x",IF(X93="-","-",""))</f>
        <v>-</v>
      </c>
      <c r="DI93" s="2" t="str">
        <f aca="false">IF(Y93="x","x",IF(Y93="-","-",""))</f>
        <v>-</v>
      </c>
      <c r="DJ93" s="2" t="str">
        <f aca="false">IF(Z93="x","x",IF(Z93="-","-",""))</f>
        <v>-</v>
      </c>
      <c r="DK93" s="2" t="str">
        <f aca="false">IF(AA93="x","x",IF(AA93="-","-",""))</f>
        <v>-</v>
      </c>
      <c r="DL93" s="10"/>
      <c r="DM93" s="2" t="str">
        <f aca="false">IF(AC93="x","x",IF(AC93="-","-",""))</f>
        <v>-</v>
      </c>
      <c r="DN93" s="2" t="str">
        <f aca="false">IF(AD93="x","x",IF(AD93="-","-",""))</f>
        <v>-</v>
      </c>
      <c r="DO93" s="2" t="str">
        <f aca="false">IF(AE93="x","x",IF(AE93="-","-",""))</f>
        <v>-</v>
      </c>
      <c r="DP93" s="2" t="str">
        <f aca="false">IF(AF93="x","x",IF(AF93="-","-",""))</f>
        <v>-</v>
      </c>
      <c r="DQ93" s="2" t="str">
        <f aca="false">IF(AG93="x","x",IF(AG93="-","-",""))</f>
        <v>-</v>
      </c>
      <c r="DR93" s="2" t="str">
        <f aca="false">IF(AH93="x","x",IF(AH93="-","-",""))</f>
        <v>-</v>
      </c>
      <c r="DS93" s="2" t="str">
        <f aca="false">IF(AI93="x","x",IF(AI93="-","-",""))</f>
        <v>-</v>
      </c>
      <c r="DT93" s="2" t="str">
        <f aca="false">IF(AJ93="x","x",IF(AJ93="-","-",""))</f>
        <v>-</v>
      </c>
      <c r="DU93" s="2" t="str">
        <f aca="false">IF(AK93="x","x",IF(AK93="-","-",""))</f>
        <v>-</v>
      </c>
      <c r="DV93" s="2" t="str">
        <f aca="false">IF(AL93="x","x",IF(AL93="-","-",""))</f>
        <v>-</v>
      </c>
      <c r="DW93" s="2" t="str">
        <f aca="false">IF(AM93="x","x",IF(AM93="-","-",""))</f>
        <v>-</v>
      </c>
      <c r="DX93" s="2" t="str">
        <f aca="false">IF(AN93="x","x",IF(AN93="-","-",""))</f>
        <v>-</v>
      </c>
    </row>
    <row r="94" customFormat="false" ht="13.8" hidden="false" customHeight="false" outlineLevel="0" collapsed="false">
      <c r="A94" s="10" t="s">
        <v>73</v>
      </c>
      <c r="B94" s="2" t="n">
        <v>93</v>
      </c>
      <c r="C94" s="1" t="s">
        <v>77</v>
      </c>
      <c r="D94" s="10" t="s">
        <v>92</v>
      </c>
      <c r="E94" s="10" t="s">
        <v>127</v>
      </c>
      <c r="F94" s="10"/>
      <c r="G94" s="10" t="s">
        <v>77</v>
      </c>
      <c r="H94" s="10" t="s">
        <v>77</v>
      </c>
      <c r="I94" s="10" t="s">
        <v>77</v>
      </c>
      <c r="J94" s="10" t="s">
        <v>77</v>
      </c>
      <c r="K94" s="10" t="s">
        <v>77</v>
      </c>
      <c r="L94" s="10" t="s">
        <v>77</v>
      </c>
      <c r="M94" s="2" t="n">
        <v>20</v>
      </c>
      <c r="N94" s="10" t="s">
        <v>77</v>
      </c>
      <c r="O94" s="10"/>
      <c r="P94" s="10" t="s">
        <v>77</v>
      </c>
      <c r="Q94" s="10" t="s">
        <v>77</v>
      </c>
      <c r="R94" s="10" t="s">
        <v>77</v>
      </c>
      <c r="S94" s="10" t="s">
        <v>77</v>
      </c>
      <c r="T94" s="10" t="s">
        <v>77</v>
      </c>
      <c r="U94" s="10" t="s">
        <v>77</v>
      </c>
      <c r="V94" s="10" t="s">
        <v>77</v>
      </c>
      <c r="W94" s="10" t="s">
        <v>77</v>
      </c>
      <c r="X94" s="10" t="s">
        <v>77</v>
      </c>
      <c r="Y94" s="10" t="s">
        <v>77</v>
      </c>
      <c r="Z94" s="10" t="s">
        <v>77</v>
      </c>
      <c r="AA94" s="10" t="s">
        <v>77</v>
      </c>
      <c r="AB94" s="10"/>
      <c r="AC94" s="10" t="s">
        <v>77</v>
      </c>
      <c r="AD94" s="10" t="s">
        <v>77</v>
      </c>
      <c r="AE94" s="10" t="s">
        <v>77</v>
      </c>
      <c r="AF94" s="10" t="s">
        <v>77</v>
      </c>
      <c r="AG94" s="10" t="s">
        <v>77</v>
      </c>
      <c r="AH94" s="10" t="s">
        <v>77</v>
      </c>
      <c r="AI94" s="10" t="s">
        <v>77</v>
      </c>
      <c r="AJ94" s="10" t="s">
        <v>77</v>
      </c>
      <c r="AK94" s="10" t="s">
        <v>77</v>
      </c>
      <c r="AL94" s="10" t="s">
        <v>77</v>
      </c>
      <c r="AM94" s="10" t="s">
        <v>77</v>
      </c>
      <c r="AN94" s="10" t="s">
        <v>77</v>
      </c>
      <c r="AO94" s="10"/>
      <c r="AP94" s="10" t="s">
        <v>73</v>
      </c>
      <c r="AQ94" s="10" t="s">
        <v>73</v>
      </c>
      <c r="AS94" s="10" t="s">
        <v>77</v>
      </c>
      <c r="AT94" s="10" t="s">
        <v>77</v>
      </c>
      <c r="AU94" s="10" t="s">
        <v>77</v>
      </c>
      <c r="AV94" s="10" t="s">
        <v>77</v>
      </c>
      <c r="AW94" s="10" t="s">
        <v>77</v>
      </c>
      <c r="AX94" s="10" t="s">
        <v>77</v>
      </c>
      <c r="AY94" s="10" t="s">
        <v>77</v>
      </c>
      <c r="AZ94" s="10" t="s">
        <v>77</v>
      </c>
      <c r="BA94" s="10" t="s">
        <v>77</v>
      </c>
      <c r="BB94" s="10" t="s">
        <v>77</v>
      </c>
      <c r="BC94" s="10" t="s">
        <v>77</v>
      </c>
      <c r="BD94" s="10" t="s">
        <v>77</v>
      </c>
      <c r="BE94" s="10" t="s">
        <v>77</v>
      </c>
      <c r="BF94" s="10" t="s">
        <v>77</v>
      </c>
      <c r="BG94" s="10" t="s">
        <v>77</v>
      </c>
      <c r="BH94" s="10" t="s">
        <v>77</v>
      </c>
      <c r="BI94" s="10" t="s">
        <v>77</v>
      </c>
      <c r="BJ94" s="10" t="s">
        <v>77</v>
      </c>
      <c r="BK94" s="10" t="s">
        <v>77</v>
      </c>
      <c r="BL94" s="10" t="s">
        <v>77</v>
      </c>
      <c r="BM94" s="10" t="s">
        <v>77</v>
      </c>
      <c r="BN94" s="10" t="s">
        <v>77</v>
      </c>
      <c r="BO94" s="10" t="s">
        <v>77</v>
      </c>
      <c r="BP94" s="10" t="s">
        <v>77</v>
      </c>
      <c r="BR94" s="10" t="s">
        <v>77</v>
      </c>
      <c r="BS94" s="10" t="s">
        <v>77</v>
      </c>
      <c r="BT94" s="10" t="s">
        <v>77</v>
      </c>
      <c r="BU94" s="10" t="s">
        <v>77</v>
      </c>
      <c r="BV94" s="10" t="s">
        <v>77</v>
      </c>
      <c r="BW94" s="10" t="s">
        <v>77</v>
      </c>
      <c r="BX94" s="10" t="s">
        <v>77</v>
      </c>
      <c r="BY94" s="10" t="s">
        <v>77</v>
      </c>
      <c r="CA94" s="2" t="str">
        <f aca="false">IF(AS94="x","x",IF(AS94="-","-",""))</f>
        <v>-</v>
      </c>
      <c r="CB94" s="2" t="str">
        <f aca="false">IF(AT94="x","x",IF(AT94="-","-",""))</f>
        <v>-</v>
      </c>
      <c r="CC94" s="2" t="str">
        <f aca="false">IF(AU94="x","x",IF(AU94="-","-",""))</f>
        <v>-</v>
      </c>
      <c r="CD94" s="2" t="str">
        <f aca="false">IF(AV94="x","x",IF(AV94="-","-",""))</f>
        <v>-</v>
      </c>
      <c r="CE94" s="2" t="str">
        <f aca="false">IF(AW94="x","x",IF(AW94="-","-",""))</f>
        <v>-</v>
      </c>
      <c r="CF94" s="2" t="str">
        <f aca="false">IF(AX94="x","x",IF(AX94="-","-",""))</f>
        <v>-</v>
      </c>
      <c r="CG94" s="2" t="str">
        <f aca="false">IF(AY94="x","x",IF(AY94="-","-",""))</f>
        <v>-</v>
      </c>
      <c r="CH94" s="2" t="str">
        <f aca="false">IF(AZ94="x","x",IF(AZ94="-","-",""))</f>
        <v>-</v>
      </c>
      <c r="CI94" s="2" t="str">
        <f aca="false">IF(BA94="x","x",IF(BA94="-","-",""))</f>
        <v>-</v>
      </c>
      <c r="CJ94" s="2" t="str">
        <f aca="false">IF(BB94="x","x",IF(BB94="-","-",""))</f>
        <v>-</v>
      </c>
      <c r="CK94" s="2" t="str">
        <f aca="false">IF(BC94="x","x",IF(BC94="-","-",""))</f>
        <v>-</v>
      </c>
      <c r="CL94" s="2" t="str">
        <f aca="false">IF(BD94="x","x",IF(BD94="-","-",""))</f>
        <v>-</v>
      </c>
      <c r="CM94" s="2" t="str">
        <f aca="false">IF(BE94="x","x",IF(BE94="-","-",""))</f>
        <v>-</v>
      </c>
      <c r="CN94" s="2" t="str">
        <f aca="false">IF(BF94="x","x",IF(BF94="-","-",""))</f>
        <v>-</v>
      </c>
      <c r="CO94" s="2" t="str">
        <f aca="false">IF(BG94="x","x",IF(BG94="-","-",""))</f>
        <v>-</v>
      </c>
      <c r="CP94" s="2" t="str">
        <f aca="false">IF(BH94="x","x",IF(BH94="-","-",""))</f>
        <v>-</v>
      </c>
      <c r="CQ94" s="2" t="str">
        <f aca="false">IF(BI94="x","x",IF(BI94="-","-",""))</f>
        <v>-</v>
      </c>
      <c r="CR94" s="2" t="str">
        <f aca="false">IF(BJ94="x","x",IF(BJ94="-","-",""))</f>
        <v>-</v>
      </c>
      <c r="CS94" s="2" t="str">
        <f aca="false">IF(BK94="x","x",IF(BK94="-","-",""))</f>
        <v>-</v>
      </c>
      <c r="CT94" s="2" t="str">
        <f aca="false">IF(BL94="x","x",IF(BL94="-","-",""))</f>
        <v>-</v>
      </c>
      <c r="CU94" s="2" t="str">
        <f aca="false">IF(BM94="x","x",IF(BM94="-","-",""))</f>
        <v>-</v>
      </c>
      <c r="CV94" s="2" t="str">
        <f aca="false">IF(BN94="x","x",IF(BN94="-","-",""))</f>
        <v>-</v>
      </c>
      <c r="CW94" s="2" t="str">
        <f aca="false">IF(BO94="x","x",IF(BO94="-","-",""))</f>
        <v>-</v>
      </c>
      <c r="CX94" s="2" t="str">
        <f aca="false">IF(BP94="x","x",IF(BP94="-","-",""))</f>
        <v>-</v>
      </c>
      <c r="CZ94" s="2" t="str">
        <f aca="false">IF(P94="x","x",IF(P94="-","-",""))</f>
        <v>-</v>
      </c>
      <c r="DA94" s="2" t="str">
        <f aca="false">IF(Q94="x","x",IF(Q94="-","-",""))</f>
        <v>-</v>
      </c>
      <c r="DB94" s="2" t="str">
        <f aca="false">IF(R94="x","x",IF(R94="-","-",""))</f>
        <v>-</v>
      </c>
      <c r="DC94" s="2" t="str">
        <f aca="false">IF(S94="x","x",IF(S94="-","-",""))</f>
        <v>-</v>
      </c>
      <c r="DD94" s="2" t="str">
        <f aca="false">IF(T94="x","x",IF(T94="-","-",""))</f>
        <v>-</v>
      </c>
      <c r="DE94" s="2" t="str">
        <f aca="false">IF(U94="x","x",IF(U94="-","-",""))</f>
        <v>-</v>
      </c>
      <c r="DF94" s="2" t="str">
        <f aca="false">IF(V94="x","x",IF(V94="-","-",""))</f>
        <v>-</v>
      </c>
      <c r="DG94" s="2" t="str">
        <f aca="false">IF(W94="x","x",IF(W94="-","-",""))</f>
        <v>-</v>
      </c>
      <c r="DH94" s="2" t="str">
        <f aca="false">IF(X94="x","x",IF(X94="-","-",""))</f>
        <v>-</v>
      </c>
      <c r="DI94" s="2" t="str">
        <f aca="false">IF(Y94="x","x",IF(Y94="-","-",""))</f>
        <v>-</v>
      </c>
      <c r="DJ94" s="2" t="str">
        <f aca="false">IF(Z94="x","x",IF(Z94="-","-",""))</f>
        <v>-</v>
      </c>
      <c r="DK94" s="2" t="str">
        <f aca="false">IF(AA94="x","x",IF(AA94="-","-",""))</f>
        <v>-</v>
      </c>
      <c r="DL94" s="10"/>
      <c r="DM94" s="2" t="str">
        <f aca="false">IF(AC94="x","x",IF(AC94="-","-",""))</f>
        <v>-</v>
      </c>
      <c r="DN94" s="2" t="str">
        <f aca="false">IF(AD94="x","x",IF(AD94="-","-",""))</f>
        <v>-</v>
      </c>
      <c r="DO94" s="2" t="str">
        <f aca="false">IF(AE94="x","x",IF(AE94="-","-",""))</f>
        <v>-</v>
      </c>
      <c r="DP94" s="2" t="str">
        <f aca="false">IF(AF94="x","x",IF(AF94="-","-",""))</f>
        <v>-</v>
      </c>
      <c r="DQ94" s="2" t="str">
        <f aca="false">IF(AG94="x","x",IF(AG94="-","-",""))</f>
        <v>-</v>
      </c>
      <c r="DR94" s="2" t="str">
        <f aca="false">IF(AH94="x","x",IF(AH94="-","-",""))</f>
        <v>-</v>
      </c>
      <c r="DS94" s="2" t="str">
        <f aca="false">IF(AI94="x","x",IF(AI94="-","-",""))</f>
        <v>-</v>
      </c>
      <c r="DT94" s="2" t="str">
        <f aca="false">IF(AJ94="x","x",IF(AJ94="-","-",""))</f>
        <v>-</v>
      </c>
      <c r="DU94" s="2" t="str">
        <f aca="false">IF(AK94="x","x",IF(AK94="-","-",""))</f>
        <v>-</v>
      </c>
      <c r="DV94" s="2" t="str">
        <f aca="false">IF(AL94="x","x",IF(AL94="-","-",""))</f>
        <v>-</v>
      </c>
      <c r="DW94" s="2" t="str">
        <f aca="false">IF(AM94="x","x",IF(AM94="-","-",""))</f>
        <v>-</v>
      </c>
      <c r="DX94" s="2" t="str">
        <f aca="false">IF(AN94="x","x",IF(AN94="-","-",""))</f>
        <v>-</v>
      </c>
    </row>
    <row r="95" customFormat="false" ht="13.8" hidden="false" customHeight="false" outlineLevel="0" collapsed="false">
      <c r="A95" s="10" t="s">
        <v>73</v>
      </c>
      <c r="B95" s="2" t="n">
        <v>94</v>
      </c>
      <c r="C95" s="1" t="s">
        <v>77</v>
      </c>
      <c r="D95" s="10" t="s">
        <v>92</v>
      </c>
      <c r="E95" s="10" t="s">
        <v>127</v>
      </c>
      <c r="F95" s="10"/>
      <c r="G95" s="10" t="s">
        <v>77</v>
      </c>
      <c r="H95" s="10" t="s">
        <v>77</v>
      </c>
      <c r="I95" s="10" t="s">
        <v>77</v>
      </c>
      <c r="J95" s="10" t="s">
        <v>77</v>
      </c>
      <c r="K95" s="10" t="s">
        <v>77</v>
      </c>
      <c r="L95" s="10" t="s">
        <v>77</v>
      </c>
      <c r="M95" s="2" t="n">
        <v>20</v>
      </c>
      <c r="N95" s="10" t="s">
        <v>77</v>
      </c>
      <c r="O95" s="10"/>
      <c r="P95" s="10" t="s">
        <v>77</v>
      </c>
      <c r="Q95" s="10" t="s">
        <v>77</v>
      </c>
      <c r="R95" s="10" t="s">
        <v>77</v>
      </c>
      <c r="S95" s="10" t="s">
        <v>77</v>
      </c>
      <c r="T95" s="10" t="s">
        <v>77</v>
      </c>
      <c r="U95" s="10" t="s">
        <v>77</v>
      </c>
      <c r="V95" s="10" t="s">
        <v>77</v>
      </c>
      <c r="W95" s="10" t="s">
        <v>77</v>
      </c>
      <c r="X95" s="10" t="s">
        <v>77</v>
      </c>
      <c r="Y95" s="10" t="s">
        <v>77</v>
      </c>
      <c r="Z95" s="10" t="s">
        <v>77</v>
      </c>
      <c r="AA95" s="10" t="s">
        <v>77</v>
      </c>
      <c r="AB95" s="10"/>
      <c r="AC95" s="10" t="s">
        <v>77</v>
      </c>
      <c r="AD95" s="10" t="s">
        <v>77</v>
      </c>
      <c r="AE95" s="10" t="s">
        <v>77</v>
      </c>
      <c r="AF95" s="10" t="s">
        <v>77</v>
      </c>
      <c r="AG95" s="10" t="s">
        <v>77</v>
      </c>
      <c r="AH95" s="10" t="s">
        <v>77</v>
      </c>
      <c r="AI95" s="10" t="s">
        <v>77</v>
      </c>
      <c r="AJ95" s="10" t="s">
        <v>77</v>
      </c>
      <c r="AK95" s="10" t="s">
        <v>77</v>
      </c>
      <c r="AL95" s="10" t="s">
        <v>77</v>
      </c>
      <c r="AM95" s="10" t="s">
        <v>77</v>
      </c>
      <c r="AN95" s="10" t="s">
        <v>77</v>
      </c>
      <c r="AO95" s="10"/>
      <c r="AP95" s="10" t="s">
        <v>73</v>
      </c>
      <c r="AQ95" s="10" t="s">
        <v>73</v>
      </c>
      <c r="AS95" s="10" t="s">
        <v>77</v>
      </c>
      <c r="AT95" s="10" t="s">
        <v>77</v>
      </c>
      <c r="AU95" s="10" t="s">
        <v>77</v>
      </c>
      <c r="AV95" s="10" t="s">
        <v>77</v>
      </c>
      <c r="AW95" s="10" t="s">
        <v>77</v>
      </c>
      <c r="AX95" s="10" t="s">
        <v>77</v>
      </c>
      <c r="AY95" s="10" t="s">
        <v>77</v>
      </c>
      <c r="AZ95" s="10" t="s">
        <v>77</v>
      </c>
      <c r="BA95" s="10" t="s">
        <v>77</v>
      </c>
      <c r="BB95" s="10" t="s">
        <v>77</v>
      </c>
      <c r="BC95" s="10" t="s">
        <v>77</v>
      </c>
      <c r="BD95" s="10" t="s">
        <v>77</v>
      </c>
      <c r="BE95" s="10" t="s">
        <v>77</v>
      </c>
      <c r="BF95" s="10" t="s">
        <v>77</v>
      </c>
      <c r="BG95" s="10" t="s">
        <v>77</v>
      </c>
      <c r="BH95" s="10" t="s">
        <v>77</v>
      </c>
      <c r="BI95" s="10" t="s">
        <v>77</v>
      </c>
      <c r="BJ95" s="10" t="s">
        <v>77</v>
      </c>
      <c r="BK95" s="10" t="s">
        <v>77</v>
      </c>
      <c r="BL95" s="10" t="s">
        <v>77</v>
      </c>
      <c r="BM95" s="10" t="s">
        <v>77</v>
      </c>
      <c r="BN95" s="10" t="s">
        <v>77</v>
      </c>
      <c r="BO95" s="10" t="s">
        <v>77</v>
      </c>
      <c r="BP95" s="10" t="s">
        <v>77</v>
      </c>
      <c r="BR95" s="10" t="s">
        <v>77</v>
      </c>
      <c r="BS95" s="10" t="s">
        <v>77</v>
      </c>
      <c r="BT95" s="10" t="s">
        <v>77</v>
      </c>
      <c r="BU95" s="10" t="s">
        <v>77</v>
      </c>
      <c r="BV95" s="10" t="s">
        <v>77</v>
      </c>
      <c r="BW95" s="10" t="s">
        <v>77</v>
      </c>
      <c r="BX95" s="10" t="s">
        <v>77</v>
      </c>
      <c r="BY95" s="10" t="s">
        <v>77</v>
      </c>
      <c r="CA95" s="2" t="str">
        <f aca="false">IF(AS95="x","x",IF(AS95="-","-",""))</f>
        <v>-</v>
      </c>
      <c r="CB95" s="2" t="str">
        <f aca="false">IF(AT95="x","x",IF(AT95="-","-",""))</f>
        <v>-</v>
      </c>
      <c r="CC95" s="2" t="str">
        <f aca="false">IF(AU95="x","x",IF(AU95="-","-",""))</f>
        <v>-</v>
      </c>
      <c r="CD95" s="2" t="str">
        <f aca="false">IF(AV95="x","x",IF(AV95="-","-",""))</f>
        <v>-</v>
      </c>
      <c r="CE95" s="2" t="str">
        <f aca="false">IF(AW95="x","x",IF(AW95="-","-",""))</f>
        <v>-</v>
      </c>
      <c r="CF95" s="2" t="str">
        <f aca="false">IF(AX95="x","x",IF(AX95="-","-",""))</f>
        <v>-</v>
      </c>
      <c r="CG95" s="2" t="str">
        <f aca="false">IF(AY95="x","x",IF(AY95="-","-",""))</f>
        <v>-</v>
      </c>
      <c r="CH95" s="2" t="str">
        <f aca="false">IF(AZ95="x","x",IF(AZ95="-","-",""))</f>
        <v>-</v>
      </c>
      <c r="CI95" s="2" t="str">
        <f aca="false">IF(BA95="x","x",IF(BA95="-","-",""))</f>
        <v>-</v>
      </c>
      <c r="CJ95" s="2" t="str">
        <f aca="false">IF(BB95="x","x",IF(BB95="-","-",""))</f>
        <v>-</v>
      </c>
      <c r="CK95" s="2" t="str">
        <f aca="false">IF(BC95="x","x",IF(BC95="-","-",""))</f>
        <v>-</v>
      </c>
      <c r="CL95" s="2" t="str">
        <f aca="false">IF(BD95="x","x",IF(BD95="-","-",""))</f>
        <v>-</v>
      </c>
      <c r="CM95" s="2" t="str">
        <f aca="false">IF(BE95="x","x",IF(BE95="-","-",""))</f>
        <v>-</v>
      </c>
      <c r="CN95" s="2" t="str">
        <f aca="false">IF(BF95="x","x",IF(BF95="-","-",""))</f>
        <v>-</v>
      </c>
      <c r="CO95" s="2" t="str">
        <f aca="false">IF(BG95="x","x",IF(BG95="-","-",""))</f>
        <v>-</v>
      </c>
      <c r="CP95" s="2" t="str">
        <f aca="false">IF(BH95="x","x",IF(BH95="-","-",""))</f>
        <v>-</v>
      </c>
      <c r="CQ95" s="2" t="str">
        <f aca="false">IF(BI95="x","x",IF(BI95="-","-",""))</f>
        <v>-</v>
      </c>
      <c r="CR95" s="2" t="str">
        <f aca="false">IF(BJ95="x","x",IF(BJ95="-","-",""))</f>
        <v>-</v>
      </c>
      <c r="CS95" s="2" t="str">
        <f aca="false">IF(BK95="x","x",IF(BK95="-","-",""))</f>
        <v>-</v>
      </c>
      <c r="CT95" s="2" t="str">
        <f aca="false">IF(BL95="x","x",IF(BL95="-","-",""))</f>
        <v>-</v>
      </c>
      <c r="CU95" s="2" t="str">
        <f aca="false">IF(BM95="x","x",IF(BM95="-","-",""))</f>
        <v>-</v>
      </c>
      <c r="CV95" s="2" t="str">
        <f aca="false">IF(BN95="x","x",IF(BN95="-","-",""))</f>
        <v>-</v>
      </c>
      <c r="CW95" s="2" t="str">
        <f aca="false">IF(BO95="x","x",IF(BO95="-","-",""))</f>
        <v>-</v>
      </c>
      <c r="CX95" s="2" t="str">
        <f aca="false">IF(BP95="x","x",IF(BP95="-","-",""))</f>
        <v>-</v>
      </c>
      <c r="CZ95" s="2" t="str">
        <f aca="false">IF(P95="x","x",IF(P95="-","-",""))</f>
        <v>-</v>
      </c>
      <c r="DA95" s="2" t="str">
        <f aca="false">IF(Q95="x","x",IF(Q95="-","-",""))</f>
        <v>-</v>
      </c>
      <c r="DB95" s="2" t="str">
        <f aca="false">IF(R95="x","x",IF(R95="-","-",""))</f>
        <v>-</v>
      </c>
      <c r="DC95" s="2" t="str">
        <f aca="false">IF(S95="x","x",IF(S95="-","-",""))</f>
        <v>-</v>
      </c>
      <c r="DD95" s="2" t="str">
        <f aca="false">IF(T95="x","x",IF(T95="-","-",""))</f>
        <v>-</v>
      </c>
      <c r="DE95" s="2" t="str">
        <f aca="false">IF(U95="x","x",IF(U95="-","-",""))</f>
        <v>-</v>
      </c>
      <c r="DF95" s="2" t="str">
        <f aca="false">IF(V95="x","x",IF(V95="-","-",""))</f>
        <v>-</v>
      </c>
      <c r="DG95" s="2" t="str">
        <f aca="false">IF(W95="x","x",IF(W95="-","-",""))</f>
        <v>-</v>
      </c>
      <c r="DH95" s="2" t="str">
        <f aca="false">IF(X95="x","x",IF(X95="-","-",""))</f>
        <v>-</v>
      </c>
      <c r="DI95" s="2" t="str">
        <f aca="false">IF(Y95="x","x",IF(Y95="-","-",""))</f>
        <v>-</v>
      </c>
      <c r="DJ95" s="2" t="str">
        <f aca="false">IF(Z95="x","x",IF(Z95="-","-",""))</f>
        <v>-</v>
      </c>
      <c r="DK95" s="2" t="str">
        <f aca="false">IF(AA95="x","x",IF(AA95="-","-",""))</f>
        <v>-</v>
      </c>
      <c r="DL95" s="10"/>
      <c r="DM95" s="2" t="str">
        <f aca="false">IF(AC95="x","x",IF(AC95="-","-",""))</f>
        <v>-</v>
      </c>
      <c r="DN95" s="2" t="str">
        <f aca="false">IF(AD95="x","x",IF(AD95="-","-",""))</f>
        <v>-</v>
      </c>
      <c r="DO95" s="2" t="str">
        <f aca="false">IF(AE95="x","x",IF(AE95="-","-",""))</f>
        <v>-</v>
      </c>
      <c r="DP95" s="2" t="str">
        <f aca="false">IF(AF95="x","x",IF(AF95="-","-",""))</f>
        <v>-</v>
      </c>
      <c r="DQ95" s="2" t="str">
        <f aca="false">IF(AG95="x","x",IF(AG95="-","-",""))</f>
        <v>-</v>
      </c>
      <c r="DR95" s="2" t="str">
        <f aca="false">IF(AH95="x","x",IF(AH95="-","-",""))</f>
        <v>-</v>
      </c>
      <c r="DS95" s="2" t="str">
        <f aca="false">IF(AI95="x","x",IF(AI95="-","-",""))</f>
        <v>-</v>
      </c>
      <c r="DT95" s="2" t="str">
        <f aca="false">IF(AJ95="x","x",IF(AJ95="-","-",""))</f>
        <v>-</v>
      </c>
      <c r="DU95" s="2" t="str">
        <f aca="false">IF(AK95="x","x",IF(AK95="-","-",""))</f>
        <v>-</v>
      </c>
      <c r="DV95" s="2" t="str">
        <f aca="false">IF(AL95="x","x",IF(AL95="-","-",""))</f>
        <v>-</v>
      </c>
      <c r="DW95" s="2" t="str">
        <f aca="false">IF(AM95="x","x",IF(AM95="-","-",""))</f>
        <v>-</v>
      </c>
      <c r="DX95" s="2" t="str">
        <f aca="false">IF(AN95="x","x",IF(AN95="-","-",""))</f>
        <v>-</v>
      </c>
    </row>
    <row r="96" customFormat="false" ht="13.8" hidden="false" customHeight="false" outlineLevel="0" collapsed="false">
      <c r="A96" s="10" t="s">
        <v>73</v>
      </c>
      <c r="B96" s="2" t="n">
        <v>95</v>
      </c>
      <c r="C96" s="1" t="s">
        <v>77</v>
      </c>
      <c r="D96" s="10" t="s">
        <v>92</v>
      </c>
      <c r="E96" s="10" t="s">
        <v>127</v>
      </c>
      <c r="F96" s="10"/>
      <c r="G96" s="10" t="s">
        <v>77</v>
      </c>
      <c r="H96" s="10" t="s">
        <v>77</v>
      </c>
      <c r="I96" s="10" t="s">
        <v>77</v>
      </c>
      <c r="J96" s="10" t="s">
        <v>77</v>
      </c>
      <c r="K96" s="10" t="s">
        <v>77</v>
      </c>
      <c r="L96" s="10" t="s">
        <v>77</v>
      </c>
      <c r="M96" s="2" t="n">
        <v>20</v>
      </c>
      <c r="N96" s="10" t="s">
        <v>77</v>
      </c>
      <c r="O96" s="10"/>
      <c r="P96" s="10" t="s">
        <v>77</v>
      </c>
      <c r="Q96" s="10" t="s">
        <v>77</v>
      </c>
      <c r="R96" s="10" t="s">
        <v>77</v>
      </c>
      <c r="S96" s="10" t="s">
        <v>77</v>
      </c>
      <c r="T96" s="10" t="s">
        <v>77</v>
      </c>
      <c r="U96" s="10" t="s">
        <v>77</v>
      </c>
      <c r="V96" s="10" t="s">
        <v>77</v>
      </c>
      <c r="W96" s="10" t="s">
        <v>77</v>
      </c>
      <c r="X96" s="10" t="s">
        <v>77</v>
      </c>
      <c r="Y96" s="10" t="s">
        <v>77</v>
      </c>
      <c r="Z96" s="10" t="s">
        <v>77</v>
      </c>
      <c r="AA96" s="10" t="s">
        <v>77</v>
      </c>
      <c r="AB96" s="10"/>
      <c r="AC96" s="10" t="s">
        <v>77</v>
      </c>
      <c r="AD96" s="10" t="s">
        <v>77</v>
      </c>
      <c r="AE96" s="10" t="s">
        <v>77</v>
      </c>
      <c r="AF96" s="10" t="s">
        <v>77</v>
      </c>
      <c r="AG96" s="10" t="s">
        <v>77</v>
      </c>
      <c r="AH96" s="10" t="s">
        <v>77</v>
      </c>
      <c r="AI96" s="10" t="s">
        <v>77</v>
      </c>
      <c r="AJ96" s="10" t="s">
        <v>77</v>
      </c>
      <c r="AK96" s="10" t="s">
        <v>77</v>
      </c>
      <c r="AL96" s="10" t="s">
        <v>77</v>
      </c>
      <c r="AM96" s="10" t="s">
        <v>77</v>
      </c>
      <c r="AN96" s="10" t="s">
        <v>77</v>
      </c>
      <c r="AO96" s="10"/>
      <c r="AP96" s="10" t="s">
        <v>73</v>
      </c>
      <c r="AQ96" s="10" t="s">
        <v>73</v>
      </c>
      <c r="AS96" s="10" t="s">
        <v>77</v>
      </c>
      <c r="AT96" s="10" t="s">
        <v>77</v>
      </c>
      <c r="AU96" s="10" t="s">
        <v>77</v>
      </c>
      <c r="AV96" s="10" t="s">
        <v>77</v>
      </c>
      <c r="AW96" s="10" t="s">
        <v>77</v>
      </c>
      <c r="AX96" s="10" t="s">
        <v>77</v>
      </c>
      <c r="AY96" s="10" t="s">
        <v>77</v>
      </c>
      <c r="AZ96" s="10" t="s">
        <v>77</v>
      </c>
      <c r="BA96" s="10" t="s">
        <v>77</v>
      </c>
      <c r="BB96" s="10" t="s">
        <v>77</v>
      </c>
      <c r="BC96" s="10" t="s">
        <v>77</v>
      </c>
      <c r="BD96" s="10" t="s">
        <v>77</v>
      </c>
      <c r="BE96" s="10" t="s">
        <v>77</v>
      </c>
      <c r="BF96" s="10" t="s">
        <v>77</v>
      </c>
      <c r="BG96" s="10" t="s">
        <v>77</v>
      </c>
      <c r="BH96" s="10" t="s">
        <v>77</v>
      </c>
      <c r="BI96" s="10" t="s">
        <v>77</v>
      </c>
      <c r="BJ96" s="10" t="s">
        <v>77</v>
      </c>
      <c r="BK96" s="10" t="s">
        <v>77</v>
      </c>
      <c r="BL96" s="10" t="s">
        <v>77</v>
      </c>
      <c r="BM96" s="10" t="s">
        <v>77</v>
      </c>
      <c r="BN96" s="10" t="s">
        <v>77</v>
      </c>
      <c r="BO96" s="10" t="s">
        <v>77</v>
      </c>
      <c r="BP96" s="10" t="s">
        <v>77</v>
      </c>
      <c r="BR96" s="10" t="s">
        <v>77</v>
      </c>
      <c r="BS96" s="10" t="s">
        <v>77</v>
      </c>
      <c r="BT96" s="10" t="s">
        <v>77</v>
      </c>
      <c r="BU96" s="10" t="s">
        <v>77</v>
      </c>
      <c r="BV96" s="10" t="s">
        <v>77</v>
      </c>
      <c r="BW96" s="10" t="s">
        <v>77</v>
      </c>
      <c r="BX96" s="10" t="s">
        <v>77</v>
      </c>
      <c r="BY96" s="10" t="s">
        <v>77</v>
      </c>
      <c r="CA96" s="2" t="str">
        <f aca="false">IF(AS96="x","x",IF(AS96="-","-",""))</f>
        <v>-</v>
      </c>
      <c r="CB96" s="2" t="str">
        <f aca="false">IF(AT96="x","x",IF(AT96="-","-",""))</f>
        <v>-</v>
      </c>
      <c r="CC96" s="2" t="str">
        <f aca="false">IF(AU96="x","x",IF(AU96="-","-",""))</f>
        <v>-</v>
      </c>
      <c r="CD96" s="2" t="str">
        <f aca="false">IF(AV96="x","x",IF(AV96="-","-",""))</f>
        <v>-</v>
      </c>
      <c r="CE96" s="2" t="str">
        <f aca="false">IF(AW96="x","x",IF(AW96="-","-",""))</f>
        <v>-</v>
      </c>
      <c r="CF96" s="2" t="str">
        <f aca="false">IF(AX96="x","x",IF(AX96="-","-",""))</f>
        <v>-</v>
      </c>
      <c r="CG96" s="2" t="str">
        <f aca="false">IF(AY96="x","x",IF(AY96="-","-",""))</f>
        <v>-</v>
      </c>
      <c r="CH96" s="2" t="str">
        <f aca="false">IF(AZ96="x","x",IF(AZ96="-","-",""))</f>
        <v>-</v>
      </c>
      <c r="CI96" s="2" t="str">
        <f aca="false">IF(BA96="x","x",IF(BA96="-","-",""))</f>
        <v>-</v>
      </c>
      <c r="CJ96" s="2" t="str">
        <f aca="false">IF(BB96="x","x",IF(BB96="-","-",""))</f>
        <v>-</v>
      </c>
      <c r="CK96" s="2" t="str">
        <f aca="false">IF(BC96="x","x",IF(BC96="-","-",""))</f>
        <v>-</v>
      </c>
      <c r="CL96" s="2" t="str">
        <f aca="false">IF(BD96="x","x",IF(BD96="-","-",""))</f>
        <v>-</v>
      </c>
      <c r="CM96" s="2" t="str">
        <f aca="false">IF(BE96="x","x",IF(BE96="-","-",""))</f>
        <v>-</v>
      </c>
      <c r="CN96" s="2" t="str">
        <f aca="false">IF(BF96="x","x",IF(BF96="-","-",""))</f>
        <v>-</v>
      </c>
      <c r="CO96" s="2" t="str">
        <f aca="false">IF(BG96="x","x",IF(BG96="-","-",""))</f>
        <v>-</v>
      </c>
      <c r="CP96" s="2" t="str">
        <f aca="false">IF(BH96="x","x",IF(BH96="-","-",""))</f>
        <v>-</v>
      </c>
      <c r="CQ96" s="2" t="str">
        <f aca="false">IF(BI96="x","x",IF(BI96="-","-",""))</f>
        <v>-</v>
      </c>
      <c r="CR96" s="2" t="str">
        <f aca="false">IF(BJ96="x","x",IF(BJ96="-","-",""))</f>
        <v>-</v>
      </c>
      <c r="CS96" s="2" t="str">
        <f aca="false">IF(BK96="x","x",IF(BK96="-","-",""))</f>
        <v>-</v>
      </c>
      <c r="CT96" s="2" t="str">
        <f aca="false">IF(BL96="x","x",IF(BL96="-","-",""))</f>
        <v>-</v>
      </c>
      <c r="CU96" s="2" t="str">
        <f aca="false">IF(BM96="x","x",IF(BM96="-","-",""))</f>
        <v>-</v>
      </c>
      <c r="CV96" s="2" t="str">
        <f aca="false">IF(BN96="x","x",IF(BN96="-","-",""))</f>
        <v>-</v>
      </c>
      <c r="CW96" s="2" t="str">
        <f aca="false">IF(BO96="x","x",IF(BO96="-","-",""))</f>
        <v>-</v>
      </c>
      <c r="CX96" s="2" t="str">
        <f aca="false">IF(BP96="x","x",IF(BP96="-","-",""))</f>
        <v>-</v>
      </c>
      <c r="CZ96" s="2" t="str">
        <f aca="false">IF(P96="x","x",IF(P96="-","-",""))</f>
        <v>-</v>
      </c>
      <c r="DA96" s="2" t="str">
        <f aca="false">IF(Q96="x","x",IF(Q96="-","-",""))</f>
        <v>-</v>
      </c>
      <c r="DB96" s="2" t="str">
        <f aca="false">IF(R96="x","x",IF(R96="-","-",""))</f>
        <v>-</v>
      </c>
      <c r="DC96" s="2" t="str">
        <f aca="false">IF(S96="x","x",IF(S96="-","-",""))</f>
        <v>-</v>
      </c>
      <c r="DD96" s="2" t="str">
        <f aca="false">IF(T96="x","x",IF(T96="-","-",""))</f>
        <v>-</v>
      </c>
      <c r="DE96" s="2" t="str">
        <f aca="false">IF(U96="x","x",IF(U96="-","-",""))</f>
        <v>-</v>
      </c>
      <c r="DF96" s="2" t="str">
        <f aca="false">IF(V96="x","x",IF(V96="-","-",""))</f>
        <v>-</v>
      </c>
      <c r="DG96" s="2" t="str">
        <f aca="false">IF(W96="x","x",IF(W96="-","-",""))</f>
        <v>-</v>
      </c>
      <c r="DH96" s="2" t="str">
        <f aca="false">IF(X96="x","x",IF(X96="-","-",""))</f>
        <v>-</v>
      </c>
      <c r="DI96" s="2" t="str">
        <f aca="false">IF(Y96="x","x",IF(Y96="-","-",""))</f>
        <v>-</v>
      </c>
      <c r="DJ96" s="2" t="str">
        <f aca="false">IF(Z96="x","x",IF(Z96="-","-",""))</f>
        <v>-</v>
      </c>
      <c r="DK96" s="2" t="str">
        <f aca="false">IF(AA96="x","x",IF(AA96="-","-",""))</f>
        <v>-</v>
      </c>
      <c r="DL96" s="10"/>
      <c r="DM96" s="2" t="str">
        <f aca="false">IF(AC96="x","x",IF(AC96="-","-",""))</f>
        <v>-</v>
      </c>
      <c r="DN96" s="2" t="str">
        <f aca="false">IF(AD96="x","x",IF(AD96="-","-",""))</f>
        <v>-</v>
      </c>
      <c r="DO96" s="2" t="str">
        <f aca="false">IF(AE96="x","x",IF(AE96="-","-",""))</f>
        <v>-</v>
      </c>
      <c r="DP96" s="2" t="str">
        <f aca="false">IF(AF96="x","x",IF(AF96="-","-",""))</f>
        <v>-</v>
      </c>
      <c r="DQ96" s="2" t="str">
        <f aca="false">IF(AG96="x","x",IF(AG96="-","-",""))</f>
        <v>-</v>
      </c>
      <c r="DR96" s="2" t="str">
        <f aca="false">IF(AH96="x","x",IF(AH96="-","-",""))</f>
        <v>-</v>
      </c>
      <c r="DS96" s="2" t="str">
        <f aca="false">IF(AI96="x","x",IF(AI96="-","-",""))</f>
        <v>-</v>
      </c>
      <c r="DT96" s="2" t="str">
        <f aca="false">IF(AJ96="x","x",IF(AJ96="-","-",""))</f>
        <v>-</v>
      </c>
      <c r="DU96" s="2" t="str">
        <f aca="false">IF(AK96="x","x",IF(AK96="-","-",""))</f>
        <v>-</v>
      </c>
      <c r="DV96" s="2" t="str">
        <f aca="false">IF(AL96="x","x",IF(AL96="-","-",""))</f>
        <v>-</v>
      </c>
      <c r="DW96" s="2" t="str">
        <f aca="false">IF(AM96="x","x",IF(AM96="-","-",""))</f>
        <v>-</v>
      </c>
      <c r="DX96" s="2" t="str">
        <f aca="false">IF(AN96="x","x",IF(AN96="-","-",""))</f>
        <v>-</v>
      </c>
    </row>
    <row r="97" customFormat="false" ht="13.8" hidden="false" customHeight="false" outlineLevel="0" collapsed="false">
      <c r="A97" s="10" t="s">
        <v>73</v>
      </c>
      <c r="B97" s="2" t="n">
        <v>96</v>
      </c>
      <c r="C97" s="1" t="s">
        <v>77</v>
      </c>
      <c r="D97" s="10" t="s">
        <v>92</v>
      </c>
      <c r="E97" s="10" t="s">
        <v>127</v>
      </c>
      <c r="F97" s="10"/>
      <c r="G97" s="10" t="s">
        <v>77</v>
      </c>
      <c r="H97" s="10" t="s">
        <v>77</v>
      </c>
      <c r="I97" s="10" t="s">
        <v>77</v>
      </c>
      <c r="J97" s="10" t="s">
        <v>77</v>
      </c>
      <c r="K97" s="10" t="s">
        <v>77</v>
      </c>
      <c r="L97" s="10" t="s">
        <v>77</v>
      </c>
      <c r="M97" s="2" t="n">
        <v>20</v>
      </c>
      <c r="N97" s="10" t="s">
        <v>77</v>
      </c>
      <c r="O97" s="10"/>
      <c r="P97" s="10" t="s">
        <v>77</v>
      </c>
      <c r="Q97" s="10" t="s">
        <v>77</v>
      </c>
      <c r="R97" s="10" t="s">
        <v>77</v>
      </c>
      <c r="S97" s="10" t="s">
        <v>77</v>
      </c>
      <c r="T97" s="10" t="s">
        <v>77</v>
      </c>
      <c r="U97" s="10" t="s">
        <v>77</v>
      </c>
      <c r="V97" s="10" t="s">
        <v>77</v>
      </c>
      <c r="W97" s="10" t="s">
        <v>77</v>
      </c>
      <c r="X97" s="10" t="s">
        <v>77</v>
      </c>
      <c r="Y97" s="10" t="s">
        <v>77</v>
      </c>
      <c r="Z97" s="10" t="s">
        <v>77</v>
      </c>
      <c r="AA97" s="10" t="s">
        <v>77</v>
      </c>
      <c r="AB97" s="10"/>
      <c r="AC97" s="10" t="s">
        <v>77</v>
      </c>
      <c r="AD97" s="10" t="s">
        <v>77</v>
      </c>
      <c r="AE97" s="10" t="s">
        <v>77</v>
      </c>
      <c r="AF97" s="10" t="s">
        <v>77</v>
      </c>
      <c r="AG97" s="10" t="s">
        <v>77</v>
      </c>
      <c r="AH97" s="10" t="s">
        <v>77</v>
      </c>
      <c r="AI97" s="10" t="s">
        <v>77</v>
      </c>
      <c r="AJ97" s="10" t="s">
        <v>77</v>
      </c>
      <c r="AK97" s="10" t="s">
        <v>77</v>
      </c>
      <c r="AL97" s="10" t="s">
        <v>77</v>
      </c>
      <c r="AM97" s="10" t="s">
        <v>77</v>
      </c>
      <c r="AN97" s="10" t="s">
        <v>77</v>
      </c>
      <c r="AO97" s="10"/>
      <c r="AP97" s="10" t="s">
        <v>73</v>
      </c>
      <c r="AQ97" s="10" t="s">
        <v>73</v>
      </c>
      <c r="AS97" s="10" t="s">
        <v>77</v>
      </c>
      <c r="AT97" s="10" t="s">
        <v>77</v>
      </c>
      <c r="AU97" s="10" t="s">
        <v>77</v>
      </c>
      <c r="AV97" s="10" t="s">
        <v>77</v>
      </c>
      <c r="AW97" s="10" t="s">
        <v>77</v>
      </c>
      <c r="AX97" s="10" t="s">
        <v>77</v>
      </c>
      <c r="AY97" s="10" t="s">
        <v>77</v>
      </c>
      <c r="AZ97" s="10" t="s">
        <v>77</v>
      </c>
      <c r="BA97" s="10" t="s">
        <v>77</v>
      </c>
      <c r="BB97" s="10" t="s">
        <v>77</v>
      </c>
      <c r="BC97" s="10" t="s">
        <v>77</v>
      </c>
      <c r="BD97" s="10" t="s">
        <v>77</v>
      </c>
      <c r="BE97" s="10" t="s">
        <v>77</v>
      </c>
      <c r="BF97" s="10" t="s">
        <v>77</v>
      </c>
      <c r="BG97" s="10" t="s">
        <v>77</v>
      </c>
      <c r="BH97" s="10" t="s">
        <v>77</v>
      </c>
      <c r="BI97" s="10" t="s">
        <v>77</v>
      </c>
      <c r="BJ97" s="10" t="s">
        <v>77</v>
      </c>
      <c r="BK97" s="10" t="s">
        <v>77</v>
      </c>
      <c r="BL97" s="10" t="s">
        <v>77</v>
      </c>
      <c r="BM97" s="10" t="s">
        <v>77</v>
      </c>
      <c r="BN97" s="10" t="s">
        <v>77</v>
      </c>
      <c r="BO97" s="10" t="s">
        <v>77</v>
      </c>
      <c r="BP97" s="10" t="s">
        <v>77</v>
      </c>
      <c r="BR97" s="10" t="s">
        <v>77</v>
      </c>
      <c r="BS97" s="10" t="s">
        <v>77</v>
      </c>
      <c r="BT97" s="10" t="s">
        <v>77</v>
      </c>
      <c r="BU97" s="10" t="s">
        <v>77</v>
      </c>
      <c r="BV97" s="10" t="s">
        <v>77</v>
      </c>
      <c r="BW97" s="10" t="s">
        <v>77</v>
      </c>
      <c r="BX97" s="10" t="s">
        <v>77</v>
      </c>
      <c r="BY97" s="10" t="s">
        <v>77</v>
      </c>
      <c r="CA97" s="2" t="str">
        <f aca="false">IF(AS97="x","x",IF(AS97="-","-",""))</f>
        <v>-</v>
      </c>
      <c r="CB97" s="2" t="str">
        <f aca="false">IF(AT97="x","x",IF(AT97="-","-",""))</f>
        <v>-</v>
      </c>
      <c r="CC97" s="2" t="str">
        <f aca="false">IF(AU97="x","x",IF(AU97="-","-",""))</f>
        <v>-</v>
      </c>
      <c r="CD97" s="2" t="str">
        <f aca="false">IF(AV97="x","x",IF(AV97="-","-",""))</f>
        <v>-</v>
      </c>
      <c r="CE97" s="2" t="str">
        <f aca="false">IF(AW97="x","x",IF(AW97="-","-",""))</f>
        <v>-</v>
      </c>
      <c r="CF97" s="2" t="str">
        <f aca="false">IF(AX97="x","x",IF(AX97="-","-",""))</f>
        <v>-</v>
      </c>
      <c r="CG97" s="2" t="str">
        <f aca="false">IF(AY97="x","x",IF(AY97="-","-",""))</f>
        <v>-</v>
      </c>
      <c r="CH97" s="2" t="str">
        <f aca="false">IF(AZ97="x","x",IF(AZ97="-","-",""))</f>
        <v>-</v>
      </c>
      <c r="CI97" s="2" t="str">
        <f aca="false">IF(BA97="x","x",IF(BA97="-","-",""))</f>
        <v>-</v>
      </c>
      <c r="CJ97" s="2" t="str">
        <f aca="false">IF(BB97="x","x",IF(BB97="-","-",""))</f>
        <v>-</v>
      </c>
      <c r="CK97" s="2" t="str">
        <f aca="false">IF(BC97="x","x",IF(BC97="-","-",""))</f>
        <v>-</v>
      </c>
      <c r="CL97" s="2" t="str">
        <f aca="false">IF(BD97="x","x",IF(BD97="-","-",""))</f>
        <v>-</v>
      </c>
      <c r="CM97" s="2" t="str">
        <f aca="false">IF(BE97="x","x",IF(BE97="-","-",""))</f>
        <v>-</v>
      </c>
      <c r="CN97" s="2" t="str">
        <f aca="false">IF(BF97="x","x",IF(BF97="-","-",""))</f>
        <v>-</v>
      </c>
      <c r="CO97" s="2" t="str">
        <f aca="false">IF(BG97="x","x",IF(BG97="-","-",""))</f>
        <v>-</v>
      </c>
      <c r="CP97" s="2" t="str">
        <f aca="false">IF(BH97="x","x",IF(BH97="-","-",""))</f>
        <v>-</v>
      </c>
      <c r="CQ97" s="2" t="str">
        <f aca="false">IF(BI97="x","x",IF(BI97="-","-",""))</f>
        <v>-</v>
      </c>
      <c r="CR97" s="2" t="str">
        <f aca="false">IF(BJ97="x","x",IF(BJ97="-","-",""))</f>
        <v>-</v>
      </c>
      <c r="CS97" s="2" t="str">
        <f aca="false">IF(BK97="x","x",IF(BK97="-","-",""))</f>
        <v>-</v>
      </c>
      <c r="CT97" s="2" t="str">
        <f aca="false">IF(BL97="x","x",IF(BL97="-","-",""))</f>
        <v>-</v>
      </c>
      <c r="CU97" s="2" t="str">
        <f aca="false">IF(BM97="x","x",IF(BM97="-","-",""))</f>
        <v>-</v>
      </c>
      <c r="CV97" s="2" t="str">
        <f aca="false">IF(BN97="x","x",IF(BN97="-","-",""))</f>
        <v>-</v>
      </c>
      <c r="CW97" s="2" t="str">
        <f aca="false">IF(BO97="x","x",IF(BO97="-","-",""))</f>
        <v>-</v>
      </c>
      <c r="CX97" s="2" t="str">
        <f aca="false">IF(BP97="x","x",IF(BP97="-","-",""))</f>
        <v>-</v>
      </c>
      <c r="CZ97" s="2" t="str">
        <f aca="false">IF(P97="x","x",IF(P97="-","-",""))</f>
        <v>-</v>
      </c>
      <c r="DA97" s="2" t="str">
        <f aca="false">IF(Q97="x","x",IF(Q97="-","-",""))</f>
        <v>-</v>
      </c>
      <c r="DB97" s="2" t="str">
        <f aca="false">IF(R97="x","x",IF(R97="-","-",""))</f>
        <v>-</v>
      </c>
      <c r="DC97" s="2" t="str">
        <f aca="false">IF(S97="x","x",IF(S97="-","-",""))</f>
        <v>-</v>
      </c>
      <c r="DD97" s="2" t="str">
        <f aca="false">IF(T97="x","x",IF(T97="-","-",""))</f>
        <v>-</v>
      </c>
      <c r="DE97" s="2" t="str">
        <f aca="false">IF(U97="x","x",IF(U97="-","-",""))</f>
        <v>-</v>
      </c>
      <c r="DF97" s="2" t="str">
        <f aca="false">IF(V97="x","x",IF(V97="-","-",""))</f>
        <v>-</v>
      </c>
      <c r="DG97" s="2" t="str">
        <f aca="false">IF(W97="x","x",IF(W97="-","-",""))</f>
        <v>-</v>
      </c>
      <c r="DH97" s="2" t="str">
        <f aca="false">IF(X97="x","x",IF(X97="-","-",""))</f>
        <v>-</v>
      </c>
      <c r="DI97" s="2" t="str">
        <f aca="false">IF(Y97="x","x",IF(Y97="-","-",""))</f>
        <v>-</v>
      </c>
      <c r="DJ97" s="2" t="str">
        <f aca="false">IF(Z97="x","x",IF(Z97="-","-",""))</f>
        <v>-</v>
      </c>
      <c r="DK97" s="2" t="str">
        <f aca="false">IF(AA97="x","x",IF(AA97="-","-",""))</f>
        <v>-</v>
      </c>
      <c r="DL97" s="10"/>
      <c r="DM97" s="2" t="str">
        <f aca="false">IF(AC97="x","x",IF(AC97="-","-",""))</f>
        <v>-</v>
      </c>
      <c r="DN97" s="2" t="str">
        <f aca="false">IF(AD97="x","x",IF(AD97="-","-",""))</f>
        <v>-</v>
      </c>
      <c r="DO97" s="2" t="str">
        <f aca="false">IF(AE97="x","x",IF(AE97="-","-",""))</f>
        <v>-</v>
      </c>
      <c r="DP97" s="2" t="str">
        <f aca="false">IF(AF97="x","x",IF(AF97="-","-",""))</f>
        <v>-</v>
      </c>
      <c r="DQ97" s="2" t="str">
        <f aca="false">IF(AG97="x","x",IF(AG97="-","-",""))</f>
        <v>-</v>
      </c>
      <c r="DR97" s="2" t="str">
        <f aca="false">IF(AH97="x","x",IF(AH97="-","-",""))</f>
        <v>-</v>
      </c>
      <c r="DS97" s="2" t="str">
        <f aca="false">IF(AI97="x","x",IF(AI97="-","-",""))</f>
        <v>-</v>
      </c>
      <c r="DT97" s="2" t="str">
        <f aca="false">IF(AJ97="x","x",IF(AJ97="-","-",""))</f>
        <v>-</v>
      </c>
      <c r="DU97" s="2" t="str">
        <f aca="false">IF(AK97="x","x",IF(AK97="-","-",""))</f>
        <v>-</v>
      </c>
      <c r="DV97" s="2" t="str">
        <f aca="false">IF(AL97="x","x",IF(AL97="-","-",""))</f>
        <v>-</v>
      </c>
      <c r="DW97" s="2" t="str">
        <f aca="false">IF(AM97="x","x",IF(AM97="-","-",""))</f>
        <v>-</v>
      </c>
      <c r="DX97" s="2" t="str">
        <f aca="false">IF(AN97="x","x",IF(AN97="-","-",""))</f>
        <v>-</v>
      </c>
    </row>
    <row r="98" customFormat="false" ht="13.8" hidden="false" customHeight="false" outlineLevel="0" collapsed="false">
      <c r="A98" s="10" t="s">
        <v>73</v>
      </c>
      <c r="B98" s="2" t="n">
        <v>97</v>
      </c>
      <c r="C98" s="1" t="s">
        <v>77</v>
      </c>
      <c r="D98" s="10" t="s">
        <v>92</v>
      </c>
      <c r="E98" s="10" t="s">
        <v>127</v>
      </c>
      <c r="F98" s="10"/>
      <c r="G98" s="10" t="s">
        <v>77</v>
      </c>
      <c r="H98" s="10" t="s">
        <v>77</v>
      </c>
      <c r="I98" s="10" t="s">
        <v>77</v>
      </c>
      <c r="J98" s="10" t="s">
        <v>77</v>
      </c>
      <c r="K98" s="10" t="s">
        <v>77</v>
      </c>
      <c r="L98" s="10" t="s">
        <v>77</v>
      </c>
      <c r="M98" s="2" t="n">
        <v>20</v>
      </c>
      <c r="N98" s="10" t="s">
        <v>77</v>
      </c>
      <c r="O98" s="10"/>
      <c r="P98" s="10" t="s">
        <v>77</v>
      </c>
      <c r="Q98" s="10" t="s">
        <v>77</v>
      </c>
      <c r="R98" s="10" t="s">
        <v>77</v>
      </c>
      <c r="S98" s="10" t="s">
        <v>77</v>
      </c>
      <c r="T98" s="10" t="s">
        <v>77</v>
      </c>
      <c r="U98" s="10" t="s">
        <v>77</v>
      </c>
      <c r="V98" s="10" t="s">
        <v>77</v>
      </c>
      <c r="W98" s="10" t="s">
        <v>77</v>
      </c>
      <c r="X98" s="10" t="s">
        <v>77</v>
      </c>
      <c r="Y98" s="10" t="s">
        <v>77</v>
      </c>
      <c r="Z98" s="10" t="s">
        <v>77</v>
      </c>
      <c r="AA98" s="10" t="s">
        <v>77</v>
      </c>
      <c r="AB98" s="10"/>
      <c r="AC98" s="10" t="s">
        <v>77</v>
      </c>
      <c r="AD98" s="10" t="s">
        <v>77</v>
      </c>
      <c r="AE98" s="10" t="s">
        <v>77</v>
      </c>
      <c r="AF98" s="10" t="s">
        <v>77</v>
      </c>
      <c r="AG98" s="10" t="s">
        <v>77</v>
      </c>
      <c r="AH98" s="10" t="s">
        <v>77</v>
      </c>
      <c r="AI98" s="10" t="s">
        <v>77</v>
      </c>
      <c r="AJ98" s="10" t="s">
        <v>77</v>
      </c>
      <c r="AK98" s="10" t="s">
        <v>77</v>
      </c>
      <c r="AL98" s="10" t="s">
        <v>77</v>
      </c>
      <c r="AM98" s="10" t="s">
        <v>77</v>
      </c>
      <c r="AN98" s="10" t="s">
        <v>77</v>
      </c>
      <c r="AO98" s="10"/>
      <c r="AP98" s="10" t="s">
        <v>73</v>
      </c>
      <c r="AQ98" s="10" t="s">
        <v>73</v>
      </c>
      <c r="AS98" s="10" t="s">
        <v>77</v>
      </c>
      <c r="AT98" s="10" t="s">
        <v>77</v>
      </c>
      <c r="AU98" s="10" t="s">
        <v>77</v>
      </c>
      <c r="AV98" s="10" t="s">
        <v>77</v>
      </c>
      <c r="AW98" s="10" t="s">
        <v>77</v>
      </c>
      <c r="AX98" s="10" t="s">
        <v>77</v>
      </c>
      <c r="AY98" s="10" t="s">
        <v>77</v>
      </c>
      <c r="AZ98" s="10" t="s">
        <v>77</v>
      </c>
      <c r="BA98" s="10" t="s">
        <v>77</v>
      </c>
      <c r="BB98" s="10" t="s">
        <v>77</v>
      </c>
      <c r="BC98" s="10" t="s">
        <v>77</v>
      </c>
      <c r="BD98" s="10" t="s">
        <v>77</v>
      </c>
      <c r="BE98" s="10" t="s">
        <v>77</v>
      </c>
      <c r="BF98" s="10" t="s">
        <v>77</v>
      </c>
      <c r="BG98" s="10" t="s">
        <v>77</v>
      </c>
      <c r="BH98" s="10" t="s">
        <v>77</v>
      </c>
      <c r="BI98" s="10" t="s">
        <v>77</v>
      </c>
      <c r="BJ98" s="10" t="s">
        <v>77</v>
      </c>
      <c r="BK98" s="10" t="s">
        <v>77</v>
      </c>
      <c r="BL98" s="10" t="s">
        <v>77</v>
      </c>
      <c r="BM98" s="10" t="s">
        <v>77</v>
      </c>
      <c r="BN98" s="10" t="s">
        <v>77</v>
      </c>
      <c r="BO98" s="10" t="s">
        <v>77</v>
      </c>
      <c r="BP98" s="10" t="s">
        <v>77</v>
      </c>
      <c r="BR98" s="10" t="s">
        <v>77</v>
      </c>
      <c r="BS98" s="10" t="s">
        <v>77</v>
      </c>
      <c r="BT98" s="10" t="s">
        <v>77</v>
      </c>
      <c r="BU98" s="10" t="s">
        <v>77</v>
      </c>
      <c r="BV98" s="10" t="s">
        <v>77</v>
      </c>
      <c r="BW98" s="10" t="s">
        <v>77</v>
      </c>
      <c r="BX98" s="10" t="s">
        <v>77</v>
      </c>
      <c r="BY98" s="10" t="s">
        <v>77</v>
      </c>
      <c r="CA98" s="2" t="str">
        <f aca="false">IF(AS98="x","x",IF(AS98="-","-",""))</f>
        <v>-</v>
      </c>
      <c r="CB98" s="2" t="str">
        <f aca="false">IF(AT98="x","x",IF(AT98="-","-",""))</f>
        <v>-</v>
      </c>
      <c r="CC98" s="2" t="str">
        <f aca="false">IF(AU98="x","x",IF(AU98="-","-",""))</f>
        <v>-</v>
      </c>
      <c r="CD98" s="2" t="str">
        <f aca="false">IF(AV98="x","x",IF(AV98="-","-",""))</f>
        <v>-</v>
      </c>
      <c r="CE98" s="2" t="str">
        <f aca="false">IF(AW98="x","x",IF(AW98="-","-",""))</f>
        <v>-</v>
      </c>
      <c r="CF98" s="2" t="str">
        <f aca="false">IF(AX98="x","x",IF(AX98="-","-",""))</f>
        <v>-</v>
      </c>
      <c r="CG98" s="2" t="str">
        <f aca="false">IF(AY98="x","x",IF(AY98="-","-",""))</f>
        <v>-</v>
      </c>
      <c r="CH98" s="2" t="str">
        <f aca="false">IF(AZ98="x","x",IF(AZ98="-","-",""))</f>
        <v>-</v>
      </c>
      <c r="CI98" s="2" t="str">
        <f aca="false">IF(BA98="x","x",IF(BA98="-","-",""))</f>
        <v>-</v>
      </c>
      <c r="CJ98" s="2" t="str">
        <f aca="false">IF(BB98="x","x",IF(BB98="-","-",""))</f>
        <v>-</v>
      </c>
      <c r="CK98" s="2" t="str">
        <f aca="false">IF(BC98="x","x",IF(BC98="-","-",""))</f>
        <v>-</v>
      </c>
      <c r="CL98" s="2" t="str">
        <f aca="false">IF(BD98="x","x",IF(BD98="-","-",""))</f>
        <v>-</v>
      </c>
      <c r="CM98" s="2" t="str">
        <f aca="false">IF(BE98="x","x",IF(BE98="-","-",""))</f>
        <v>-</v>
      </c>
      <c r="CN98" s="2" t="str">
        <f aca="false">IF(BF98="x","x",IF(BF98="-","-",""))</f>
        <v>-</v>
      </c>
      <c r="CO98" s="2" t="str">
        <f aca="false">IF(BG98="x","x",IF(BG98="-","-",""))</f>
        <v>-</v>
      </c>
      <c r="CP98" s="2" t="str">
        <f aca="false">IF(BH98="x","x",IF(BH98="-","-",""))</f>
        <v>-</v>
      </c>
      <c r="CQ98" s="2" t="str">
        <f aca="false">IF(BI98="x","x",IF(BI98="-","-",""))</f>
        <v>-</v>
      </c>
      <c r="CR98" s="2" t="str">
        <f aca="false">IF(BJ98="x","x",IF(BJ98="-","-",""))</f>
        <v>-</v>
      </c>
      <c r="CS98" s="2" t="str">
        <f aca="false">IF(BK98="x","x",IF(BK98="-","-",""))</f>
        <v>-</v>
      </c>
      <c r="CT98" s="2" t="str">
        <f aca="false">IF(BL98="x","x",IF(BL98="-","-",""))</f>
        <v>-</v>
      </c>
      <c r="CU98" s="2" t="str">
        <f aca="false">IF(BM98="x","x",IF(BM98="-","-",""))</f>
        <v>-</v>
      </c>
      <c r="CV98" s="2" t="str">
        <f aca="false">IF(BN98="x","x",IF(BN98="-","-",""))</f>
        <v>-</v>
      </c>
      <c r="CW98" s="2" t="str">
        <f aca="false">IF(BO98="x","x",IF(BO98="-","-",""))</f>
        <v>-</v>
      </c>
      <c r="CX98" s="2" t="str">
        <f aca="false">IF(BP98="x","x",IF(BP98="-","-",""))</f>
        <v>-</v>
      </c>
      <c r="CZ98" s="2" t="str">
        <f aca="false">IF(P98="x","x",IF(P98="-","-",""))</f>
        <v>-</v>
      </c>
      <c r="DA98" s="2" t="str">
        <f aca="false">IF(Q98="x","x",IF(Q98="-","-",""))</f>
        <v>-</v>
      </c>
      <c r="DB98" s="2" t="str">
        <f aca="false">IF(R98="x","x",IF(R98="-","-",""))</f>
        <v>-</v>
      </c>
      <c r="DC98" s="2" t="str">
        <f aca="false">IF(S98="x","x",IF(S98="-","-",""))</f>
        <v>-</v>
      </c>
      <c r="DD98" s="2" t="str">
        <f aca="false">IF(T98="x","x",IF(T98="-","-",""))</f>
        <v>-</v>
      </c>
      <c r="DE98" s="2" t="str">
        <f aca="false">IF(U98="x","x",IF(U98="-","-",""))</f>
        <v>-</v>
      </c>
      <c r="DF98" s="2" t="str">
        <f aca="false">IF(V98="x","x",IF(V98="-","-",""))</f>
        <v>-</v>
      </c>
      <c r="DG98" s="2" t="str">
        <f aca="false">IF(W98="x","x",IF(W98="-","-",""))</f>
        <v>-</v>
      </c>
      <c r="DH98" s="2" t="str">
        <f aca="false">IF(X98="x","x",IF(X98="-","-",""))</f>
        <v>-</v>
      </c>
      <c r="DI98" s="2" t="str">
        <f aca="false">IF(Y98="x","x",IF(Y98="-","-",""))</f>
        <v>-</v>
      </c>
      <c r="DJ98" s="2" t="str">
        <f aca="false">IF(Z98="x","x",IF(Z98="-","-",""))</f>
        <v>-</v>
      </c>
      <c r="DK98" s="2" t="str">
        <f aca="false">IF(AA98="x","x",IF(AA98="-","-",""))</f>
        <v>-</v>
      </c>
      <c r="DL98" s="10"/>
      <c r="DM98" s="2" t="str">
        <f aca="false">IF(AC98="x","x",IF(AC98="-","-",""))</f>
        <v>-</v>
      </c>
      <c r="DN98" s="2" t="str">
        <f aca="false">IF(AD98="x","x",IF(AD98="-","-",""))</f>
        <v>-</v>
      </c>
      <c r="DO98" s="2" t="str">
        <f aca="false">IF(AE98="x","x",IF(AE98="-","-",""))</f>
        <v>-</v>
      </c>
      <c r="DP98" s="2" t="str">
        <f aca="false">IF(AF98="x","x",IF(AF98="-","-",""))</f>
        <v>-</v>
      </c>
      <c r="DQ98" s="2" t="str">
        <f aca="false">IF(AG98="x","x",IF(AG98="-","-",""))</f>
        <v>-</v>
      </c>
      <c r="DR98" s="2" t="str">
        <f aca="false">IF(AH98="x","x",IF(AH98="-","-",""))</f>
        <v>-</v>
      </c>
      <c r="DS98" s="2" t="str">
        <f aca="false">IF(AI98="x","x",IF(AI98="-","-",""))</f>
        <v>-</v>
      </c>
      <c r="DT98" s="2" t="str">
        <f aca="false">IF(AJ98="x","x",IF(AJ98="-","-",""))</f>
        <v>-</v>
      </c>
      <c r="DU98" s="2" t="str">
        <f aca="false">IF(AK98="x","x",IF(AK98="-","-",""))</f>
        <v>-</v>
      </c>
      <c r="DV98" s="2" t="str">
        <f aca="false">IF(AL98="x","x",IF(AL98="-","-",""))</f>
        <v>-</v>
      </c>
      <c r="DW98" s="2" t="str">
        <f aca="false">IF(AM98="x","x",IF(AM98="-","-",""))</f>
        <v>-</v>
      </c>
      <c r="DX98" s="2" t="str">
        <f aca="false">IF(AN98="x","x",IF(AN98="-","-",""))</f>
        <v>-</v>
      </c>
    </row>
    <row r="99" customFormat="false" ht="13.8" hidden="false" customHeight="false" outlineLevel="0" collapsed="false">
      <c r="A99" s="10" t="s">
        <v>73</v>
      </c>
      <c r="B99" s="2" t="n">
        <v>98</v>
      </c>
      <c r="C99" s="1" t="s">
        <v>77</v>
      </c>
      <c r="D99" s="10" t="s">
        <v>92</v>
      </c>
      <c r="E99" s="10" t="s">
        <v>127</v>
      </c>
      <c r="F99" s="10"/>
      <c r="G99" s="10" t="s">
        <v>77</v>
      </c>
      <c r="H99" s="10" t="s">
        <v>77</v>
      </c>
      <c r="I99" s="10" t="s">
        <v>77</v>
      </c>
      <c r="J99" s="10" t="s">
        <v>77</v>
      </c>
      <c r="K99" s="10" t="s">
        <v>77</v>
      </c>
      <c r="L99" s="10" t="s">
        <v>77</v>
      </c>
      <c r="M99" s="2" t="n">
        <v>20</v>
      </c>
      <c r="N99" s="10" t="s">
        <v>77</v>
      </c>
      <c r="O99" s="10"/>
      <c r="P99" s="10" t="s">
        <v>77</v>
      </c>
      <c r="Q99" s="10" t="s">
        <v>77</v>
      </c>
      <c r="R99" s="10" t="s">
        <v>77</v>
      </c>
      <c r="S99" s="10" t="s">
        <v>77</v>
      </c>
      <c r="T99" s="10" t="s">
        <v>77</v>
      </c>
      <c r="U99" s="10" t="s">
        <v>77</v>
      </c>
      <c r="V99" s="10" t="s">
        <v>77</v>
      </c>
      <c r="W99" s="10" t="s">
        <v>77</v>
      </c>
      <c r="X99" s="10" t="s">
        <v>77</v>
      </c>
      <c r="Y99" s="10" t="s">
        <v>77</v>
      </c>
      <c r="Z99" s="10" t="s">
        <v>77</v>
      </c>
      <c r="AA99" s="10" t="s">
        <v>77</v>
      </c>
      <c r="AB99" s="10"/>
      <c r="AC99" s="10" t="s">
        <v>77</v>
      </c>
      <c r="AD99" s="10" t="s">
        <v>77</v>
      </c>
      <c r="AE99" s="10" t="s">
        <v>77</v>
      </c>
      <c r="AF99" s="10" t="s">
        <v>77</v>
      </c>
      <c r="AG99" s="10" t="s">
        <v>77</v>
      </c>
      <c r="AH99" s="10" t="s">
        <v>77</v>
      </c>
      <c r="AI99" s="10" t="s">
        <v>77</v>
      </c>
      <c r="AJ99" s="10" t="s">
        <v>77</v>
      </c>
      <c r="AK99" s="10" t="s">
        <v>77</v>
      </c>
      <c r="AL99" s="10" t="s">
        <v>77</v>
      </c>
      <c r="AM99" s="10" t="s">
        <v>77</v>
      </c>
      <c r="AN99" s="10" t="s">
        <v>77</v>
      </c>
      <c r="AO99" s="10"/>
      <c r="AP99" s="10" t="s">
        <v>73</v>
      </c>
      <c r="AQ99" s="10" t="s">
        <v>73</v>
      </c>
      <c r="AS99" s="10" t="s">
        <v>77</v>
      </c>
      <c r="AT99" s="10" t="s">
        <v>77</v>
      </c>
      <c r="AU99" s="10" t="s">
        <v>77</v>
      </c>
      <c r="AV99" s="10" t="s">
        <v>77</v>
      </c>
      <c r="AW99" s="10" t="s">
        <v>77</v>
      </c>
      <c r="AX99" s="10" t="s">
        <v>77</v>
      </c>
      <c r="AY99" s="10" t="s">
        <v>77</v>
      </c>
      <c r="AZ99" s="10" t="s">
        <v>77</v>
      </c>
      <c r="BA99" s="10" t="s">
        <v>77</v>
      </c>
      <c r="BB99" s="10" t="s">
        <v>77</v>
      </c>
      <c r="BC99" s="10" t="s">
        <v>77</v>
      </c>
      <c r="BD99" s="10" t="s">
        <v>77</v>
      </c>
      <c r="BE99" s="10" t="s">
        <v>77</v>
      </c>
      <c r="BF99" s="10" t="s">
        <v>77</v>
      </c>
      <c r="BG99" s="10" t="s">
        <v>77</v>
      </c>
      <c r="BH99" s="10" t="s">
        <v>77</v>
      </c>
      <c r="BI99" s="10" t="s">
        <v>77</v>
      </c>
      <c r="BJ99" s="10" t="s">
        <v>77</v>
      </c>
      <c r="BK99" s="10" t="s">
        <v>77</v>
      </c>
      <c r="BL99" s="10" t="s">
        <v>77</v>
      </c>
      <c r="BM99" s="10" t="s">
        <v>77</v>
      </c>
      <c r="BN99" s="10" t="s">
        <v>77</v>
      </c>
      <c r="BO99" s="10" t="s">
        <v>77</v>
      </c>
      <c r="BP99" s="10" t="s">
        <v>77</v>
      </c>
      <c r="BR99" s="10" t="s">
        <v>77</v>
      </c>
      <c r="BS99" s="10" t="s">
        <v>77</v>
      </c>
      <c r="BT99" s="10" t="s">
        <v>77</v>
      </c>
      <c r="BU99" s="10" t="s">
        <v>77</v>
      </c>
      <c r="BV99" s="10" t="s">
        <v>77</v>
      </c>
      <c r="BW99" s="10" t="s">
        <v>77</v>
      </c>
      <c r="BX99" s="10" t="s">
        <v>77</v>
      </c>
      <c r="BY99" s="10" t="s">
        <v>77</v>
      </c>
      <c r="CA99" s="2" t="str">
        <f aca="false">IF(AS99="x","x",IF(AS99="-","-",""))</f>
        <v>-</v>
      </c>
      <c r="CB99" s="2" t="str">
        <f aca="false">IF(AT99="x","x",IF(AT99="-","-",""))</f>
        <v>-</v>
      </c>
      <c r="CC99" s="2" t="str">
        <f aca="false">IF(AU99="x","x",IF(AU99="-","-",""))</f>
        <v>-</v>
      </c>
      <c r="CD99" s="2" t="str">
        <f aca="false">IF(AV99="x","x",IF(AV99="-","-",""))</f>
        <v>-</v>
      </c>
      <c r="CE99" s="2" t="str">
        <f aca="false">IF(AW99="x","x",IF(AW99="-","-",""))</f>
        <v>-</v>
      </c>
      <c r="CF99" s="2" t="str">
        <f aca="false">IF(AX99="x","x",IF(AX99="-","-",""))</f>
        <v>-</v>
      </c>
      <c r="CG99" s="2" t="str">
        <f aca="false">IF(AY99="x","x",IF(AY99="-","-",""))</f>
        <v>-</v>
      </c>
      <c r="CH99" s="2" t="str">
        <f aca="false">IF(AZ99="x","x",IF(AZ99="-","-",""))</f>
        <v>-</v>
      </c>
      <c r="CI99" s="2" t="str">
        <f aca="false">IF(BA99="x","x",IF(BA99="-","-",""))</f>
        <v>-</v>
      </c>
      <c r="CJ99" s="2" t="str">
        <f aca="false">IF(BB99="x","x",IF(BB99="-","-",""))</f>
        <v>-</v>
      </c>
      <c r="CK99" s="2" t="str">
        <f aca="false">IF(BC99="x","x",IF(BC99="-","-",""))</f>
        <v>-</v>
      </c>
      <c r="CL99" s="2" t="str">
        <f aca="false">IF(BD99="x","x",IF(BD99="-","-",""))</f>
        <v>-</v>
      </c>
      <c r="CM99" s="2" t="str">
        <f aca="false">IF(BE99="x","x",IF(BE99="-","-",""))</f>
        <v>-</v>
      </c>
      <c r="CN99" s="2" t="str">
        <f aca="false">IF(BF99="x","x",IF(BF99="-","-",""))</f>
        <v>-</v>
      </c>
      <c r="CO99" s="2" t="str">
        <f aca="false">IF(BG99="x","x",IF(BG99="-","-",""))</f>
        <v>-</v>
      </c>
      <c r="CP99" s="2" t="str">
        <f aca="false">IF(BH99="x","x",IF(BH99="-","-",""))</f>
        <v>-</v>
      </c>
      <c r="CQ99" s="2" t="str">
        <f aca="false">IF(BI99="x","x",IF(BI99="-","-",""))</f>
        <v>-</v>
      </c>
      <c r="CR99" s="2" t="str">
        <f aca="false">IF(BJ99="x","x",IF(BJ99="-","-",""))</f>
        <v>-</v>
      </c>
      <c r="CS99" s="2" t="str">
        <f aca="false">IF(BK99="x","x",IF(BK99="-","-",""))</f>
        <v>-</v>
      </c>
      <c r="CT99" s="2" t="str">
        <f aca="false">IF(BL99="x","x",IF(BL99="-","-",""))</f>
        <v>-</v>
      </c>
      <c r="CU99" s="2" t="str">
        <f aca="false">IF(BM99="x","x",IF(BM99="-","-",""))</f>
        <v>-</v>
      </c>
      <c r="CV99" s="2" t="str">
        <f aca="false">IF(BN99="x","x",IF(BN99="-","-",""))</f>
        <v>-</v>
      </c>
      <c r="CW99" s="2" t="str">
        <f aca="false">IF(BO99="x","x",IF(BO99="-","-",""))</f>
        <v>-</v>
      </c>
      <c r="CX99" s="2" t="str">
        <f aca="false">IF(BP99="x","x",IF(BP99="-","-",""))</f>
        <v>-</v>
      </c>
      <c r="CZ99" s="2" t="str">
        <f aca="false">IF(P99="x","x",IF(P99="-","-",""))</f>
        <v>-</v>
      </c>
      <c r="DA99" s="2" t="str">
        <f aca="false">IF(Q99="x","x",IF(Q99="-","-",""))</f>
        <v>-</v>
      </c>
      <c r="DB99" s="2" t="str">
        <f aca="false">IF(R99="x","x",IF(R99="-","-",""))</f>
        <v>-</v>
      </c>
      <c r="DC99" s="2" t="str">
        <f aca="false">IF(S99="x","x",IF(S99="-","-",""))</f>
        <v>-</v>
      </c>
      <c r="DD99" s="2" t="str">
        <f aca="false">IF(T99="x","x",IF(T99="-","-",""))</f>
        <v>-</v>
      </c>
      <c r="DE99" s="2" t="str">
        <f aca="false">IF(U99="x","x",IF(U99="-","-",""))</f>
        <v>-</v>
      </c>
      <c r="DF99" s="2" t="str">
        <f aca="false">IF(V99="x","x",IF(V99="-","-",""))</f>
        <v>-</v>
      </c>
      <c r="DG99" s="2" t="str">
        <f aca="false">IF(W99="x","x",IF(W99="-","-",""))</f>
        <v>-</v>
      </c>
      <c r="DH99" s="2" t="str">
        <f aca="false">IF(X99="x","x",IF(X99="-","-",""))</f>
        <v>-</v>
      </c>
      <c r="DI99" s="2" t="str">
        <f aca="false">IF(Y99="x","x",IF(Y99="-","-",""))</f>
        <v>-</v>
      </c>
      <c r="DJ99" s="2" t="str">
        <f aca="false">IF(Z99="x","x",IF(Z99="-","-",""))</f>
        <v>-</v>
      </c>
      <c r="DK99" s="2" t="str">
        <f aca="false">IF(AA99="x","x",IF(AA99="-","-",""))</f>
        <v>-</v>
      </c>
      <c r="DL99" s="10"/>
      <c r="DM99" s="2" t="str">
        <f aca="false">IF(AC99="x","x",IF(AC99="-","-",""))</f>
        <v>-</v>
      </c>
      <c r="DN99" s="2" t="str">
        <f aca="false">IF(AD99="x","x",IF(AD99="-","-",""))</f>
        <v>-</v>
      </c>
      <c r="DO99" s="2" t="str">
        <f aca="false">IF(AE99="x","x",IF(AE99="-","-",""))</f>
        <v>-</v>
      </c>
      <c r="DP99" s="2" t="str">
        <f aca="false">IF(AF99="x","x",IF(AF99="-","-",""))</f>
        <v>-</v>
      </c>
      <c r="DQ99" s="2" t="str">
        <f aca="false">IF(AG99="x","x",IF(AG99="-","-",""))</f>
        <v>-</v>
      </c>
      <c r="DR99" s="2" t="str">
        <f aca="false">IF(AH99="x","x",IF(AH99="-","-",""))</f>
        <v>-</v>
      </c>
      <c r="DS99" s="2" t="str">
        <f aca="false">IF(AI99="x","x",IF(AI99="-","-",""))</f>
        <v>-</v>
      </c>
      <c r="DT99" s="2" t="str">
        <f aca="false">IF(AJ99="x","x",IF(AJ99="-","-",""))</f>
        <v>-</v>
      </c>
      <c r="DU99" s="2" t="str">
        <f aca="false">IF(AK99="x","x",IF(AK99="-","-",""))</f>
        <v>-</v>
      </c>
      <c r="DV99" s="2" t="str">
        <f aca="false">IF(AL99="x","x",IF(AL99="-","-",""))</f>
        <v>-</v>
      </c>
      <c r="DW99" s="2" t="str">
        <f aca="false">IF(AM99="x","x",IF(AM99="-","-",""))</f>
        <v>-</v>
      </c>
      <c r="DX99" s="2" t="str">
        <f aca="false">IF(AN99="x","x",IF(AN99="-","-",""))</f>
        <v>-</v>
      </c>
    </row>
    <row r="100" customFormat="false" ht="13.8" hidden="false" customHeight="false" outlineLevel="0" collapsed="false">
      <c r="A100" s="10" t="s">
        <v>73</v>
      </c>
      <c r="B100" s="2" t="n">
        <v>99</v>
      </c>
      <c r="C100" s="1" t="s">
        <v>77</v>
      </c>
      <c r="D100" s="10" t="s">
        <v>92</v>
      </c>
      <c r="E100" s="10" t="s">
        <v>127</v>
      </c>
      <c r="F100" s="10"/>
      <c r="G100" s="10" t="s">
        <v>77</v>
      </c>
      <c r="H100" s="10" t="s">
        <v>77</v>
      </c>
      <c r="I100" s="10" t="s">
        <v>77</v>
      </c>
      <c r="J100" s="10" t="s">
        <v>77</v>
      </c>
      <c r="K100" s="10" t="s">
        <v>77</v>
      </c>
      <c r="L100" s="10" t="s">
        <v>77</v>
      </c>
      <c r="M100" s="2" t="n">
        <v>20</v>
      </c>
      <c r="N100" s="10" t="s">
        <v>77</v>
      </c>
      <c r="O100" s="10"/>
      <c r="P100" s="10" t="s">
        <v>77</v>
      </c>
      <c r="Q100" s="10" t="s">
        <v>77</v>
      </c>
      <c r="R100" s="10" t="s">
        <v>77</v>
      </c>
      <c r="S100" s="10" t="s">
        <v>77</v>
      </c>
      <c r="T100" s="10" t="s">
        <v>77</v>
      </c>
      <c r="U100" s="10" t="s">
        <v>77</v>
      </c>
      <c r="V100" s="10" t="s">
        <v>77</v>
      </c>
      <c r="W100" s="10" t="s">
        <v>77</v>
      </c>
      <c r="X100" s="10" t="s">
        <v>77</v>
      </c>
      <c r="Y100" s="10" t="s">
        <v>77</v>
      </c>
      <c r="Z100" s="10" t="s">
        <v>77</v>
      </c>
      <c r="AA100" s="10" t="s">
        <v>77</v>
      </c>
      <c r="AB100" s="10"/>
      <c r="AC100" s="10" t="s">
        <v>77</v>
      </c>
      <c r="AD100" s="10" t="s">
        <v>77</v>
      </c>
      <c r="AE100" s="10" t="s">
        <v>77</v>
      </c>
      <c r="AF100" s="10" t="s">
        <v>77</v>
      </c>
      <c r="AG100" s="10" t="s">
        <v>77</v>
      </c>
      <c r="AH100" s="10" t="s">
        <v>77</v>
      </c>
      <c r="AI100" s="10" t="s">
        <v>77</v>
      </c>
      <c r="AJ100" s="10" t="s">
        <v>77</v>
      </c>
      <c r="AK100" s="10" t="s">
        <v>77</v>
      </c>
      <c r="AL100" s="10" t="s">
        <v>77</v>
      </c>
      <c r="AM100" s="10" t="s">
        <v>77</v>
      </c>
      <c r="AN100" s="10" t="s">
        <v>77</v>
      </c>
      <c r="AO100" s="10"/>
      <c r="AP100" s="10" t="s">
        <v>73</v>
      </c>
      <c r="AQ100" s="10" t="s">
        <v>73</v>
      </c>
      <c r="AS100" s="10" t="s">
        <v>77</v>
      </c>
      <c r="AT100" s="10" t="s">
        <v>77</v>
      </c>
      <c r="AU100" s="10" t="s">
        <v>77</v>
      </c>
      <c r="AV100" s="10" t="s">
        <v>77</v>
      </c>
      <c r="AW100" s="10" t="s">
        <v>77</v>
      </c>
      <c r="AX100" s="10" t="s">
        <v>77</v>
      </c>
      <c r="AY100" s="10" t="s">
        <v>77</v>
      </c>
      <c r="AZ100" s="10" t="s">
        <v>77</v>
      </c>
      <c r="BA100" s="10" t="s">
        <v>77</v>
      </c>
      <c r="BB100" s="10" t="s">
        <v>77</v>
      </c>
      <c r="BC100" s="10" t="s">
        <v>77</v>
      </c>
      <c r="BD100" s="10" t="s">
        <v>77</v>
      </c>
      <c r="BE100" s="10" t="s">
        <v>77</v>
      </c>
      <c r="BF100" s="10" t="s">
        <v>77</v>
      </c>
      <c r="BG100" s="10" t="s">
        <v>77</v>
      </c>
      <c r="BH100" s="10" t="s">
        <v>77</v>
      </c>
      <c r="BI100" s="10" t="s">
        <v>77</v>
      </c>
      <c r="BJ100" s="10" t="s">
        <v>77</v>
      </c>
      <c r="BK100" s="10" t="s">
        <v>77</v>
      </c>
      <c r="BL100" s="10" t="s">
        <v>77</v>
      </c>
      <c r="BM100" s="10" t="s">
        <v>77</v>
      </c>
      <c r="BN100" s="10" t="s">
        <v>77</v>
      </c>
      <c r="BO100" s="10" t="s">
        <v>77</v>
      </c>
      <c r="BP100" s="10" t="s">
        <v>77</v>
      </c>
      <c r="BR100" s="10" t="s">
        <v>77</v>
      </c>
      <c r="BS100" s="10" t="s">
        <v>77</v>
      </c>
      <c r="BT100" s="10" t="s">
        <v>77</v>
      </c>
      <c r="BU100" s="10" t="s">
        <v>77</v>
      </c>
      <c r="BV100" s="10" t="s">
        <v>77</v>
      </c>
      <c r="BW100" s="10" t="s">
        <v>77</v>
      </c>
      <c r="BX100" s="10" t="s">
        <v>77</v>
      </c>
      <c r="BY100" s="10" t="s">
        <v>77</v>
      </c>
      <c r="CA100" s="2" t="str">
        <f aca="false">IF(AS100="x","x",IF(AS100="-","-",""))</f>
        <v>-</v>
      </c>
      <c r="CB100" s="2" t="str">
        <f aca="false">IF(AT100="x","x",IF(AT100="-","-",""))</f>
        <v>-</v>
      </c>
      <c r="CC100" s="2" t="str">
        <f aca="false">IF(AU100="x","x",IF(AU100="-","-",""))</f>
        <v>-</v>
      </c>
      <c r="CD100" s="2" t="str">
        <f aca="false">IF(AV100="x","x",IF(AV100="-","-",""))</f>
        <v>-</v>
      </c>
      <c r="CE100" s="2" t="str">
        <f aca="false">IF(AW100="x","x",IF(AW100="-","-",""))</f>
        <v>-</v>
      </c>
      <c r="CF100" s="2" t="str">
        <f aca="false">IF(AX100="x","x",IF(AX100="-","-",""))</f>
        <v>-</v>
      </c>
      <c r="CG100" s="2" t="str">
        <f aca="false">IF(AY100="x","x",IF(AY100="-","-",""))</f>
        <v>-</v>
      </c>
      <c r="CH100" s="2" t="str">
        <f aca="false">IF(AZ100="x","x",IF(AZ100="-","-",""))</f>
        <v>-</v>
      </c>
      <c r="CI100" s="2" t="str">
        <f aca="false">IF(BA100="x","x",IF(BA100="-","-",""))</f>
        <v>-</v>
      </c>
      <c r="CJ100" s="2" t="str">
        <f aca="false">IF(BB100="x","x",IF(BB100="-","-",""))</f>
        <v>-</v>
      </c>
      <c r="CK100" s="2" t="str">
        <f aca="false">IF(BC100="x","x",IF(BC100="-","-",""))</f>
        <v>-</v>
      </c>
      <c r="CL100" s="2" t="str">
        <f aca="false">IF(BD100="x","x",IF(BD100="-","-",""))</f>
        <v>-</v>
      </c>
      <c r="CM100" s="2" t="str">
        <f aca="false">IF(BE100="x","x",IF(BE100="-","-",""))</f>
        <v>-</v>
      </c>
      <c r="CN100" s="2" t="str">
        <f aca="false">IF(BF100="x","x",IF(BF100="-","-",""))</f>
        <v>-</v>
      </c>
      <c r="CO100" s="2" t="str">
        <f aca="false">IF(BG100="x","x",IF(BG100="-","-",""))</f>
        <v>-</v>
      </c>
      <c r="CP100" s="2" t="str">
        <f aca="false">IF(BH100="x","x",IF(BH100="-","-",""))</f>
        <v>-</v>
      </c>
      <c r="CQ100" s="2" t="str">
        <f aca="false">IF(BI100="x","x",IF(BI100="-","-",""))</f>
        <v>-</v>
      </c>
      <c r="CR100" s="2" t="str">
        <f aca="false">IF(BJ100="x","x",IF(BJ100="-","-",""))</f>
        <v>-</v>
      </c>
      <c r="CS100" s="2" t="str">
        <f aca="false">IF(BK100="x","x",IF(BK100="-","-",""))</f>
        <v>-</v>
      </c>
      <c r="CT100" s="2" t="str">
        <f aca="false">IF(BL100="x","x",IF(BL100="-","-",""))</f>
        <v>-</v>
      </c>
      <c r="CU100" s="2" t="str">
        <f aca="false">IF(BM100="x","x",IF(BM100="-","-",""))</f>
        <v>-</v>
      </c>
      <c r="CV100" s="2" t="str">
        <f aca="false">IF(BN100="x","x",IF(BN100="-","-",""))</f>
        <v>-</v>
      </c>
      <c r="CW100" s="2" t="str">
        <f aca="false">IF(BO100="x","x",IF(BO100="-","-",""))</f>
        <v>-</v>
      </c>
      <c r="CX100" s="2" t="str">
        <f aca="false">IF(BP100="x","x",IF(BP100="-","-",""))</f>
        <v>-</v>
      </c>
      <c r="CZ100" s="2" t="str">
        <f aca="false">IF(P100="x","x",IF(P100="-","-",""))</f>
        <v>-</v>
      </c>
      <c r="DA100" s="2" t="str">
        <f aca="false">IF(Q100="x","x",IF(Q100="-","-",""))</f>
        <v>-</v>
      </c>
      <c r="DB100" s="2" t="str">
        <f aca="false">IF(R100="x","x",IF(R100="-","-",""))</f>
        <v>-</v>
      </c>
      <c r="DC100" s="2" t="str">
        <f aca="false">IF(S100="x","x",IF(S100="-","-",""))</f>
        <v>-</v>
      </c>
      <c r="DD100" s="2" t="str">
        <f aca="false">IF(T100="x","x",IF(T100="-","-",""))</f>
        <v>-</v>
      </c>
      <c r="DE100" s="2" t="str">
        <f aca="false">IF(U100="x","x",IF(U100="-","-",""))</f>
        <v>-</v>
      </c>
      <c r="DF100" s="2" t="str">
        <f aca="false">IF(V100="x","x",IF(V100="-","-",""))</f>
        <v>-</v>
      </c>
      <c r="DG100" s="2" t="str">
        <f aca="false">IF(W100="x","x",IF(W100="-","-",""))</f>
        <v>-</v>
      </c>
      <c r="DH100" s="2" t="str">
        <f aca="false">IF(X100="x","x",IF(X100="-","-",""))</f>
        <v>-</v>
      </c>
      <c r="DI100" s="2" t="str">
        <f aca="false">IF(Y100="x","x",IF(Y100="-","-",""))</f>
        <v>-</v>
      </c>
      <c r="DJ100" s="2" t="str">
        <f aca="false">IF(Z100="x","x",IF(Z100="-","-",""))</f>
        <v>-</v>
      </c>
      <c r="DK100" s="2" t="str">
        <f aca="false">IF(AA100="x","x",IF(AA100="-","-",""))</f>
        <v>-</v>
      </c>
      <c r="DL100" s="10"/>
      <c r="DM100" s="2" t="str">
        <f aca="false">IF(AC100="x","x",IF(AC100="-","-",""))</f>
        <v>-</v>
      </c>
      <c r="DN100" s="2" t="str">
        <f aca="false">IF(AD100="x","x",IF(AD100="-","-",""))</f>
        <v>-</v>
      </c>
      <c r="DO100" s="2" t="str">
        <f aca="false">IF(AE100="x","x",IF(AE100="-","-",""))</f>
        <v>-</v>
      </c>
      <c r="DP100" s="2" t="str">
        <f aca="false">IF(AF100="x","x",IF(AF100="-","-",""))</f>
        <v>-</v>
      </c>
      <c r="DQ100" s="2" t="str">
        <f aca="false">IF(AG100="x","x",IF(AG100="-","-",""))</f>
        <v>-</v>
      </c>
      <c r="DR100" s="2" t="str">
        <f aca="false">IF(AH100="x","x",IF(AH100="-","-",""))</f>
        <v>-</v>
      </c>
      <c r="DS100" s="2" t="str">
        <f aca="false">IF(AI100="x","x",IF(AI100="-","-",""))</f>
        <v>-</v>
      </c>
      <c r="DT100" s="2" t="str">
        <f aca="false">IF(AJ100="x","x",IF(AJ100="-","-",""))</f>
        <v>-</v>
      </c>
      <c r="DU100" s="2" t="str">
        <f aca="false">IF(AK100="x","x",IF(AK100="-","-",""))</f>
        <v>-</v>
      </c>
      <c r="DV100" s="2" t="str">
        <f aca="false">IF(AL100="x","x",IF(AL100="-","-",""))</f>
        <v>-</v>
      </c>
      <c r="DW100" s="2" t="str">
        <f aca="false">IF(AM100="x","x",IF(AM100="-","-",""))</f>
        <v>-</v>
      </c>
      <c r="DX100" s="2" t="str">
        <f aca="false">IF(AN100="x","x",IF(AN100="-","-",""))</f>
        <v>-</v>
      </c>
    </row>
    <row r="101" customFormat="false" ht="13.8" hidden="false" customHeight="false" outlineLevel="0" collapsed="false">
      <c r="A101" s="10" t="s">
        <v>73</v>
      </c>
      <c r="B101" s="2" t="n">
        <v>100</v>
      </c>
      <c r="C101" s="1" t="s">
        <v>77</v>
      </c>
      <c r="D101" s="10" t="s">
        <v>92</v>
      </c>
      <c r="E101" s="10" t="s">
        <v>127</v>
      </c>
      <c r="F101" s="10"/>
      <c r="G101" s="10" t="s">
        <v>77</v>
      </c>
      <c r="H101" s="10" t="s">
        <v>77</v>
      </c>
      <c r="I101" s="10" t="s">
        <v>77</v>
      </c>
      <c r="J101" s="10" t="s">
        <v>77</v>
      </c>
      <c r="K101" s="10" t="s">
        <v>77</v>
      </c>
      <c r="L101" s="10" t="s">
        <v>77</v>
      </c>
      <c r="M101" s="2" t="n">
        <v>20</v>
      </c>
      <c r="N101" s="10" t="s">
        <v>77</v>
      </c>
      <c r="O101" s="10"/>
      <c r="P101" s="10" t="s">
        <v>77</v>
      </c>
      <c r="Q101" s="10" t="s">
        <v>77</v>
      </c>
      <c r="R101" s="10" t="s">
        <v>77</v>
      </c>
      <c r="S101" s="10" t="s">
        <v>77</v>
      </c>
      <c r="T101" s="10" t="s">
        <v>77</v>
      </c>
      <c r="U101" s="10" t="s">
        <v>77</v>
      </c>
      <c r="V101" s="10" t="s">
        <v>77</v>
      </c>
      <c r="W101" s="10" t="s">
        <v>77</v>
      </c>
      <c r="X101" s="10" t="s">
        <v>77</v>
      </c>
      <c r="Y101" s="10" t="s">
        <v>77</v>
      </c>
      <c r="Z101" s="10" t="s">
        <v>77</v>
      </c>
      <c r="AA101" s="10" t="s">
        <v>77</v>
      </c>
      <c r="AB101" s="10"/>
      <c r="AC101" s="10" t="s">
        <v>77</v>
      </c>
      <c r="AD101" s="10" t="s">
        <v>77</v>
      </c>
      <c r="AE101" s="10" t="s">
        <v>77</v>
      </c>
      <c r="AF101" s="10" t="s">
        <v>77</v>
      </c>
      <c r="AG101" s="10" t="s">
        <v>77</v>
      </c>
      <c r="AH101" s="10" t="s">
        <v>77</v>
      </c>
      <c r="AI101" s="10" t="s">
        <v>77</v>
      </c>
      <c r="AJ101" s="10" t="s">
        <v>77</v>
      </c>
      <c r="AK101" s="10" t="s">
        <v>77</v>
      </c>
      <c r="AL101" s="10" t="s">
        <v>77</v>
      </c>
      <c r="AM101" s="10" t="s">
        <v>77</v>
      </c>
      <c r="AN101" s="10" t="s">
        <v>77</v>
      </c>
      <c r="AO101" s="10"/>
      <c r="AP101" s="10" t="s">
        <v>73</v>
      </c>
      <c r="AQ101" s="10" t="s">
        <v>73</v>
      </c>
      <c r="AS101" s="10" t="s">
        <v>77</v>
      </c>
      <c r="AT101" s="10" t="s">
        <v>77</v>
      </c>
      <c r="AU101" s="10" t="s">
        <v>77</v>
      </c>
      <c r="AV101" s="10" t="s">
        <v>77</v>
      </c>
      <c r="AW101" s="10" t="s">
        <v>77</v>
      </c>
      <c r="AX101" s="10" t="s">
        <v>77</v>
      </c>
      <c r="AY101" s="10" t="s">
        <v>77</v>
      </c>
      <c r="AZ101" s="10" t="s">
        <v>77</v>
      </c>
      <c r="BA101" s="10" t="s">
        <v>77</v>
      </c>
      <c r="BB101" s="10" t="s">
        <v>77</v>
      </c>
      <c r="BC101" s="10" t="s">
        <v>77</v>
      </c>
      <c r="BD101" s="10" t="s">
        <v>77</v>
      </c>
      <c r="BE101" s="10" t="s">
        <v>77</v>
      </c>
      <c r="BF101" s="10" t="s">
        <v>77</v>
      </c>
      <c r="BG101" s="10" t="s">
        <v>77</v>
      </c>
      <c r="BH101" s="10" t="s">
        <v>77</v>
      </c>
      <c r="BI101" s="10" t="s">
        <v>77</v>
      </c>
      <c r="BJ101" s="10" t="s">
        <v>77</v>
      </c>
      <c r="BK101" s="10" t="s">
        <v>77</v>
      </c>
      <c r="BL101" s="10" t="s">
        <v>77</v>
      </c>
      <c r="BM101" s="10" t="s">
        <v>77</v>
      </c>
      <c r="BN101" s="10" t="s">
        <v>77</v>
      </c>
      <c r="BO101" s="10" t="s">
        <v>77</v>
      </c>
      <c r="BP101" s="10" t="s">
        <v>77</v>
      </c>
      <c r="BR101" s="10" t="s">
        <v>77</v>
      </c>
      <c r="BS101" s="10" t="s">
        <v>77</v>
      </c>
      <c r="BT101" s="10" t="s">
        <v>77</v>
      </c>
      <c r="BU101" s="10" t="s">
        <v>77</v>
      </c>
      <c r="BV101" s="10" t="s">
        <v>77</v>
      </c>
      <c r="BW101" s="10" t="s">
        <v>77</v>
      </c>
      <c r="BX101" s="10" t="s">
        <v>77</v>
      </c>
      <c r="BY101" s="10" t="s">
        <v>77</v>
      </c>
      <c r="CA101" s="2" t="str">
        <f aca="false">IF(AS101="x","x",IF(AS101="-","-",""))</f>
        <v>-</v>
      </c>
      <c r="CB101" s="2" t="str">
        <f aca="false">IF(AT101="x","x",IF(AT101="-","-",""))</f>
        <v>-</v>
      </c>
      <c r="CC101" s="2" t="str">
        <f aca="false">IF(AU101="x","x",IF(AU101="-","-",""))</f>
        <v>-</v>
      </c>
      <c r="CD101" s="2" t="str">
        <f aca="false">IF(AV101="x","x",IF(AV101="-","-",""))</f>
        <v>-</v>
      </c>
      <c r="CE101" s="2" t="str">
        <f aca="false">IF(AW101="x","x",IF(AW101="-","-",""))</f>
        <v>-</v>
      </c>
      <c r="CF101" s="2" t="str">
        <f aca="false">IF(AX101="x","x",IF(AX101="-","-",""))</f>
        <v>-</v>
      </c>
      <c r="CG101" s="2" t="str">
        <f aca="false">IF(AY101="x","x",IF(AY101="-","-",""))</f>
        <v>-</v>
      </c>
      <c r="CH101" s="2" t="str">
        <f aca="false">IF(AZ101="x","x",IF(AZ101="-","-",""))</f>
        <v>-</v>
      </c>
      <c r="CI101" s="2" t="str">
        <f aca="false">IF(BA101="x","x",IF(BA101="-","-",""))</f>
        <v>-</v>
      </c>
      <c r="CJ101" s="2" t="str">
        <f aca="false">IF(BB101="x","x",IF(BB101="-","-",""))</f>
        <v>-</v>
      </c>
      <c r="CK101" s="2" t="str">
        <f aca="false">IF(BC101="x","x",IF(BC101="-","-",""))</f>
        <v>-</v>
      </c>
      <c r="CL101" s="2" t="str">
        <f aca="false">IF(BD101="x","x",IF(BD101="-","-",""))</f>
        <v>-</v>
      </c>
      <c r="CM101" s="2" t="str">
        <f aca="false">IF(BE101="x","x",IF(BE101="-","-",""))</f>
        <v>-</v>
      </c>
      <c r="CN101" s="2" t="str">
        <f aca="false">IF(BF101="x","x",IF(BF101="-","-",""))</f>
        <v>-</v>
      </c>
      <c r="CO101" s="2" t="str">
        <f aca="false">IF(BG101="x","x",IF(BG101="-","-",""))</f>
        <v>-</v>
      </c>
      <c r="CP101" s="2" t="str">
        <f aca="false">IF(BH101="x","x",IF(BH101="-","-",""))</f>
        <v>-</v>
      </c>
      <c r="CQ101" s="2" t="str">
        <f aca="false">IF(BI101="x","x",IF(BI101="-","-",""))</f>
        <v>-</v>
      </c>
      <c r="CR101" s="2" t="str">
        <f aca="false">IF(BJ101="x","x",IF(BJ101="-","-",""))</f>
        <v>-</v>
      </c>
      <c r="CS101" s="2" t="str">
        <f aca="false">IF(BK101="x","x",IF(BK101="-","-",""))</f>
        <v>-</v>
      </c>
      <c r="CT101" s="2" t="str">
        <f aca="false">IF(BL101="x","x",IF(BL101="-","-",""))</f>
        <v>-</v>
      </c>
      <c r="CU101" s="2" t="str">
        <f aca="false">IF(BM101="x","x",IF(BM101="-","-",""))</f>
        <v>-</v>
      </c>
      <c r="CV101" s="2" t="str">
        <f aca="false">IF(BN101="x","x",IF(BN101="-","-",""))</f>
        <v>-</v>
      </c>
      <c r="CW101" s="2" t="str">
        <f aca="false">IF(BO101="x","x",IF(BO101="-","-",""))</f>
        <v>-</v>
      </c>
      <c r="CX101" s="2" t="str">
        <f aca="false">IF(BP101="x","x",IF(BP101="-","-",""))</f>
        <v>-</v>
      </c>
      <c r="CZ101" s="2" t="str">
        <f aca="false">IF(P101="x","x",IF(P101="-","-",""))</f>
        <v>-</v>
      </c>
      <c r="DA101" s="2" t="str">
        <f aca="false">IF(Q101="x","x",IF(Q101="-","-",""))</f>
        <v>-</v>
      </c>
      <c r="DB101" s="2" t="str">
        <f aca="false">IF(R101="x","x",IF(R101="-","-",""))</f>
        <v>-</v>
      </c>
      <c r="DC101" s="2" t="str">
        <f aca="false">IF(S101="x","x",IF(S101="-","-",""))</f>
        <v>-</v>
      </c>
      <c r="DD101" s="2" t="str">
        <f aca="false">IF(T101="x","x",IF(T101="-","-",""))</f>
        <v>-</v>
      </c>
      <c r="DE101" s="2" t="str">
        <f aca="false">IF(U101="x","x",IF(U101="-","-",""))</f>
        <v>-</v>
      </c>
      <c r="DF101" s="2" t="str">
        <f aca="false">IF(V101="x","x",IF(V101="-","-",""))</f>
        <v>-</v>
      </c>
      <c r="DG101" s="2" t="str">
        <f aca="false">IF(W101="x","x",IF(W101="-","-",""))</f>
        <v>-</v>
      </c>
      <c r="DH101" s="2" t="str">
        <f aca="false">IF(X101="x","x",IF(X101="-","-",""))</f>
        <v>-</v>
      </c>
      <c r="DI101" s="2" t="str">
        <f aca="false">IF(Y101="x","x",IF(Y101="-","-",""))</f>
        <v>-</v>
      </c>
      <c r="DJ101" s="2" t="str">
        <f aca="false">IF(Z101="x","x",IF(Z101="-","-",""))</f>
        <v>-</v>
      </c>
      <c r="DK101" s="2" t="str">
        <f aca="false">IF(AA101="x","x",IF(AA101="-","-",""))</f>
        <v>-</v>
      </c>
      <c r="DL101" s="10"/>
      <c r="DM101" s="2" t="str">
        <f aca="false">IF(AC101="x","x",IF(AC101="-","-",""))</f>
        <v>-</v>
      </c>
      <c r="DN101" s="2" t="str">
        <f aca="false">IF(AD101="x","x",IF(AD101="-","-",""))</f>
        <v>-</v>
      </c>
      <c r="DO101" s="2" t="str">
        <f aca="false">IF(AE101="x","x",IF(AE101="-","-",""))</f>
        <v>-</v>
      </c>
      <c r="DP101" s="2" t="str">
        <f aca="false">IF(AF101="x","x",IF(AF101="-","-",""))</f>
        <v>-</v>
      </c>
      <c r="DQ101" s="2" t="str">
        <f aca="false">IF(AG101="x","x",IF(AG101="-","-",""))</f>
        <v>-</v>
      </c>
      <c r="DR101" s="2" t="str">
        <f aca="false">IF(AH101="x","x",IF(AH101="-","-",""))</f>
        <v>-</v>
      </c>
      <c r="DS101" s="2" t="str">
        <f aca="false">IF(AI101="x","x",IF(AI101="-","-",""))</f>
        <v>-</v>
      </c>
      <c r="DT101" s="2" t="str">
        <f aca="false">IF(AJ101="x","x",IF(AJ101="-","-",""))</f>
        <v>-</v>
      </c>
      <c r="DU101" s="2" t="str">
        <f aca="false">IF(AK101="x","x",IF(AK101="-","-",""))</f>
        <v>-</v>
      </c>
      <c r="DV101" s="2" t="str">
        <f aca="false">IF(AL101="x","x",IF(AL101="-","-",""))</f>
        <v>-</v>
      </c>
      <c r="DW101" s="2" t="str">
        <f aca="false">IF(AM101="x","x",IF(AM101="-","-",""))</f>
        <v>-</v>
      </c>
      <c r="DX101" s="2" t="str">
        <f aca="false">IF(AN101="x","x",IF(AN101="-","-",""))</f>
        <v>-</v>
      </c>
    </row>
    <row r="102" customFormat="false" ht="13.8" hidden="false" customHeight="false" outlineLevel="0" collapsed="false">
      <c r="A102" s="10" t="s">
        <v>73</v>
      </c>
      <c r="B102" s="2" t="n">
        <v>101</v>
      </c>
      <c r="C102" s="1" t="s">
        <v>77</v>
      </c>
      <c r="D102" s="10" t="s">
        <v>92</v>
      </c>
      <c r="E102" s="10" t="s">
        <v>127</v>
      </c>
      <c r="F102" s="10"/>
      <c r="G102" s="10" t="s">
        <v>77</v>
      </c>
      <c r="H102" s="10" t="s">
        <v>77</v>
      </c>
      <c r="I102" s="10" t="s">
        <v>77</v>
      </c>
      <c r="J102" s="10" t="s">
        <v>77</v>
      </c>
      <c r="K102" s="10" t="s">
        <v>77</v>
      </c>
      <c r="L102" s="10" t="s">
        <v>77</v>
      </c>
      <c r="M102" s="2" t="n">
        <v>20</v>
      </c>
      <c r="N102" s="10" t="s">
        <v>77</v>
      </c>
      <c r="O102" s="10"/>
      <c r="P102" s="10" t="s">
        <v>77</v>
      </c>
      <c r="Q102" s="10" t="s">
        <v>77</v>
      </c>
      <c r="R102" s="10" t="s">
        <v>77</v>
      </c>
      <c r="S102" s="10" t="s">
        <v>77</v>
      </c>
      <c r="T102" s="10" t="s">
        <v>77</v>
      </c>
      <c r="U102" s="10" t="s">
        <v>77</v>
      </c>
      <c r="V102" s="10" t="s">
        <v>77</v>
      </c>
      <c r="W102" s="10" t="s">
        <v>77</v>
      </c>
      <c r="X102" s="10" t="s">
        <v>77</v>
      </c>
      <c r="Y102" s="10" t="s">
        <v>77</v>
      </c>
      <c r="Z102" s="10" t="s">
        <v>77</v>
      </c>
      <c r="AA102" s="10" t="s">
        <v>77</v>
      </c>
      <c r="AB102" s="10"/>
      <c r="AC102" s="10" t="s">
        <v>77</v>
      </c>
      <c r="AD102" s="10" t="s">
        <v>77</v>
      </c>
      <c r="AE102" s="10" t="s">
        <v>77</v>
      </c>
      <c r="AF102" s="10" t="s">
        <v>77</v>
      </c>
      <c r="AG102" s="10" t="s">
        <v>77</v>
      </c>
      <c r="AH102" s="10" t="s">
        <v>77</v>
      </c>
      <c r="AI102" s="10" t="s">
        <v>77</v>
      </c>
      <c r="AJ102" s="10" t="s">
        <v>77</v>
      </c>
      <c r="AK102" s="10" t="s">
        <v>77</v>
      </c>
      <c r="AL102" s="10" t="s">
        <v>77</v>
      </c>
      <c r="AM102" s="10" t="s">
        <v>77</v>
      </c>
      <c r="AN102" s="10" t="s">
        <v>77</v>
      </c>
      <c r="AO102" s="10"/>
      <c r="AP102" s="10" t="s">
        <v>73</v>
      </c>
      <c r="AQ102" s="10" t="s">
        <v>73</v>
      </c>
      <c r="AS102" s="10" t="s">
        <v>77</v>
      </c>
      <c r="AT102" s="10" t="s">
        <v>77</v>
      </c>
      <c r="AU102" s="10" t="s">
        <v>77</v>
      </c>
      <c r="AV102" s="10" t="s">
        <v>77</v>
      </c>
      <c r="AW102" s="10" t="s">
        <v>77</v>
      </c>
      <c r="AX102" s="10" t="s">
        <v>77</v>
      </c>
      <c r="AY102" s="10" t="s">
        <v>77</v>
      </c>
      <c r="AZ102" s="10" t="s">
        <v>77</v>
      </c>
      <c r="BA102" s="10" t="s">
        <v>77</v>
      </c>
      <c r="BB102" s="10" t="s">
        <v>77</v>
      </c>
      <c r="BC102" s="10" t="s">
        <v>77</v>
      </c>
      <c r="BD102" s="10" t="s">
        <v>77</v>
      </c>
      <c r="BE102" s="10" t="s">
        <v>77</v>
      </c>
      <c r="BF102" s="10" t="s">
        <v>77</v>
      </c>
      <c r="BG102" s="10" t="s">
        <v>77</v>
      </c>
      <c r="BH102" s="10" t="s">
        <v>77</v>
      </c>
      <c r="BI102" s="10" t="s">
        <v>77</v>
      </c>
      <c r="BJ102" s="10" t="s">
        <v>77</v>
      </c>
      <c r="BK102" s="10" t="s">
        <v>77</v>
      </c>
      <c r="BL102" s="10" t="s">
        <v>77</v>
      </c>
      <c r="BM102" s="10" t="s">
        <v>77</v>
      </c>
      <c r="BN102" s="10" t="s">
        <v>77</v>
      </c>
      <c r="BO102" s="10" t="s">
        <v>77</v>
      </c>
      <c r="BP102" s="10" t="s">
        <v>77</v>
      </c>
      <c r="BR102" s="10" t="s">
        <v>77</v>
      </c>
      <c r="BS102" s="10" t="s">
        <v>77</v>
      </c>
      <c r="BT102" s="10" t="s">
        <v>77</v>
      </c>
      <c r="BU102" s="10" t="s">
        <v>77</v>
      </c>
      <c r="BV102" s="10" t="s">
        <v>77</v>
      </c>
      <c r="BW102" s="10" t="s">
        <v>77</v>
      </c>
      <c r="BX102" s="10" t="s">
        <v>77</v>
      </c>
      <c r="BY102" s="10" t="s">
        <v>77</v>
      </c>
      <c r="CA102" s="2" t="str">
        <f aca="false">IF(AS102="x","x",IF(AS102="-","-",""))</f>
        <v>-</v>
      </c>
      <c r="CB102" s="2" t="str">
        <f aca="false">IF(AT102="x","x",IF(AT102="-","-",""))</f>
        <v>-</v>
      </c>
      <c r="CC102" s="2" t="str">
        <f aca="false">IF(AU102="x","x",IF(AU102="-","-",""))</f>
        <v>-</v>
      </c>
      <c r="CD102" s="2" t="str">
        <f aca="false">IF(AV102="x","x",IF(AV102="-","-",""))</f>
        <v>-</v>
      </c>
      <c r="CE102" s="2" t="str">
        <f aca="false">IF(AW102="x","x",IF(AW102="-","-",""))</f>
        <v>-</v>
      </c>
      <c r="CF102" s="2" t="str">
        <f aca="false">IF(AX102="x","x",IF(AX102="-","-",""))</f>
        <v>-</v>
      </c>
      <c r="CG102" s="2" t="str">
        <f aca="false">IF(AY102="x","x",IF(AY102="-","-",""))</f>
        <v>-</v>
      </c>
      <c r="CH102" s="2" t="str">
        <f aca="false">IF(AZ102="x","x",IF(AZ102="-","-",""))</f>
        <v>-</v>
      </c>
      <c r="CI102" s="2" t="str">
        <f aca="false">IF(BA102="x","x",IF(BA102="-","-",""))</f>
        <v>-</v>
      </c>
      <c r="CJ102" s="2" t="str">
        <f aca="false">IF(BB102="x","x",IF(BB102="-","-",""))</f>
        <v>-</v>
      </c>
      <c r="CK102" s="2" t="str">
        <f aca="false">IF(BC102="x","x",IF(BC102="-","-",""))</f>
        <v>-</v>
      </c>
      <c r="CL102" s="2" t="str">
        <f aca="false">IF(BD102="x","x",IF(BD102="-","-",""))</f>
        <v>-</v>
      </c>
      <c r="CM102" s="2" t="str">
        <f aca="false">IF(BE102="x","x",IF(BE102="-","-",""))</f>
        <v>-</v>
      </c>
      <c r="CN102" s="2" t="str">
        <f aca="false">IF(BF102="x","x",IF(BF102="-","-",""))</f>
        <v>-</v>
      </c>
      <c r="CO102" s="2" t="str">
        <f aca="false">IF(BG102="x","x",IF(BG102="-","-",""))</f>
        <v>-</v>
      </c>
      <c r="CP102" s="2" t="str">
        <f aca="false">IF(BH102="x","x",IF(BH102="-","-",""))</f>
        <v>-</v>
      </c>
      <c r="CQ102" s="2" t="str">
        <f aca="false">IF(BI102="x","x",IF(BI102="-","-",""))</f>
        <v>-</v>
      </c>
      <c r="CR102" s="2" t="str">
        <f aca="false">IF(BJ102="x","x",IF(BJ102="-","-",""))</f>
        <v>-</v>
      </c>
      <c r="CS102" s="2" t="str">
        <f aca="false">IF(BK102="x","x",IF(BK102="-","-",""))</f>
        <v>-</v>
      </c>
      <c r="CT102" s="2" t="str">
        <f aca="false">IF(BL102="x","x",IF(BL102="-","-",""))</f>
        <v>-</v>
      </c>
      <c r="CU102" s="2" t="str">
        <f aca="false">IF(BM102="x","x",IF(BM102="-","-",""))</f>
        <v>-</v>
      </c>
      <c r="CV102" s="2" t="str">
        <f aca="false">IF(BN102="x","x",IF(BN102="-","-",""))</f>
        <v>-</v>
      </c>
      <c r="CW102" s="2" t="str">
        <f aca="false">IF(BO102="x","x",IF(BO102="-","-",""))</f>
        <v>-</v>
      </c>
      <c r="CX102" s="2" t="str">
        <f aca="false">IF(BP102="x","x",IF(BP102="-","-",""))</f>
        <v>-</v>
      </c>
      <c r="CZ102" s="2" t="str">
        <f aca="false">IF(P102="x","x",IF(P102="-","-",""))</f>
        <v>-</v>
      </c>
      <c r="DA102" s="2" t="str">
        <f aca="false">IF(Q102="x","x",IF(Q102="-","-",""))</f>
        <v>-</v>
      </c>
      <c r="DB102" s="2" t="str">
        <f aca="false">IF(R102="x","x",IF(R102="-","-",""))</f>
        <v>-</v>
      </c>
      <c r="DC102" s="2" t="str">
        <f aca="false">IF(S102="x","x",IF(S102="-","-",""))</f>
        <v>-</v>
      </c>
      <c r="DD102" s="2" t="str">
        <f aca="false">IF(T102="x","x",IF(T102="-","-",""))</f>
        <v>-</v>
      </c>
      <c r="DE102" s="2" t="str">
        <f aca="false">IF(U102="x","x",IF(U102="-","-",""))</f>
        <v>-</v>
      </c>
      <c r="DF102" s="2" t="str">
        <f aca="false">IF(V102="x","x",IF(V102="-","-",""))</f>
        <v>-</v>
      </c>
      <c r="DG102" s="2" t="str">
        <f aca="false">IF(W102="x","x",IF(W102="-","-",""))</f>
        <v>-</v>
      </c>
      <c r="DH102" s="2" t="str">
        <f aca="false">IF(X102="x","x",IF(X102="-","-",""))</f>
        <v>-</v>
      </c>
      <c r="DI102" s="2" t="str">
        <f aca="false">IF(Y102="x","x",IF(Y102="-","-",""))</f>
        <v>-</v>
      </c>
      <c r="DJ102" s="2" t="str">
        <f aca="false">IF(Z102="x","x",IF(Z102="-","-",""))</f>
        <v>-</v>
      </c>
      <c r="DK102" s="2" t="str">
        <f aca="false">IF(AA102="x","x",IF(AA102="-","-",""))</f>
        <v>-</v>
      </c>
      <c r="DL102" s="10"/>
      <c r="DM102" s="2" t="str">
        <f aca="false">IF(AC102="x","x",IF(AC102="-","-",""))</f>
        <v>-</v>
      </c>
      <c r="DN102" s="2" t="str">
        <f aca="false">IF(AD102="x","x",IF(AD102="-","-",""))</f>
        <v>-</v>
      </c>
      <c r="DO102" s="2" t="str">
        <f aca="false">IF(AE102="x","x",IF(AE102="-","-",""))</f>
        <v>-</v>
      </c>
      <c r="DP102" s="2" t="str">
        <f aca="false">IF(AF102="x","x",IF(AF102="-","-",""))</f>
        <v>-</v>
      </c>
      <c r="DQ102" s="2" t="str">
        <f aca="false">IF(AG102="x","x",IF(AG102="-","-",""))</f>
        <v>-</v>
      </c>
      <c r="DR102" s="2" t="str">
        <f aca="false">IF(AH102="x","x",IF(AH102="-","-",""))</f>
        <v>-</v>
      </c>
      <c r="DS102" s="2" t="str">
        <f aca="false">IF(AI102="x","x",IF(AI102="-","-",""))</f>
        <v>-</v>
      </c>
      <c r="DT102" s="2" t="str">
        <f aca="false">IF(AJ102="x","x",IF(AJ102="-","-",""))</f>
        <v>-</v>
      </c>
      <c r="DU102" s="2" t="str">
        <f aca="false">IF(AK102="x","x",IF(AK102="-","-",""))</f>
        <v>-</v>
      </c>
      <c r="DV102" s="2" t="str">
        <f aca="false">IF(AL102="x","x",IF(AL102="-","-",""))</f>
        <v>-</v>
      </c>
      <c r="DW102" s="2" t="str">
        <f aca="false">IF(AM102="x","x",IF(AM102="-","-",""))</f>
        <v>-</v>
      </c>
      <c r="DX102" s="2" t="str">
        <f aca="false">IF(AN102="x","x",IF(AN102="-","-",""))</f>
        <v>-</v>
      </c>
    </row>
    <row r="103" customFormat="false" ht="13.8" hidden="false" customHeight="false" outlineLevel="0" collapsed="false">
      <c r="A103" s="10" t="s">
        <v>73</v>
      </c>
      <c r="B103" s="2" t="n">
        <v>102</v>
      </c>
      <c r="C103" s="1" t="s">
        <v>77</v>
      </c>
      <c r="D103" s="10" t="s">
        <v>92</v>
      </c>
      <c r="E103" s="10" t="s">
        <v>127</v>
      </c>
      <c r="F103" s="10"/>
      <c r="G103" s="10" t="s">
        <v>77</v>
      </c>
      <c r="H103" s="10" t="s">
        <v>77</v>
      </c>
      <c r="I103" s="10" t="s">
        <v>77</v>
      </c>
      <c r="J103" s="10" t="s">
        <v>77</v>
      </c>
      <c r="K103" s="10" t="s">
        <v>77</v>
      </c>
      <c r="L103" s="10" t="s">
        <v>77</v>
      </c>
      <c r="M103" s="2" t="n">
        <v>20</v>
      </c>
      <c r="N103" s="10" t="s">
        <v>77</v>
      </c>
      <c r="O103" s="10"/>
      <c r="P103" s="10" t="s">
        <v>77</v>
      </c>
      <c r="Q103" s="10" t="s">
        <v>77</v>
      </c>
      <c r="R103" s="10" t="s">
        <v>77</v>
      </c>
      <c r="S103" s="10" t="s">
        <v>77</v>
      </c>
      <c r="T103" s="10" t="s">
        <v>77</v>
      </c>
      <c r="U103" s="10" t="s">
        <v>77</v>
      </c>
      <c r="V103" s="10" t="s">
        <v>77</v>
      </c>
      <c r="W103" s="10" t="s">
        <v>77</v>
      </c>
      <c r="X103" s="10" t="s">
        <v>77</v>
      </c>
      <c r="Y103" s="10" t="s">
        <v>77</v>
      </c>
      <c r="Z103" s="10" t="s">
        <v>77</v>
      </c>
      <c r="AA103" s="10" t="s">
        <v>77</v>
      </c>
      <c r="AB103" s="10"/>
      <c r="AC103" s="10" t="s">
        <v>77</v>
      </c>
      <c r="AD103" s="10" t="s">
        <v>77</v>
      </c>
      <c r="AE103" s="10" t="s">
        <v>77</v>
      </c>
      <c r="AF103" s="10" t="s">
        <v>77</v>
      </c>
      <c r="AG103" s="10" t="s">
        <v>77</v>
      </c>
      <c r="AH103" s="10" t="s">
        <v>77</v>
      </c>
      <c r="AI103" s="10" t="s">
        <v>77</v>
      </c>
      <c r="AJ103" s="10" t="s">
        <v>77</v>
      </c>
      <c r="AK103" s="10" t="s">
        <v>77</v>
      </c>
      <c r="AL103" s="10" t="s">
        <v>77</v>
      </c>
      <c r="AM103" s="10" t="s">
        <v>77</v>
      </c>
      <c r="AN103" s="10" t="s">
        <v>77</v>
      </c>
      <c r="AO103" s="10"/>
      <c r="AP103" s="10" t="s">
        <v>73</v>
      </c>
      <c r="AQ103" s="10" t="s">
        <v>73</v>
      </c>
      <c r="AS103" s="10" t="s">
        <v>77</v>
      </c>
      <c r="AT103" s="10" t="s">
        <v>77</v>
      </c>
      <c r="AU103" s="10" t="s">
        <v>77</v>
      </c>
      <c r="AV103" s="10" t="s">
        <v>77</v>
      </c>
      <c r="AW103" s="10" t="s">
        <v>77</v>
      </c>
      <c r="AX103" s="10" t="s">
        <v>77</v>
      </c>
      <c r="AY103" s="10" t="s">
        <v>77</v>
      </c>
      <c r="AZ103" s="10" t="s">
        <v>77</v>
      </c>
      <c r="BA103" s="10" t="s">
        <v>77</v>
      </c>
      <c r="BB103" s="10" t="s">
        <v>77</v>
      </c>
      <c r="BC103" s="10" t="s">
        <v>77</v>
      </c>
      <c r="BD103" s="10" t="s">
        <v>77</v>
      </c>
      <c r="BE103" s="10" t="s">
        <v>77</v>
      </c>
      <c r="BF103" s="10" t="s">
        <v>77</v>
      </c>
      <c r="BG103" s="10" t="s">
        <v>77</v>
      </c>
      <c r="BH103" s="10" t="s">
        <v>77</v>
      </c>
      <c r="BI103" s="10" t="s">
        <v>77</v>
      </c>
      <c r="BJ103" s="10" t="s">
        <v>77</v>
      </c>
      <c r="BK103" s="10" t="s">
        <v>77</v>
      </c>
      <c r="BL103" s="10" t="s">
        <v>77</v>
      </c>
      <c r="BM103" s="10" t="s">
        <v>77</v>
      </c>
      <c r="BN103" s="10" t="s">
        <v>77</v>
      </c>
      <c r="BO103" s="10" t="s">
        <v>77</v>
      </c>
      <c r="BP103" s="10" t="s">
        <v>77</v>
      </c>
      <c r="BR103" s="10" t="s">
        <v>77</v>
      </c>
      <c r="BS103" s="10" t="s">
        <v>77</v>
      </c>
      <c r="BT103" s="10" t="s">
        <v>77</v>
      </c>
      <c r="BU103" s="10" t="s">
        <v>77</v>
      </c>
      <c r="BV103" s="10" t="s">
        <v>77</v>
      </c>
      <c r="BW103" s="10" t="s">
        <v>77</v>
      </c>
      <c r="BX103" s="10" t="s">
        <v>77</v>
      </c>
      <c r="BY103" s="10" t="s">
        <v>77</v>
      </c>
      <c r="CA103" s="2" t="str">
        <f aca="false">IF(AS103="x","x",IF(AS103="-","-",""))</f>
        <v>-</v>
      </c>
      <c r="CB103" s="2" t="str">
        <f aca="false">IF(AT103="x","x",IF(AT103="-","-",""))</f>
        <v>-</v>
      </c>
      <c r="CC103" s="2" t="str">
        <f aca="false">IF(AU103="x","x",IF(AU103="-","-",""))</f>
        <v>-</v>
      </c>
      <c r="CD103" s="2" t="str">
        <f aca="false">IF(AV103="x","x",IF(AV103="-","-",""))</f>
        <v>-</v>
      </c>
      <c r="CE103" s="2" t="str">
        <f aca="false">IF(AW103="x","x",IF(AW103="-","-",""))</f>
        <v>-</v>
      </c>
      <c r="CF103" s="2" t="str">
        <f aca="false">IF(AX103="x","x",IF(AX103="-","-",""))</f>
        <v>-</v>
      </c>
      <c r="CG103" s="2" t="str">
        <f aca="false">IF(AY103="x","x",IF(AY103="-","-",""))</f>
        <v>-</v>
      </c>
      <c r="CH103" s="2" t="str">
        <f aca="false">IF(AZ103="x","x",IF(AZ103="-","-",""))</f>
        <v>-</v>
      </c>
      <c r="CI103" s="2" t="str">
        <f aca="false">IF(BA103="x","x",IF(BA103="-","-",""))</f>
        <v>-</v>
      </c>
      <c r="CJ103" s="2" t="str">
        <f aca="false">IF(BB103="x","x",IF(BB103="-","-",""))</f>
        <v>-</v>
      </c>
      <c r="CK103" s="2" t="str">
        <f aca="false">IF(BC103="x","x",IF(BC103="-","-",""))</f>
        <v>-</v>
      </c>
      <c r="CL103" s="2" t="str">
        <f aca="false">IF(BD103="x","x",IF(BD103="-","-",""))</f>
        <v>-</v>
      </c>
      <c r="CM103" s="2" t="str">
        <f aca="false">IF(BE103="x","x",IF(BE103="-","-",""))</f>
        <v>-</v>
      </c>
      <c r="CN103" s="2" t="str">
        <f aca="false">IF(BF103="x","x",IF(BF103="-","-",""))</f>
        <v>-</v>
      </c>
      <c r="CO103" s="2" t="str">
        <f aca="false">IF(BG103="x","x",IF(BG103="-","-",""))</f>
        <v>-</v>
      </c>
      <c r="CP103" s="2" t="str">
        <f aca="false">IF(BH103="x","x",IF(BH103="-","-",""))</f>
        <v>-</v>
      </c>
      <c r="CQ103" s="2" t="str">
        <f aca="false">IF(BI103="x","x",IF(BI103="-","-",""))</f>
        <v>-</v>
      </c>
      <c r="CR103" s="2" t="str">
        <f aca="false">IF(BJ103="x","x",IF(BJ103="-","-",""))</f>
        <v>-</v>
      </c>
      <c r="CS103" s="2" t="str">
        <f aca="false">IF(BK103="x","x",IF(BK103="-","-",""))</f>
        <v>-</v>
      </c>
      <c r="CT103" s="2" t="str">
        <f aca="false">IF(BL103="x","x",IF(BL103="-","-",""))</f>
        <v>-</v>
      </c>
      <c r="CU103" s="2" t="str">
        <f aca="false">IF(BM103="x","x",IF(BM103="-","-",""))</f>
        <v>-</v>
      </c>
      <c r="CV103" s="2" t="str">
        <f aca="false">IF(BN103="x","x",IF(BN103="-","-",""))</f>
        <v>-</v>
      </c>
      <c r="CW103" s="2" t="str">
        <f aca="false">IF(BO103="x","x",IF(BO103="-","-",""))</f>
        <v>-</v>
      </c>
      <c r="CX103" s="2" t="str">
        <f aca="false">IF(BP103="x","x",IF(BP103="-","-",""))</f>
        <v>-</v>
      </c>
      <c r="CZ103" s="2" t="str">
        <f aca="false">IF(P103="x","x",IF(P103="-","-",""))</f>
        <v>-</v>
      </c>
      <c r="DA103" s="2" t="str">
        <f aca="false">IF(Q103="x","x",IF(Q103="-","-",""))</f>
        <v>-</v>
      </c>
      <c r="DB103" s="2" t="str">
        <f aca="false">IF(R103="x","x",IF(R103="-","-",""))</f>
        <v>-</v>
      </c>
      <c r="DC103" s="2" t="str">
        <f aca="false">IF(S103="x","x",IF(S103="-","-",""))</f>
        <v>-</v>
      </c>
      <c r="DD103" s="2" t="str">
        <f aca="false">IF(T103="x","x",IF(T103="-","-",""))</f>
        <v>-</v>
      </c>
      <c r="DE103" s="2" t="str">
        <f aca="false">IF(U103="x","x",IF(U103="-","-",""))</f>
        <v>-</v>
      </c>
      <c r="DF103" s="2" t="str">
        <f aca="false">IF(V103="x","x",IF(V103="-","-",""))</f>
        <v>-</v>
      </c>
      <c r="DG103" s="2" t="str">
        <f aca="false">IF(W103="x","x",IF(W103="-","-",""))</f>
        <v>-</v>
      </c>
      <c r="DH103" s="2" t="str">
        <f aca="false">IF(X103="x","x",IF(X103="-","-",""))</f>
        <v>-</v>
      </c>
      <c r="DI103" s="2" t="str">
        <f aca="false">IF(Y103="x","x",IF(Y103="-","-",""))</f>
        <v>-</v>
      </c>
      <c r="DJ103" s="2" t="str">
        <f aca="false">IF(Z103="x","x",IF(Z103="-","-",""))</f>
        <v>-</v>
      </c>
      <c r="DK103" s="2" t="str">
        <f aca="false">IF(AA103="x","x",IF(AA103="-","-",""))</f>
        <v>-</v>
      </c>
      <c r="DL103" s="10"/>
      <c r="DM103" s="2" t="str">
        <f aca="false">IF(AC103="x","x",IF(AC103="-","-",""))</f>
        <v>-</v>
      </c>
      <c r="DN103" s="2" t="str">
        <f aca="false">IF(AD103="x","x",IF(AD103="-","-",""))</f>
        <v>-</v>
      </c>
      <c r="DO103" s="2" t="str">
        <f aca="false">IF(AE103="x","x",IF(AE103="-","-",""))</f>
        <v>-</v>
      </c>
      <c r="DP103" s="2" t="str">
        <f aca="false">IF(AF103="x","x",IF(AF103="-","-",""))</f>
        <v>-</v>
      </c>
      <c r="DQ103" s="2" t="str">
        <f aca="false">IF(AG103="x","x",IF(AG103="-","-",""))</f>
        <v>-</v>
      </c>
      <c r="DR103" s="2" t="str">
        <f aca="false">IF(AH103="x","x",IF(AH103="-","-",""))</f>
        <v>-</v>
      </c>
      <c r="DS103" s="2" t="str">
        <f aca="false">IF(AI103="x","x",IF(AI103="-","-",""))</f>
        <v>-</v>
      </c>
      <c r="DT103" s="2" t="str">
        <f aca="false">IF(AJ103="x","x",IF(AJ103="-","-",""))</f>
        <v>-</v>
      </c>
      <c r="DU103" s="2" t="str">
        <f aca="false">IF(AK103="x","x",IF(AK103="-","-",""))</f>
        <v>-</v>
      </c>
      <c r="DV103" s="2" t="str">
        <f aca="false">IF(AL103="x","x",IF(AL103="-","-",""))</f>
        <v>-</v>
      </c>
      <c r="DW103" s="2" t="str">
        <f aca="false">IF(AM103="x","x",IF(AM103="-","-",""))</f>
        <v>-</v>
      </c>
      <c r="DX103" s="2" t="str">
        <f aca="false">IF(AN103="x","x",IF(AN103="-","-",""))</f>
        <v>-</v>
      </c>
    </row>
    <row r="104" customFormat="false" ht="13.8" hidden="false" customHeight="false" outlineLevel="0" collapsed="false">
      <c r="A104" s="10" t="s">
        <v>73</v>
      </c>
      <c r="B104" s="2" t="n">
        <v>103</v>
      </c>
      <c r="C104" s="1" t="s">
        <v>77</v>
      </c>
      <c r="D104" s="10" t="s">
        <v>92</v>
      </c>
      <c r="E104" s="10" t="s">
        <v>127</v>
      </c>
      <c r="F104" s="10"/>
      <c r="G104" s="10" t="s">
        <v>77</v>
      </c>
      <c r="H104" s="10" t="s">
        <v>77</v>
      </c>
      <c r="I104" s="10" t="s">
        <v>77</v>
      </c>
      <c r="J104" s="10" t="s">
        <v>77</v>
      </c>
      <c r="K104" s="10" t="s">
        <v>77</v>
      </c>
      <c r="L104" s="10" t="s">
        <v>77</v>
      </c>
      <c r="M104" s="2" t="n">
        <v>20</v>
      </c>
      <c r="N104" s="10" t="s">
        <v>77</v>
      </c>
      <c r="O104" s="10"/>
      <c r="P104" s="10" t="s">
        <v>77</v>
      </c>
      <c r="Q104" s="10" t="s">
        <v>77</v>
      </c>
      <c r="R104" s="10" t="s">
        <v>77</v>
      </c>
      <c r="S104" s="10" t="s">
        <v>77</v>
      </c>
      <c r="T104" s="10" t="s">
        <v>77</v>
      </c>
      <c r="U104" s="10" t="s">
        <v>77</v>
      </c>
      <c r="V104" s="10" t="s">
        <v>77</v>
      </c>
      <c r="W104" s="10" t="s">
        <v>77</v>
      </c>
      <c r="X104" s="10" t="s">
        <v>77</v>
      </c>
      <c r="Y104" s="10" t="s">
        <v>77</v>
      </c>
      <c r="Z104" s="10" t="s">
        <v>77</v>
      </c>
      <c r="AA104" s="10" t="s">
        <v>77</v>
      </c>
      <c r="AB104" s="10"/>
      <c r="AC104" s="10" t="s">
        <v>77</v>
      </c>
      <c r="AD104" s="10" t="s">
        <v>77</v>
      </c>
      <c r="AE104" s="10" t="s">
        <v>77</v>
      </c>
      <c r="AF104" s="10" t="s">
        <v>77</v>
      </c>
      <c r="AG104" s="10" t="s">
        <v>77</v>
      </c>
      <c r="AH104" s="10" t="s">
        <v>77</v>
      </c>
      <c r="AI104" s="10" t="s">
        <v>77</v>
      </c>
      <c r="AJ104" s="10" t="s">
        <v>77</v>
      </c>
      <c r="AK104" s="10" t="s">
        <v>77</v>
      </c>
      <c r="AL104" s="10" t="s">
        <v>77</v>
      </c>
      <c r="AM104" s="10" t="s">
        <v>77</v>
      </c>
      <c r="AN104" s="10" t="s">
        <v>77</v>
      </c>
      <c r="AO104" s="10"/>
      <c r="AP104" s="10" t="s">
        <v>73</v>
      </c>
      <c r="AQ104" s="10" t="s">
        <v>73</v>
      </c>
      <c r="AS104" s="10" t="s">
        <v>77</v>
      </c>
      <c r="AT104" s="10" t="s">
        <v>77</v>
      </c>
      <c r="AU104" s="10" t="s">
        <v>77</v>
      </c>
      <c r="AV104" s="10" t="s">
        <v>77</v>
      </c>
      <c r="AW104" s="10" t="s">
        <v>77</v>
      </c>
      <c r="AX104" s="10" t="s">
        <v>77</v>
      </c>
      <c r="AY104" s="10" t="s">
        <v>77</v>
      </c>
      <c r="AZ104" s="10" t="s">
        <v>77</v>
      </c>
      <c r="BA104" s="10" t="s">
        <v>77</v>
      </c>
      <c r="BB104" s="10" t="s">
        <v>77</v>
      </c>
      <c r="BC104" s="10" t="s">
        <v>77</v>
      </c>
      <c r="BD104" s="10" t="s">
        <v>77</v>
      </c>
      <c r="BE104" s="10" t="s">
        <v>77</v>
      </c>
      <c r="BF104" s="10" t="s">
        <v>77</v>
      </c>
      <c r="BG104" s="10" t="s">
        <v>77</v>
      </c>
      <c r="BH104" s="10" t="s">
        <v>77</v>
      </c>
      <c r="BI104" s="10" t="s">
        <v>77</v>
      </c>
      <c r="BJ104" s="10" t="s">
        <v>77</v>
      </c>
      <c r="BK104" s="10" t="s">
        <v>77</v>
      </c>
      <c r="BL104" s="10" t="s">
        <v>77</v>
      </c>
      <c r="BM104" s="10" t="s">
        <v>77</v>
      </c>
      <c r="BN104" s="10" t="s">
        <v>77</v>
      </c>
      <c r="BO104" s="10" t="s">
        <v>77</v>
      </c>
      <c r="BP104" s="10" t="s">
        <v>77</v>
      </c>
      <c r="BR104" s="10" t="s">
        <v>77</v>
      </c>
      <c r="BS104" s="10" t="s">
        <v>77</v>
      </c>
      <c r="BT104" s="10" t="s">
        <v>77</v>
      </c>
      <c r="BU104" s="10" t="s">
        <v>77</v>
      </c>
      <c r="BV104" s="10" t="s">
        <v>77</v>
      </c>
      <c r="BW104" s="10" t="s">
        <v>77</v>
      </c>
      <c r="BX104" s="10" t="s">
        <v>77</v>
      </c>
      <c r="BY104" s="10" t="s">
        <v>77</v>
      </c>
      <c r="CA104" s="2" t="str">
        <f aca="false">IF(AS104="x","x",IF(AS104="-","-",""))</f>
        <v>-</v>
      </c>
      <c r="CB104" s="2" t="str">
        <f aca="false">IF(AT104="x","x",IF(AT104="-","-",""))</f>
        <v>-</v>
      </c>
      <c r="CC104" s="2" t="str">
        <f aca="false">IF(AU104="x","x",IF(AU104="-","-",""))</f>
        <v>-</v>
      </c>
      <c r="CD104" s="2" t="str">
        <f aca="false">IF(AV104="x","x",IF(AV104="-","-",""))</f>
        <v>-</v>
      </c>
      <c r="CE104" s="2" t="str">
        <f aca="false">IF(AW104="x","x",IF(AW104="-","-",""))</f>
        <v>-</v>
      </c>
      <c r="CF104" s="2" t="str">
        <f aca="false">IF(AX104="x","x",IF(AX104="-","-",""))</f>
        <v>-</v>
      </c>
      <c r="CG104" s="2" t="str">
        <f aca="false">IF(AY104="x","x",IF(AY104="-","-",""))</f>
        <v>-</v>
      </c>
      <c r="CH104" s="2" t="str">
        <f aca="false">IF(AZ104="x","x",IF(AZ104="-","-",""))</f>
        <v>-</v>
      </c>
      <c r="CI104" s="2" t="str">
        <f aca="false">IF(BA104="x","x",IF(BA104="-","-",""))</f>
        <v>-</v>
      </c>
      <c r="CJ104" s="2" t="str">
        <f aca="false">IF(BB104="x","x",IF(BB104="-","-",""))</f>
        <v>-</v>
      </c>
      <c r="CK104" s="2" t="str">
        <f aca="false">IF(BC104="x","x",IF(BC104="-","-",""))</f>
        <v>-</v>
      </c>
      <c r="CL104" s="2" t="str">
        <f aca="false">IF(BD104="x","x",IF(BD104="-","-",""))</f>
        <v>-</v>
      </c>
      <c r="CM104" s="2" t="str">
        <f aca="false">IF(BE104="x","x",IF(BE104="-","-",""))</f>
        <v>-</v>
      </c>
      <c r="CN104" s="2" t="str">
        <f aca="false">IF(BF104="x","x",IF(BF104="-","-",""))</f>
        <v>-</v>
      </c>
      <c r="CO104" s="2" t="str">
        <f aca="false">IF(BG104="x","x",IF(BG104="-","-",""))</f>
        <v>-</v>
      </c>
      <c r="CP104" s="2" t="str">
        <f aca="false">IF(BH104="x","x",IF(BH104="-","-",""))</f>
        <v>-</v>
      </c>
      <c r="CQ104" s="2" t="str">
        <f aca="false">IF(BI104="x","x",IF(BI104="-","-",""))</f>
        <v>-</v>
      </c>
      <c r="CR104" s="2" t="str">
        <f aca="false">IF(BJ104="x","x",IF(BJ104="-","-",""))</f>
        <v>-</v>
      </c>
      <c r="CS104" s="2" t="str">
        <f aca="false">IF(BK104="x","x",IF(BK104="-","-",""))</f>
        <v>-</v>
      </c>
      <c r="CT104" s="2" t="str">
        <f aca="false">IF(BL104="x","x",IF(BL104="-","-",""))</f>
        <v>-</v>
      </c>
      <c r="CU104" s="2" t="str">
        <f aca="false">IF(BM104="x","x",IF(BM104="-","-",""))</f>
        <v>-</v>
      </c>
      <c r="CV104" s="2" t="str">
        <f aca="false">IF(BN104="x","x",IF(BN104="-","-",""))</f>
        <v>-</v>
      </c>
      <c r="CW104" s="2" t="str">
        <f aca="false">IF(BO104="x","x",IF(BO104="-","-",""))</f>
        <v>-</v>
      </c>
      <c r="CX104" s="2" t="str">
        <f aca="false">IF(BP104="x","x",IF(BP104="-","-",""))</f>
        <v>-</v>
      </c>
      <c r="CZ104" s="2" t="str">
        <f aca="false">IF(P104="x","x",IF(P104="-","-",""))</f>
        <v>-</v>
      </c>
      <c r="DA104" s="2" t="str">
        <f aca="false">IF(Q104="x","x",IF(Q104="-","-",""))</f>
        <v>-</v>
      </c>
      <c r="DB104" s="2" t="str">
        <f aca="false">IF(R104="x","x",IF(R104="-","-",""))</f>
        <v>-</v>
      </c>
      <c r="DC104" s="2" t="str">
        <f aca="false">IF(S104="x","x",IF(S104="-","-",""))</f>
        <v>-</v>
      </c>
      <c r="DD104" s="2" t="str">
        <f aca="false">IF(T104="x","x",IF(T104="-","-",""))</f>
        <v>-</v>
      </c>
      <c r="DE104" s="2" t="str">
        <f aca="false">IF(U104="x","x",IF(U104="-","-",""))</f>
        <v>-</v>
      </c>
      <c r="DF104" s="2" t="str">
        <f aca="false">IF(V104="x","x",IF(V104="-","-",""))</f>
        <v>-</v>
      </c>
      <c r="DG104" s="2" t="str">
        <f aca="false">IF(W104="x","x",IF(W104="-","-",""))</f>
        <v>-</v>
      </c>
      <c r="DH104" s="2" t="str">
        <f aca="false">IF(X104="x","x",IF(X104="-","-",""))</f>
        <v>-</v>
      </c>
      <c r="DI104" s="2" t="str">
        <f aca="false">IF(Y104="x","x",IF(Y104="-","-",""))</f>
        <v>-</v>
      </c>
      <c r="DJ104" s="2" t="str">
        <f aca="false">IF(Z104="x","x",IF(Z104="-","-",""))</f>
        <v>-</v>
      </c>
      <c r="DK104" s="2" t="str">
        <f aca="false">IF(AA104="x","x",IF(AA104="-","-",""))</f>
        <v>-</v>
      </c>
      <c r="DL104" s="10"/>
      <c r="DM104" s="2" t="str">
        <f aca="false">IF(AC104="x","x",IF(AC104="-","-",""))</f>
        <v>-</v>
      </c>
      <c r="DN104" s="2" t="str">
        <f aca="false">IF(AD104="x","x",IF(AD104="-","-",""))</f>
        <v>-</v>
      </c>
      <c r="DO104" s="2" t="str">
        <f aca="false">IF(AE104="x","x",IF(AE104="-","-",""))</f>
        <v>-</v>
      </c>
      <c r="DP104" s="2" t="str">
        <f aca="false">IF(AF104="x","x",IF(AF104="-","-",""))</f>
        <v>-</v>
      </c>
      <c r="DQ104" s="2" t="str">
        <f aca="false">IF(AG104="x","x",IF(AG104="-","-",""))</f>
        <v>-</v>
      </c>
      <c r="DR104" s="2" t="str">
        <f aca="false">IF(AH104="x","x",IF(AH104="-","-",""))</f>
        <v>-</v>
      </c>
      <c r="DS104" s="2" t="str">
        <f aca="false">IF(AI104="x","x",IF(AI104="-","-",""))</f>
        <v>-</v>
      </c>
      <c r="DT104" s="2" t="str">
        <f aca="false">IF(AJ104="x","x",IF(AJ104="-","-",""))</f>
        <v>-</v>
      </c>
      <c r="DU104" s="2" t="str">
        <f aca="false">IF(AK104="x","x",IF(AK104="-","-",""))</f>
        <v>-</v>
      </c>
      <c r="DV104" s="2" t="str">
        <f aca="false">IF(AL104="x","x",IF(AL104="-","-",""))</f>
        <v>-</v>
      </c>
      <c r="DW104" s="2" t="str">
        <f aca="false">IF(AM104="x","x",IF(AM104="-","-",""))</f>
        <v>-</v>
      </c>
      <c r="DX104" s="2" t="str">
        <f aca="false">IF(AN104="x","x",IF(AN104="-","-",""))</f>
        <v>-</v>
      </c>
    </row>
    <row r="105" customFormat="false" ht="13.8" hidden="false" customHeight="false" outlineLevel="0" collapsed="false">
      <c r="A105" s="10" t="s">
        <v>73</v>
      </c>
      <c r="B105" s="2" t="n">
        <v>104</v>
      </c>
      <c r="C105" s="1" t="s">
        <v>77</v>
      </c>
      <c r="D105" s="10" t="s">
        <v>92</v>
      </c>
      <c r="E105" s="10" t="s">
        <v>127</v>
      </c>
      <c r="F105" s="10"/>
      <c r="G105" s="10" t="s">
        <v>77</v>
      </c>
      <c r="H105" s="10" t="s">
        <v>77</v>
      </c>
      <c r="I105" s="10" t="s">
        <v>77</v>
      </c>
      <c r="J105" s="10" t="s">
        <v>77</v>
      </c>
      <c r="K105" s="10" t="s">
        <v>77</v>
      </c>
      <c r="L105" s="10" t="s">
        <v>77</v>
      </c>
      <c r="M105" s="2" t="n">
        <v>20</v>
      </c>
      <c r="N105" s="10" t="s">
        <v>77</v>
      </c>
      <c r="O105" s="10"/>
      <c r="P105" s="10" t="s">
        <v>77</v>
      </c>
      <c r="Q105" s="10" t="s">
        <v>77</v>
      </c>
      <c r="R105" s="10" t="s">
        <v>77</v>
      </c>
      <c r="S105" s="10" t="s">
        <v>77</v>
      </c>
      <c r="T105" s="10" t="s">
        <v>77</v>
      </c>
      <c r="U105" s="10" t="s">
        <v>77</v>
      </c>
      <c r="V105" s="10" t="s">
        <v>77</v>
      </c>
      <c r="W105" s="10" t="s">
        <v>77</v>
      </c>
      <c r="X105" s="10" t="s">
        <v>77</v>
      </c>
      <c r="Y105" s="10" t="s">
        <v>77</v>
      </c>
      <c r="Z105" s="10" t="s">
        <v>77</v>
      </c>
      <c r="AA105" s="10" t="s">
        <v>77</v>
      </c>
      <c r="AB105" s="10"/>
      <c r="AC105" s="10" t="s">
        <v>77</v>
      </c>
      <c r="AD105" s="10" t="s">
        <v>77</v>
      </c>
      <c r="AE105" s="10" t="s">
        <v>77</v>
      </c>
      <c r="AF105" s="10" t="s">
        <v>77</v>
      </c>
      <c r="AG105" s="10" t="s">
        <v>77</v>
      </c>
      <c r="AH105" s="10" t="s">
        <v>77</v>
      </c>
      <c r="AI105" s="10" t="s">
        <v>77</v>
      </c>
      <c r="AJ105" s="10" t="s">
        <v>77</v>
      </c>
      <c r="AK105" s="10" t="s">
        <v>77</v>
      </c>
      <c r="AL105" s="10" t="s">
        <v>77</v>
      </c>
      <c r="AM105" s="10" t="s">
        <v>77</v>
      </c>
      <c r="AN105" s="10" t="s">
        <v>77</v>
      </c>
      <c r="AO105" s="10"/>
      <c r="AP105" s="10" t="s">
        <v>73</v>
      </c>
      <c r="AQ105" s="10" t="s">
        <v>73</v>
      </c>
      <c r="AS105" s="10" t="s">
        <v>77</v>
      </c>
      <c r="AT105" s="10" t="s">
        <v>77</v>
      </c>
      <c r="AU105" s="10" t="s">
        <v>77</v>
      </c>
      <c r="AV105" s="10" t="s">
        <v>77</v>
      </c>
      <c r="AW105" s="10" t="s">
        <v>77</v>
      </c>
      <c r="AX105" s="10" t="s">
        <v>77</v>
      </c>
      <c r="AY105" s="10" t="s">
        <v>77</v>
      </c>
      <c r="AZ105" s="10" t="s">
        <v>77</v>
      </c>
      <c r="BA105" s="10" t="s">
        <v>77</v>
      </c>
      <c r="BB105" s="10" t="s">
        <v>77</v>
      </c>
      <c r="BC105" s="10" t="s">
        <v>77</v>
      </c>
      <c r="BD105" s="10" t="s">
        <v>77</v>
      </c>
      <c r="BE105" s="10" t="s">
        <v>77</v>
      </c>
      <c r="BF105" s="10" t="s">
        <v>77</v>
      </c>
      <c r="BG105" s="10" t="s">
        <v>77</v>
      </c>
      <c r="BH105" s="10" t="s">
        <v>77</v>
      </c>
      <c r="BI105" s="10" t="s">
        <v>77</v>
      </c>
      <c r="BJ105" s="10" t="s">
        <v>77</v>
      </c>
      <c r="BK105" s="10" t="s">
        <v>77</v>
      </c>
      <c r="BL105" s="10" t="s">
        <v>77</v>
      </c>
      <c r="BM105" s="10" t="s">
        <v>77</v>
      </c>
      <c r="BN105" s="10" t="s">
        <v>77</v>
      </c>
      <c r="BO105" s="10" t="s">
        <v>77</v>
      </c>
      <c r="BP105" s="10" t="s">
        <v>77</v>
      </c>
      <c r="BR105" s="10" t="s">
        <v>77</v>
      </c>
      <c r="BS105" s="10" t="s">
        <v>77</v>
      </c>
      <c r="BT105" s="10" t="s">
        <v>77</v>
      </c>
      <c r="BU105" s="10" t="s">
        <v>77</v>
      </c>
      <c r="BV105" s="10" t="s">
        <v>77</v>
      </c>
      <c r="BW105" s="10" t="s">
        <v>77</v>
      </c>
      <c r="BX105" s="10" t="s">
        <v>77</v>
      </c>
      <c r="BY105" s="10" t="s">
        <v>77</v>
      </c>
      <c r="CA105" s="2" t="str">
        <f aca="false">IF(AS105="x","x",IF(AS105="-","-",""))</f>
        <v>-</v>
      </c>
      <c r="CB105" s="2" t="str">
        <f aca="false">IF(AT105="x","x",IF(AT105="-","-",""))</f>
        <v>-</v>
      </c>
      <c r="CC105" s="2" t="str">
        <f aca="false">IF(AU105="x","x",IF(AU105="-","-",""))</f>
        <v>-</v>
      </c>
      <c r="CD105" s="2" t="str">
        <f aca="false">IF(AV105="x","x",IF(AV105="-","-",""))</f>
        <v>-</v>
      </c>
      <c r="CE105" s="2" t="str">
        <f aca="false">IF(AW105="x","x",IF(AW105="-","-",""))</f>
        <v>-</v>
      </c>
      <c r="CF105" s="2" t="str">
        <f aca="false">IF(AX105="x","x",IF(AX105="-","-",""))</f>
        <v>-</v>
      </c>
      <c r="CG105" s="2" t="str">
        <f aca="false">IF(AY105="x","x",IF(AY105="-","-",""))</f>
        <v>-</v>
      </c>
      <c r="CH105" s="2" t="str">
        <f aca="false">IF(AZ105="x","x",IF(AZ105="-","-",""))</f>
        <v>-</v>
      </c>
      <c r="CI105" s="2" t="str">
        <f aca="false">IF(BA105="x","x",IF(BA105="-","-",""))</f>
        <v>-</v>
      </c>
      <c r="CJ105" s="2" t="str">
        <f aca="false">IF(BB105="x","x",IF(BB105="-","-",""))</f>
        <v>-</v>
      </c>
      <c r="CK105" s="2" t="str">
        <f aca="false">IF(BC105="x","x",IF(BC105="-","-",""))</f>
        <v>-</v>
      </c>
      <c r="CL105" s="2" t="str">
        <f aca="false">IF(BD105="x","x",IF(BD105="-","-",""))</f>
        <v>-</v>
      </c>
      <c r="CM105" s="2" t="str">
        <f aca="false">IF(BE105="x","x",IF(BE105="-","-",""))</f>
        <v>-</v>
      </c>
      <c r="CN105" s="2" t="str">
        <f aca="false">IF(BF105="x","x",IF(BF105="-","-",""))</f>
        <v>-</v>
      </c>
      <c r="CO105" s="2" t="str">
        <f aca="false">IF(BG105="x","x",IF(BG105="-","-",""))</f>
        <v>-</v>
      </c>
      <c r="CP105" s="2" t="str">
        <f aca="false">IF(BH105="x","x",IF(BH105="-","-",""))</f>
        <v>-</v>
      </c>
      <c r="CQ105" s="2" t="str">
        <f aca="false">IF(BI105="x","x",IF(BI105="-","-",""))</f>
        <v>-</v>
      </c>
      <c r="CR105" s="2" t="str">
        <f aca="false">IF(BJ105="x","x",IF(BJ105="-","-",""))</f>
        <v>-</v>
      </c>
      <c r="CS105" s="2" t="str">
        <f aca="false">IF(BK105="x","x",IF(BK105="-","-",""))</f>
        <v>-</v>
      </c>
      <c r="CT105" s="2" t="str">
        <f aca="false">IF(BL105="x","x",IF(BL105="-","-",""))</f>
        <v>-</v>
      </c>
      <c r="CU105" s="2" t="str">
        <f aca="false">IF(BM105="x","x",IF(BM105="-","-",""))</f>
        <v>-</v>
      </c>
      <c r="CV105" s="2" t="str">
        <f aca="false">IF(BN105="x","x",IF(BN105="-","-",""))</f>
        <v>-</v>
      </c>
      <c r="CW105" s="2" t="str">
        <f aca="false">IF(BO105="x","x",IF(BO105="-","-",""))</f>
        <v>-</v>
      </c>
      <c r="CX105" s="2" t="str">
        <f aca="false">IF(BP105="x","x",IF(BP105="-","-",""))</f>
        <v>-</v>
      </c>
      <c r="CZ105" s="2" t="str">
        <f aca="false">IF(P105="x","x",IF(P105="-","-",""))</f>
        <v>-</v>
      </c>
      <c r="DA105" s="2" t="str">
        <f aca="false">IF(Q105="x","x",IF(Q105="-","-",""))</f>
        <v>-</v>
      </c>
      <c r="DB105" s="2" t="str">
        <f aca="false">IF(R105="x","x",IF(R105="-","-",""))</f>
        <v>-</v>
      </c>
      <c r="DC105" s="2" t="str">
        <f aca="false">IF(S105="x","x",IF(S105="-","-",""))</f>
        <v>-</v>
      </c>
      <c r="DD105" s="2" t="str">
        <f aca="false">IF(T105="x","x",IF(T105="-","-",""))</f>
        <v>-</v>
      </c>
      <c r="DE105" s="2" t="str">
        <f aca="false">IF(U105="x","x",IF(U105="-","-",""))</f>
        <v>-</v>
      </c>
      <c r="DF105" s="2" t="str">
        <f aca="false">IF(V105="x","x",IF(V105="-","-",""))</f>
        <v>-</v>
      </c>
      <c r="DG105" s="2" t="str">
        <f aca="false">IF(W105="x","x",IF(W105="-","-",""))</f>
        <v>-</v>
      </c>
      <c r="DH105" s="2" t="str">
        <f aca="false">IF(X105="x","x",IF(X105="-","-",""))</f>
        <v>-</v>
      </c>
      <c r="DI105" s="2" t="str">
        <f aca="false">IF(Y105="x","x",IF(Y105="-","-",""))</f>
        <v>-</v>
      </c>
      <c r="DJ105" s="2" t="str">
        <f aca="false">IF(Z105="x","x",IF(Z105="-","-",""))</f>
        <v>-</v>
      </c>
      <c r="DK105" s="2" t="str">
        <f aca="false">IF(AA105="x","x",IF(AA105="-","-",""))</f>
        <v>-</v>
      </c>
      <c r="DL105" s="10"/>
      <c r="DM105" s="2" t="str">
        <f aca="false">IF(AC105="x","x",IF(AC105="-","-",""))</f>
        <v>-</v>
      </c>
      <c r="DN105" s="2" t="str">
        <f aca="false">IF(AD105="x","x",IF(AD105="-","-",""))</f>
        <v>-</v>
      </c>
      <c r="DO105" s="2" t="str">
        <f aca="false">IF(AE105="x","x",IF(AE105="-","-",""))</f>
        <v>-</v>
      </c>
      <c r="DP105" s="2" t="str">
        <f aca="false">IF(AF105="x","x",IF(AF105="-","-",""))</f>
        <v>-</v>
      </c>
      <c r="DQ105" s="2" t="str">
        <f aca="false">IF(AG105="x","x",IF(AG105="-","-",""))</f>
        <v>-</v>
      </c>
      <c r="DR105" s="2" t="str">
        <f aca="false">IF(AH105="x","x",IF(AH105="-","-",""))</f>
        <v>-</v>
      </c>
      <c r="DS105" s="2" t="str">
        <f aca="false">IF(AI105="x","x",IF(AI105="-","-",""))</f>
        <v>-</v>
      </c>
      <c r="DT105" s="2" t="str">
        <f aca="false">IF(AJ105="x","x",IF(AJ105="-","-",""))</f>
        <v>-</v>
      </c>
      <c r="DU105" s="2" t="str">
        <f aca="false">IF(AK105="x","x",IF(AK105="-","-",""))</f>
        <v>-</v>
      </c>
      <c r="DV105" s="2" t="str">
        <f aca="false">IF(AL105="x","x",IF(AL105="-","-",""))</f>
        <v>-</v>
      </c>
      <c r="DW105" s="2" t="str">
        <f aca="false">IF(AM105="x","x",IF(AM105="-","-",""))</f>
        <v>-</v>
      </c>
      <c r="DX105" s="2" t="str">
        <f aca="false">IF(AN105="x","x",IF(AN105="-","-",""))</f>
        <v>-</v>
      </c>
    </row>
    <row r="106" customFormat="false" ht="13.8" hidden="false" customHeight="false" outlineLevel="0" collapsed="false">
      <c r="A106" s="10" t="s">
        <v>73</v>
      </c>
      <c r="B106" s="2" t="n">
        <v>105</v>
      </c>
      <c r="C106" s="1" t="s">
        <v>77</v>
      </c>
      <c r="D106" s="10" t="s">
        <v>92</v>
      </c>
      <c r="E106" s="10" t="s">
        <v>127</v>
      </c>
      <c r="F106" s="10"/>
      <c r="G106" s="10" t="s">
        <v>77</v>
      </c>
      <c r="H106" s="10" t="s">
        <v>77</v>
      </c>
      <c r="I106" s="10" t="s">
        <v>77</v>
      </c>
      <c r="J106" s="10" t="s">
        <v>77</v>
      </c>
      <c r="K106" s="10" t="s">
        <v>77</v>
      </c>
      <c r="L106" s="10" t="s">
        <v>77</v>
      </c>
      <c r="M106" s="2" t="n">
        <v>20</v>
      </c>
      <c r="N106" s="10" t="s">
        <v>77</v>
      </c>
      <c r="O106" s="10"/>
      <c r="P106" s="10" t="s">
        <v>77</v>
      </c>
      <c r="Q106" s="10" t="s">
        <v>77</v>
      </c>
      <c r="R106" s="10" t="s">
        <v>77</v>
      </c>
      <c r="S106" s="10" t="s">
        <v>77</v>
      </c>
      <c r="T106" s="10" t="s">
        <v>77</v>
      </c>
      <c r="U106" s="10" t="s">
        <v>77</v>
      </c>
      <c r="V106" s="10" t="s">
        <v>77</v>
      </c>
      <c r="W106" s="10" t="s">
        <v>77</v>
      </c>
      <c r="X106" s="10" t="s">
        <v>77</v>
      </c>
      <c r="Y106" s="10" t="s">
        <v>77</v>
      </c>
      <c r="Z106" s="10" t="s">
        <v>77</v>
      </c>
      <c r="AA106" s="10" t="s">
        <v>77</v>
      </c>
      <c r="AB106" s="10"/>
      <c r="AC106" s="10" t="s">
        <v>77</v>
      </c>
      <c r="AD106" s="10" t="s">
        <v>77</v>
      </c>
      <c r="AE106" s="10" t="s">
        <v>77</v>
      </c>
      <c r="AF106" s="10" t="s">
        <v>77</v>
      </c>
      <c r="AG106" s="10" t="s">
        <v>77</v>
      </c>
      <c r="AH106" s="10" t="s">
        <v>77</v>
      </c>
      <c r="AI106" s="10" t="s">
        <v>77</v>
      </c>
      <c r="AJ106" s="10" t="s">
        <v>77</v>
      </c>
      <c r="AK106" s="10" t="s">
        <v>77</v>
      </c>
      <c r="AL106" s="10" t="s">
        <v>77</v>
      </c>
      <c r="AM106" s="10" t="s">
        <v>77</v>
      </c>
      <c r="AN106" s="10" t="s">
        <v>77</v>
      </c>
      <c r="AO106" s="10"/>
      <c r="AP106" s="10" t="s">
        <v>73</v>
      </c>
      <c r="AQ106" s="10" t="s">
        <v>73</v>
      </c>
      <c r="AS106" s="10" t="s">
        <v>77</v>
      </c>
      <c r="AT106" s="10" t="s">
        <v>77</v>
      </c>
      <c r="AU106" s="10" t="s">
        <v>77</v>
      </c>
      <c r="AV106" s="10" t="s">
        <v>77</v>
      </c>
      <c r="AW106" s="10" t="s">
        <v>77</v>
      </c>
      <c r="AX106" s="10" t="s">
        <v>77</v>
      </c>
      <c r="AY106" s="10" t="s">
        <v>77</v>
      </c>
      <c r="AZ106" s="10" t="s">
        <v>77</v>
      </c>
      <c r="BA106" s="10" t="s">
        <v>77</v>
      </c>
      <c r="BB106" s="10" t="s">
        <v>77</v>
      </c>
      <c r="BC106" s="10" t="s">
        <v>77</v>
      </c>
      <c r="BD106" s="10" t="s">
        <v>77</v>
      </c>
      <c r="BE106" s="10" t="s">
        <v>77</v>
      </c>
      <c r="BF106" s="10" t="s">
        <v>77</v>
      </c>
      <c r="BG106" s="10" t="s">
        <v>77</v>
      </c>
      <c r="BH106" s="10" t="s">
        <v>77</v>
      </c>
      <c r="BI106" s="10" t="s">
        <v>77</v>
      </c>
      <c r="BJ106" s="10" t="s">
        <v>77</v>
      </c>
      <c r="BK106" s="10" t="s">
        <v>77</v>
      </c>
      <c r="BL106" s="10" t="s">
        <v>77</v>
      </c>
      <c r="BM106" s="10" t="s">
        <v>77</v>
      </c>
      <c r="BN106" s="10" t="s">
        <v>77</v>
      </c>
      <c r="BO106" s="10" t="s">
        <v>77</v>
      </c>
      <c r="BP106" s="10" t="s">
        <v>77</v>
      </c>
      <c r="BR106" s="10" t="s">
        <v>77</v>
      </c>
      <c r="BS106" s="10" t="s">
        <v>77</v>
      </c>
      <c r="BT106" s="10" t="s">
        <v>77</v>
      </c>
      <c r="BU106" s="10" t="s">
        <v>77</v>
      </c>
      <c r="BV106" s="10" t="s">
        <v>77</v>
      </c>
      <c r="BW106" s="10" t="s">
        <v>77</v>
      </c>
      <c r="BX106" s="10" t="s">
        <v>77</v>
      </c>
      <c r="BY106" s="10" t="s">
        <v>77</v>
      </c>
      <c r="CA106" s="2" t="str">
        <f aca="false">IF(AS106="x","x",IF(AS106="-","-",""))</f>
        <v>-</v>
      </c>
      <c r="CB106" s="2" t="str">
        <f aca="false">IF(AT106="x","x",IF(AT106="-","-",""))</f>
        <v>-</v>
      </c>
      <c r="CC106" s="2" t="str">
        <f aca="false">IF(AU106="x","x",IF(AU106="-","-",""))</f>
        <v>-</v>
      </c>
      <c r="CD106" s="2" t="str">
        <f aca="false">IF(AV106="x","x",IF(AV106="-","-",""))</f>
        <v>-</v>
      </c>
      <c r="CE106" s="2" t="str">
        <f aca="false">IF(AW106="x","x",IF(AW106="-","-",""))</f>
        <v>-</v>
      </c>
      <c r="CF106" s="2" t="str">
        <f aca="false">IF(AX106="x","x",IF(AX106="-","-",""))</f>
        <v>-</v>
      </c>
      <c r="CG106" s="2" t="str">
        <f aca="false">IF(AY106="x","x",IF(AY106="-","-",""))</f>
        <v>-</v>
      </c>
      <c r="CH106" s="2" t="str">
        <f aca="false">IF(AZ106="x","x",IF(AZ106="-","-",""))</f>
        <v>-</v>
      </c>
      <c r="CI106" s="2" t="str">
        <f aca="false">IF(BA106="x","x",IF(BA106="-","-",""))</f>
        <v>-</v>
      </c>
      <c r="CJ106" s="2" t="str">
        <f aca="false">IF(BB106="x","x",IF(BB106="-","-",""))</f>
        <v>-</v>
      </c>
      <c r="CK106" s="2" t="str">
        <f aca="false">IF(BC106="x","x",IF(BC106="-","-",""))</f>
        <v>-</v>
      </c>
      <c r="CL106" s="2" t="str">
        <f aca="false">IF(BD106="x","x",IF(BD106="-","-",""))</f>
        <v>-</v>
      </c>
      <c r="CM106" s="2" t="str">
        <f aca="false">IF(BE106="x","x",IF(BE106="-","-",""))</f>
        <v>-</v>
      </c>
      <c r="CN106" s="2" t="str">
        <f aca="false">IF(BF106="x","x",IF(BF106="-","-",""))</f>
        <v>-</v>
      </c>
      <c r="CO106" s="2" t="str">
        <f aca="false">IF(BG106="x","x",IF(BG106="-","-",""))</f>
        <v>-</v>
      </c>
      <c r="CP106" s="2" t="str">
        <f aca="false">IF(BH106="x","x",IF(BH106="-","-",""))</f>
        <v>-</v>
      </c>
      <c r="CQ106" s="2" t="str">
        <f aca="false">IF(BI106="x","x",IF(BI106="-","-",""))</f>
        <v>-</v>
      </c>
      <c r="CR106" s="2" t="str">
        <f aca="false">IF(BJ106="x","x",IF(BJ106="-","-",""))</f>
        <v>-</v>
      </c>
      <c r="CS106" s="2" t="str">
        <f aca="false">IF(BK106="x","x",IF(BK106="-","-",""))</f>
        <v>-</v>
      </c>
      <c r="CT106" s="2" t="str">
        <f aca="false">IF(BL106="x","x",IF(BL106="-","-",""))</f>
        <v>-</v>
      </c>
      <c r="CU106" s="2" t="str">
        <f aca="false">IF(BM106="x","x",IF(BM106="-","-",""))</f>
        <v>-</v>
      </c>
      <c r="CV106" s="2" t="str">
        <f aca="false">IF(BN106="x","x",IF(BN106="-","-",""))</f>
        <v>-</v>
      </c>
      <c r="CW106" s="2" t="str">
        <f aca="false">IF(BO106="x","x",IF(BO106="-","-",""))</f>
        <v>-</v>
      </c>
      <c r="CX106" s="2" t="str">
        <f aca="false">IF(BP106="x","x",IF(BP106="-","-",""))</f>
        <v>-</v>
      </c>
      <c r="CZ106" s="2" t="str">
        <f aca="false">IF(P106="x","x",IF(P106="-","-",""))</f>
        <v>-</v>
      </c>
      <c r="DA106" s="2" t="str">
        <f aca="false">IF(Q106="x","x",IF(Q106="-","-",""))</f>
        <v>-</v>
      </c>
      <c r="DB106" s="2" t="str">
        <f aca="false">IF(R106="x","x",IF(R106="-","-",""))</f>
        <v>-</v>
      </c>
      <c r="DC106" s="2" t="str">
        <f aca="false">IF(S106="x","x",IF(S106="-","-",""))</f>
        <v>-</v>
      </c>
      <c r="DD106" s="2" t="str">
        <f aca="false">IF(T106="x","x",IF(T106="-","-",""))</f>
        <v>-</v>
      </c>
      <c r="DE106" s="2" t="str">
        <f aca="false">IF(U106="x","x",IF(U106="-","-",""))</f>
        <v>-</v>
      </c>
      <c r="DF106" s="2" t="str">
        <f aca="false">IF(V106="x","x",IF(V106="-","-",""))</f>
        <v>-</v>
      </c>
      <c r="DG106" s="2" t="str">
        <f aca="false">IF(W106="x","x",IF(W106="-","-",""))</f>
        <v>-</v>
      </c>
      <c r="DH106" s="2" t="str">
        <f aca="false">IF(X106="x","x",IF(X106="-","-",""))</f>
        <v>-</v>
      </c>
      <c r="DI106" s="2" t="str">
        <f aca="false">IF(Y106="x","x",IF(Y106="-","-",""))</f>
        <v>-</v>
      </c>
      <c r="DJ106" s="2" t="str">
        <f aca="false">IF(Z106="x","x",IF(Z106="-","-",""))</f>
        <v>-</v>
      </c>
      <c r="DK106" s="2" t="str">
        <f aca="false">IF(AA106="x","x",IF(AA106="-","-",""))</f>
        <v>-</v>
      </c>
      <c r="DL106" s="10"/>
      <c r="DM106" s="2" t="str">
        <f aca="false">IF(AC106="x","x",IF(AC106="-","-",""))</f>
        <v>-</v>
      </c>
      <c r="DN106" s="2" t="str">
        <f aca="false">IF(AD106="x","x",IF(AD106="-","-",""))</f>
        <v>-</v>
      </c>
      <c r="DO106" s="2" t="str">
        <f aca="false">IF(AE106="x","x",IF(AE106="-","-",""))</f>
        <v>-</v>
      </c>
      <c r="DP106" s="2" t="str">
        <f aca="false">IF(AF106="x","x",IF(AF106="-","-",""))</f>
        <v>-</v>
      </c>
      <c r="DQ106" s="2" t="str">
        <f aca="false">IF(AG106="x","x",IF(AG106="-","-",""))</f>
        <v>-</v>
      </c>
      <c r="DR106" s="2" t="str">
        <f aca="false">IF(AH106="x","x",IF(AH106="-","-",""))</f>
        <v>-</v>
      </c>
      <c r="DS106" s="2" t="str">
        <f aca="false">IF(AI106="x","x",IF(AI106="-","-",""))</f>
        <v>-</v>
      </c>
      <c r="DT106" s="2" t="str">
        <f aca="false">IF(AJ106="x","x",IF(AJ106="-","-",""))</f>
        <v>-</v>
      </c>
      <c r="DU106" s="2" t="str">
        <f aca="false">IF(AK106="x","x",IF(AK106="-","-",""))</f>
        <v>-</v>
      </c>
      <c r="DV106" s="2" t="str">
        <f aca="false">IF(AL106="x","x",IF(AL106="-","-",""))</f>
        <v>-</v>
      </c>
      <c r="DW106" s="2" t="str">
        <f aca="false">IF(AM106="x","x",IF(AM106="-","-",""))</f>
        <v>-</v>
      </c>
      <c r="DX106" s="2" t="str">
        <f aca="false">IF(AN106="x","x",IF(AN106="-","-",""))</f>
        <v>-</v>
      </c>
    </row>
    <row r="107" customFormat="false" ht="13.8" hidden="false" customHeight="false" outlineLevel="0" collapsed="false">
      <c r="A107" s="10" t="s">
        <v>73</v>
      </c>
      <c r="B107" s="2" t="n">
        <v>106</v>
      </c>
      <c r="C107" s="1" t="s">
        <v>77</v>
      </c>
      <c r="D107" s="10" t="s">
        <v>92</v>
      </c>
      <c r="E107" s="10" t="s">
        <v>127</v>
      </c>
      <c r="F107" s="10"/>
      <c r="G107" s="10" t="s">
        <v>77</v>
      </c>
      <c r="H107" s="10" t="s">
        <v>77</v>
      </c>
      <c r="I107" s="10" t="s">
        <v>77</v>
      </c>
      <c r="J107" s="10" t="s">
        <v>77</v>
      </c>
      <c r="K107" s="10" t="s">
        <v>77</v>
      </c>
      <c r="L107" s="10" t="s">
        <v>77</v>
      </c>
      <c r="M107" s="2" t="n">
        <v>20</v>
      </c>
      <c r="N107" s="10" t="s">
        <v>77</v>
      </c>
      <c r="O107" s="10"/>
      <c r="P107" s="10" t="s">
        <v>77</v>
      </c>
      <c r="Q107" s="10" t="s">
        <v>77</v>
      </c>
      <c r="R107" s="10" t="s">
        <v>77</v>
      </c>
      <c r="S107" s="10" t="s">
        <v>77</v>
      </c>
      <c r="T107" s="10" t="s">
        <v>77</v>
      </c>
      <c r="U107" s="10" t="s">
        <v>77</v>
      </c>
      <c r="V107" s="10" t="s">
        <v>77</v>
      </c>
      <c r="W107" s="10" t="s">
        <v>77</v>
      </c>
      <c r="X107" s="10" t="s">
        <v>77</v>
      </c>
      <c r="Y107" s="10" t="s">
        <v>77</v>
      </c>
      <c r="Z107" s="10" t="s">
        <v>77</v>
      </c>
      <c r="AA107" s="10" t="s">
        <v>77</v>
      </c>
      <c r="AB107" s="10"/>
      <c r="AC107" s="10" t="s">
        <v>77</v>
      </c>
      <c r="AD107" s="10" t="s">
        <v>77</v>
      </c>
      <c r="AE107" s="10" t="s">
        <v>77</v>
      </c>
      <c r="AF107" s="10" t="s">
        <v>77</v>
      </c>
      <c r="AG107" s="10" t="s">
        <v>77</v>
      </c>
      <c r="AH107" s="10" t="s">
        <v>77</v>
      </c>
      <c r="AI107" s="10" t="s">
        <v>77</v>
      </c>
      <c r="AJ107" s="10" t="s">
        <v>77</v>
      </c>
      <c r="AK107" s="10" t="s">
        <v>77</v>
      </c>
      <c r="AL107" s="10" t="s">
        <v>77</v>
      </c>
      <c r="AM107" s="10" t="s">
        <v>77</v>
      </c>
      <c r="AN107" s="10" t="s">
        <v>77</v>
      </c>
      <c r="AO107" s="10"/>
      <c r="AP107" s="10" t="s">
        <v>73</v>
      </c>
      <c r="AQ107" s="10" t="s">
        <v>73</v>
      </c>
      <c r="AS107" s="10" t="s">
        <v>77</v>
      </c>
      <c r="AT107" s="10" t="s">
        <v>77</v>
      </c>
      <c r="AU107" s="10" t="s">
        <v>77</v>
      </c>
      <c r="AV107" s="10" t="s">
        <v>77</v>
      </c>
      <c r="AW107" s="10" t="s">
        <v>77</v>
      </c>
      <c r="AX107" s="10" t="s">
        <v>77</v>
      </c>
      <c r="AY107" s="10" t="s">
        <v>77</v>
      </c>
      <c r="AZ107" s="10" t="s">
        <v>77</v>
      </c>
      <c r="BA107" s="10" t="s">
        <v>77</v>
      </c>
      <c r="BB107" s="10" t="s">
        <v>77</v>
      </c>
      <c r="BC107" s="10" t="s">
        <v>77</v>
      </c>
      <c r="BD107" s="10" t="s">
        <v>77</v>
      </c>
      <c r="BE107" s="10" t="s">
        <v>77</v>
      </c>
      <c r="BF107" s="10" t="s">
        <v>77</v>
      </c>
      <c r="BG107" s="10" t="s">
        <v>77</v>
      </c>
      <c r="BH107" s="10" t="s">
        <v>77</v>
      </c>
      <c r="BI107" s="10" t="s">
        <v>77</v>
      </c>
      <c r="BJ107" s="10" t="s">
        <v>77</v>
      </c>
      <c r="BK107" s="10" t="s">
        <v>77</v>
      </c>
      <c r="BL107" s="10" t="s">
        <v>77</v>
      </c>
      <c r="BM107" s="10" t="s">
        <v>77</v>
      </c>
      <c r="BN107" s="10" t="s">
        <v>77</v>
      </c>
      <c r="BO107" s="10" t="s">
        <v>77</v>
      </c>
      <c r="BP107" s="10" t="s">
        <v>77</v>
      </c>
      <c r="BR107" s="10" t="s">
        <v>77</v>
      </c>
      <c r="BS107" s="10" t="s">
        <v>77</v>
      </c>
      <c r="BT107" s="10" t="s">
        <v>77</v>
      </c>
      <c r="BU107" s="10" t="s">
        <v>77</v>
      </c>
      <c r="BV107" s="10" t="s">
        <v>77</v>
      </c>
      <c r="BW107" s="10" t="s">
        <v>77</v>
      </c>
      <c r="BX107" s="10" t="s">
        <v>77</v>
      </c>
      <c r="BY107" s="10" t="s">
        <v>77</v>
      </c>
      <c r="CA107" s="2" t="str">
        <f aca="false">IF(AS107="x","x",IF(AS107="-","-",""))</f>
        <v>-</v>
      </c>
      <c r="CB107" s="2" t="str">
        <f aca="false">IF(AT107="x","x",IF(AT107="-","-",""))</f>
        <v>-</v>
      </c>
      <c r="CC107" s="2" t="str">
        <f aca="false">IF(AU107="x","x",IF(AU107="-","-",""))</f>
        <v>-</v>
      </c>
      <c r="CD107" s="2" t="str">
        <f aca="false">IF(AV107="x","x",IF(AV107="-","-",""))</f>
        <v>-</v>
      </c>
      <c r="CE107" s="2" t="str">
        <f aca="false">IF(AW107="x","x",IF(AW107="-","-",""))</f>
        <v>-</v>
      </c>
      <c r="CF107" s="2" t="str">
        <f aca="false">IF(AX107="x","x",IF(AX107="-","-",""))</f>
        <v>-</v>
      </c>
      <c r="CG107" s="2" t="str">
        <f aca="false">IF(AY107="x","x",IF(AY107="-","-",""))</f>
        <v>-</v>
      </c>
      <c r="CH107" s="2" t="str">
        <f aca="false">IF(AZ107="x","x",IF(AZ107="-","-",""))</f>
        <v>-</v>
      </c>
      <c r="CI107" s="2" t="str">
        <f aca="false">IF(BA107="x","x",IF(BA107="-","-",""))</f>
        <v>-</v>
      </c>
      <c r="CJ107" s="2" t="str">
        <f aca="false">IF(BB107="x","x",IF(BB107="-","-",""))</f>
        <v>-</v>
      </c>
      <c r="CK107" s="2" t="str">
        <f aca="false">IF(BC107="x","x",IF(BC107="-","-",""))</f>
        <v>-</v>
      </c>
      <c r="CL107" s="2" t="str">
        <f aca="false">IF(BD107="x","x",IF(BD107="-","-",""))</f>
        <v>-</v>
      </c>
      <c r="CM107" s="2" t="str">
        <f aca="false">IF(BE107="x","x",IF(BE107="-","-",""))</f>
        <v>-</v>
      </c>
      <c r="CN107" s="2" t="str">
        <f aca="false">IF(BF107="x","x",IF(BF107="-","-",""))</f>
        <v>-</v>
      </c>
      <c r="CO107" s="2" t="str">
        <f aca="false">IF(BG107="x","x",IF(BG107="-","-",""))</f>
        <v>-</v>
      </c>
      <c r="CP107" s="2" t="str">
        <f aca="false">IF(BH107="x","x",IF(BH107="-","-",""))</f>
        <v>-</v>
      </c>
      <c r="CQ107" s="2" t="str">
        <f aca="false">IF(BI107="x","x",IF(BI107="-","-",""))</f>
        <v>-</v>
      </c>
      <c r="CR107" s="2" t="str">
        <f aca="false">IF(BJ107="x","x",IF(BJ107="-","-",""))</f>
        <v>-</v>
      </c>
      <c r="CS107" s="2" t="str">
        <f aca="false">IF(BK107="x","x",IF(BK107="-","-",""))</f>
        <v>-</v>
      </c>
      <c r="CT107" s="2" t="str">
        <f aca="false">IF(BL107="x","x",IF(BL107="-","-",""))</f>
        <v>-</v>
      </c>
      <c r="CU107" s="2" t="str">
        <f aca="false">IF(BM107="x","x",IF(BM107="-","-",""))</f>
        <v>-</v>
      </c>
      <c r="CV107" s="2" t="str">
        <f aca="false">IF(BN107="x","x",IF(BN107="-","-",""))</f>
        <v>-</v>
      </c>
      <c r="CW107" s="2" t="str">
        <f aca="false">IF(BO107="x","x",IF(BO107="-","-",""))</f>
        <v>-</v>
      </c>
      <c r="CX107" s="2" t="str">
        <f aca="false">IF(BP107="x","x",IF(BP107="-","-",""))</f>
        <v>-</v>
      </c>
      <c r="CZ107" s="2" t="str">
        <f aca="false">IF(P107="x","x",IF(P107="-","-",""))</f>
        <v>-</v>
      </c>
      <c r="DA107" s="2" t="str">
        <f aca="false">IF(Q107="x","x",IF(Q107="-","-",""))</f>
        <v>-</v>
      </c>
      <c r="DB107" s="2" t="str">
        <f aca="false">IF(R107="x","x",IF(R107="-","-",""))</f>
        <v>-</v>
      </c>
      <c r="DC107" s="2" t="str">
        <f aca="false">IF(S107="x","x",IF(S107="-","-",""))</f>
        <v>-</v>
      </c>
      <c r="DD107" s="2" t="str">
        <f aca="false">IF(T107="x","x",IF(T107="-","-",""))</f>
        <v>-</v>
      </c>
      <c r="DE107" s="2" t="str">
        <f aca="false">IF(U107="x","x",IF(U107="-","-",""))</f>
        <v>-</v>
      </c>
      <c r="DF107" s="2" t="str">
        <f aca="false">IF(V107="x","x",IF(V107="-","-",""))</f>
        <v>-</v>
      </c>
      <c r="DG107" s="2" t="str">
        <f aca="false">IF(W107="x","x",IF(W107="-","-",""))</f>
        <v>-</v>
      </c>
      <c r="DH107" s="2" t="str">
        <f aca="false">IF(X107="x","x",IF(X107="-","-",""))</f>
        <v>-</v>
      </c>
      <c r="DI107" s="2" t="str">
        <f aca="false">IF(Y107="x","x",IF(Y107="-","-",""))</f>
        <v>-</v>
      </c>
      <c r="DJ107" s="2" t="str">
        <f aca="false">IF(Z107="x","x",IF(Z107="-","-",""))</f>
        <v>-</v>
      </c>
      <c r="DK107" s="2" t="str">
        <f aca="false">IF(AA107="x","x",IF(AA107="-","-",""))</f>
        <v>-</v>
      </c>
      <c r="DL107" s="10"/>
      <c r="DM107" s="2" t="str">
        <f aca="false">IF(AC107="x","x",IF(AC107="-","-",""))</f>
        <v>-</v>
      </c>
      <c r="DN107" s="2" t="str">
        <f aca="false">IF(AD107="x","x",IF(AD107="-","-",""))</f>
        <v>-</v>
      </c>
      <c r="DO107" s="2" t="str">
        <f aca="false">IF(AE107="x","x",IF(AE107="-","-",""))</f>
        <v>-</v>
      </c>
      <c r="DP107" s="2" t="str">
        <f aca="false">IF(AF107="x","x",IF(AF107="-","-",""))</f>
        <v>-</v>
      </c>
      <c r="DQ107" s="2" t="str">
        <f aca="false">IF(AG107="x","x",IF(AG107="-","-",""))</f>
        <v>-</v>
      </c>
      <c r="DR107" s="2" t="str">
        <f aca="false">IF(AH107="x","x",IF(AH107="-","-",""))</f>
        <v>-</v>
      </c>
      <c r="DS107" s="2" t="str">
        <f aca="false">IF(AI107="x","x",IF(AI107="-","-",""))</f>
        <v>-</v>
      </c>
      <c r="DT107" s="2" t="str">
        <f aca="false">IF(AJ107="x","x",IF(AJ107="-","-",""))</f>
        <v>-</v>
      </c>
      <c r="DU107" s="2" t="str">
        <f aca="false">IF(AK107="x","x",IF(AK107="-","-",""))</f>
        <v>-</v>
      </c>
      <c r="DV107" s="2" t="str">
        <f aca="false">IF(AL107="x","x",IF(AL107="-","-",""))</f>
        <v>-</v>
      </c>
      <c r="DW107" s="2" t="str">
        <f aca="false">IF(AM107="x","x",IF(AM107="-","-",""))</f>
        <v>-</v>
      </c>
      <c r="DX107" s="2" t="str">
        <f aca="false">IF(AN107="x","x",IF(AN107="-","-",""))</f>
        <v>-</v>
      </c>
    </row>
    <row r="108" customFormat="false" ht="13.8" hidden="false" customHeight="false" outlineLevel="0" collapsed="false">
      <c r="A108" s="10" t="s">
        <v>73</v>
      </c>
      <c r="B108" s="2" t="n">
        <v>107</v>
      </c>
      <c r="C108" s="1" t="s">
        <v>77</v>
      </c>
      <c r="D108" s="10" t="s">
        <v>92</v>
      </c>
      <c r="E108" s="10" t="s">
        <v>127</v>
      </c>
      <c r="F108" s="10"/>
      <c r="G108" s="10" t="s">
        <v>77</v>
      </c>
      <c r="H108" s="10" t="s">
        <v>77</v>
      </c>
      <c r="I108" s="10" t="s">
        <v>77</v>
      </c>
      <c r="J108" s="10" t="s">
        <v>77</v>
      </c>
      <c r="K108" s="10" t="s">
        <v>77</v>
      </c>
      <c r="L108" s="10" t="s">
        <v>77</v>
      </c>
      <c r="M108" s="2" t="n">
        <v>20</v>
      </c>
      <c r="N108" s="10" t="s">
        <v>77</v>
      </c>
      <c r="O108" s="10"/>
      <c r="P108" s="10" t="s">
        <v>77</v>
      </c>
      <c r="Q108" s="10" t="s">
        <v>77</v>
      </c>
      <c r="R108" s="10" t="s">
        <v>77</v>
      </c>
      <c r="S108" s="10" t="s">
        <v>77</v>
      </c>
      <c r="T108" s="10" t="s">
        <v>77</v>
      </c>
      <c r="U108" s="10" t="s">
        <v>77</v>
      </c>
      <c r="V108" s="10" t="s">
        <v>77</v>
      </c>
      <c r="W108" s="10" t="s">
        <v>77</v>
      </c>
      <c r="X108" s="10" t="s">
        <v>77</v>
      </c>
      <c r="Y108" s="10" t="s">
        <v>77</v>
      </c>
      <c r="Z108" s="10" t="s">
        <v>77</v>
      </c>
      <c r="AA108" s="10" t="s">
        <v>77</v>
      </c>
      <c r="AB108" s="10"/>
      <c r="AC108" s="10" t="s">
        <v>77</v>
      </c>
      <c r="AD108" s="10" t="s">
        <v>77</v>
      </c>
      <c r="AE108" s="10" t="s">
        <v>77</v>
      </c>
      <c r="AF108" s="10" t="s">
        <v>77</v>
      </c>
      <c r="AG108" s="10" t="s">
        <v>77</v>
      </c>
      <c r="AH108" s="10" t="s">
        <v>77</v>
      </c>
      <c r="AI108" s="10" t="s">
        <v>77</v>
      </c>
      <c r="AJ108" s="10" t="s">
        <v>77</v>
      </c>
      <c r="AK108" s="10" t="s">
        <v>77</v>
      </c>
      <c r="AL108" s="10" t="s">
        <v>77</v>
      </c>
      <c r="AM108" s="10" t="s">
        <v>77</v>
      </c>
      <c r="AN108" s="10" t="s">
        <v>77</v>
      </c>
      <c r="AO108" s="10"/>
      <c r="AP108" s="10" t="s">
        <v>73</v>
      </c>
      <c r="AQ108" s="10" t="s">
        <v>73</v>
      </c>
      <c r="AS108" s="10" t="s">
        <v>77</v>
      </c>
      <c r="AT108" s="10" t="s">
        <v>77</v>
      </c>
      <c r="AU108" s="10" t="s">
        <v>77</v>
      </c>
      <c r="AV108" s="10" t="s">
        <v>77</v>
      </c>
      <c r="AW108" s="10" t="s">
        <v>77</v>
      </c>
      <c r="AX108" s="10" t="s">
        <v>77</v>
      </c>
      <c r="AY108" s="10" t="s">
        <v>77</v>
      </c>
      <c r="AZ108" s="10" t="s">
        <v>77</v>
      </c>
      <c r="BA108" s="10" t="s">
        <v>77</v>
      </c>
      <c r="BB108" s="10" t="s">
        <v>77</v>
      </c>
      <c r="BC108" s="10" t="s">
        <v>77</v>
      </c>
      <c r="BD108" s="10" t="s">
        <v>77</v>
      </c>
      <c r="BE108" s="10" t="s">
        <v>77</v>
      </c>
      <c r="BF108" s="10" t="s">
        <v>77</v>
      </c>
      <c r="BG108" s="10" t="s">
        <v>77</v>
      </c>
      <c r="BH108" s="10" t="s">
        <v>77</v>
      </c>
      <c r="BI108" s="10" t="s">
        <v>77</v>
      </c>
      <c r="BJ108" s="10" t="s">
        <v>77</v>
      </c>
      <c r="BK108" s="10" t="s">
        <v>77</v>
      </c>
      <c r="BL108" s="10" t="s">
        <v>77</v>
      </c>
      <c r="BM108" s="10" t="s">
        <v>77</v>
      </c>
      <c r="BN108" s="10" t="s">
        <v>77</v>
      </c>
      <c r="BO108" s="10" t="s">
        <v>77</v>
      </c>
      <c r="BP108" s="10" t="s">
        <v>77</v>
      </c>
      <c r="BR108" s="10" t="s">
        <v>77</v>
      </c>
      <c r="BS108" s="10" t="s">
        <v>77</v>
      </c>
      <c r="BT108" s="10" t="s">
        <v>77</v>
      </c>
      <c r="BU108" s="10" t="s">
        <v>77</v>
      </c>
      <c r="BV108" s="10" t="s">
        <v>77</v>
      </c>
      <c r="BW108" s="10" t="s">
        <v>77</v>
      </c>
      <c r="BX108" s="10" t="s">
        <v>77</v>
      </c>
      <c r="BY108" s="10" t="s">
        <v>77</v>
      </c>
      <c r="CA108" s="2" t="str">
        <f aca="false">IF(AS108="x","x",IF(AS108="-","-",""))</f>
        <v>-</v>
      </c>
      <c r="CB108" s="2" t="str">
        <f aca="false">IF(AT108="x","x",IF(AT108="-","-",""))</f>
        <v>-</v>
      </c>
      <c r="CC108" s="2" t="str">
        <f aca="false">IF(AU108="x","x",IF(AU108="-","-",""))</f>
        <v>-</v>
      </c>
      <c r="CD108" s="2" t="str">
        <f aca="false">IF(AV108="x","x",IF(AV108="-","-",""))</f>
        <v>-</v>
      </c>
      <c r="CE108" s="2" t="str">
        <f aca="false">IF(AW108="x","x",IF(AW108="-","-",""))</f>
        <v>-</v>
      </c>
      <c r="CF108" s="2" t="str">
        <f aca="false">IF(AX108="x","x",IF(AX108="-","-",""))</f>
        <v>-</v>
      </c>
      <c r="CG108" s="2" t="str">
        <f aca="false">IF(AY108="x","x",IF(AY108="-","-",""))</f>
        <v>-</v>
      </c>
      <c r="CH108" s="2" t="str">
        <f aca="false">IF(AZ108="x","x",IF(AZ108="-","-",""))</f>
        <v>-</v>
      </c>
      <c r="CI108" s="2" t="str">
        <f aca="false">IF(BA108="x","x",IF(BA108="-","-",""))</f>
        <v>-</v>
      </c>
      <c r="CJ108" s="2" t="str">
        <f aca="false">IF(BB108="x","x",IF(BB108="-","-",""))</f>
        <v>-</v>
      </c>
      <c r="CK108" s="2" t="str">
        <f aca="false">IF(BC108="x","x",IF(BC108="-","-",""))</f>
        <v>-</v>
      </c>
      <c r="CL108" s="2" t="str">
        <f aca="false">IF(BD108="x","x",IF(BD108="-","-",""))</f>
        <v>-</v>
      </c>
      <c r="CM108" s="2" t="str">
        <f aca="false">IF(BE108="x","x",IF(BE108="-","-",""))</f>
        <v>-</v>
      </c>
      <c r="CN108" s="2" t="str">
        <f aca="false">IF(BF108="x","x",IF(BF108="-","-",""))</f>
        <v>-</v>
      </c>
      <c r="CO108" s="2" t="str">
        <f aca="false">IF(BG108="x","x",IF(BG108="-","-",""))</f>
        <v>-</v>
      </c>
      <c r="CP108" s="2" t="str">
        <f aca="false">IF(BH108="x","x",IF(BH108="-","-",""))</f>
        <v>-</v>
      </c>
      <c r="CQ108" s="2" t="str">
        <f aca="false">IF(BI108="x","x",IF(BI108="-","-",""))</f>
        <v>-</v>
      </c>
      <c r="CR108" s="2" t="str">
        <f aca="false">IF(BJ108="x","x",IF(BJ108="-","-",""))</f>
        <v>-</v>
      </c>
      <c r="CS108" s="2" t="str">
        <f aca="false">IF(BK108="x","x",IF(BK108="-","-",""))</f>
        <v>-</v>
      </c>
      <c r="CT108" s="2" t="str">
        <f aca="false">IF(BL108="x","x",IF(BL108="-","-",""))</f>
        <v>-</v>
      </c>
      <c r="CU108" s="2" t="str">
        <f aca="false">IF(BM108="x","x",IF(BM108="-","-",""))</f>
        <v>-</v>
      </c>
      <c r="CV108" s="2" t="str">
        <f aca="false">IF(BN108="x","x",IF(BN108="-","-",""))</f>
        <v>-</v>
      </c>
      <c r="CW108" s="2" t="str">
        <f aca="false">IF(BO108="x","x",IF(BO108="-","-",""))</f>
        <v>-</v>
      </c>
      <c r="CX108" s="2" t="str">
        <f aca="false">IF(BP108="x","x",IF(BP108="-","-",""))</f>
        <v>-</v>
      </c>
      <c r="CZ108" s="2" t="str">
        <f aca="false">IF(P108="x","x",IF(P108="-","-",""))</f>
        <v>-</v>
      </c>
      <c r="DA108" s="2" t="str">
        <f aca="false">IF(Q108="x","x",IF(Q108="-","-",""))</f>
        <v>-</v>
      </c>
      <c r="DB108" s="2" t="str">
        <f aca="false">IF(R108="x","x",IF(R108="-","-",""))</f>
        <v>-</v>
      </c>
      <c r="DC108" s="2" t="str">
        <f aca="false">IF(S108="x","x",IF(S108="-","-",""))</f>
        <v>-</v>
      </c>
      <c r="DD108" s="2" t="str">
        <f aca="false">IF(T108="x","x",IF(T108="-","-",""))</f>
        <v>-</v>
      </c>
      <c r="DE108" s="2" t="str">
        <f aca="false">IF(U108="x","x",IF(U108="-","-",""))</f>
        <v>-</v>
      </c>
      <c r="DF108" s="2" t="str">
        <f aca="false">IF(V108="x","x",IF(V108="-","-",""))</f>
        <v>-</v>
      </c>
      <c r="DG108" s="2" t="str">
        <f aca="false">IF(W108="x","x",IF(W108="-","-",""))</f>
        <v>-</v>
      </c>
      <c r="DH108" s="2" t="str">
        <f aca="false">IF(X108="x","x",IF(X108="-","-",""))</f>
        <v>-</v>
      </c>
      <c r="DI108" s="2" t="str">
        <f aca="false">IF(Y108="x","x",IF(Y108="-","-",""))</f>
        <v>-</v>
      </c>
      <c r="DJ108" s="2" t="str">
        <f aca="false">IF(Z108="x","x",IF(Z108="-","-",""))</f>
        <v>-</v>
      </c>
      <c r="DK108" s="2" t="str">
        <f aca="false">IF(AA108="x","x",IF(AA108="-","-",""))</f>
        <v>-</v>
      </c>
      <c r="DL108" s="10"/>
      <c r="DM108" s="2" t="str">
        <f aca="false">IF(AC108="x","x",IF(AC108="-","-",""))</f>
        <v>-</v>
      </c>
      <c r="DN108" s="2" t="str">
        <f aca="false">IF(AD108="x","x",IF(AD108="-","-",""))</f>
        <v>-</v>
      </c>
      <c r="DO108" s="2" t="str">
        <f aca="false">IF(AE108="x","x",IF(AE108="-","-",""))</f>
        <v>-</v>
      </c>
      <c r="DP108" s="2" t="str">
        <f aca="false">IF(AF108="x","x",IF(AF108="-","-",""))</f>
        <v>-</v>
      </c>
      <c r="DQ108" s="2" t="str">
        <f aca="false">IF(AG108="x","x",IF(AG108="-","-",""))</f>
        <v>-</v>
      </c>
      <c r="DR108" s="2" t="str">
        <f aca="false">IF(AH108="x","x",IF(AH108="-","-",""))</f>
        <v>-</v>
      </c>
      <c r="DS108" s="2" t="str">
        <f aca="false">IF(AI108="x","x",IF(AI108="-","-",""))</f>
        <v>-</v>
      </c>
      <c r="DT108" s="2" t="str">
        <f aca="false">IF(AJ108="x","x",IF(AJ108="-","-",""))</f>
        <v>-</v>
      </c>
      <c r="DU108" s="2" t="str">
        <f aca="false">IF(AK108="x","x",IF(AK108="-","-",""))</f>
        <v>-</v>
      </c>
      <c r="DV108" s="2" t="str">
        <f aca="false">IF(AL108="x","x",IF(AL108="-","-",""))</f>
        <v>-</v>
      </c>
      <c r="DW108" s="2" t="str">
        <f aca="false">IF(AM108="x","x",IF(AM108="-","-",""))</f>
        <v>-</v>
      </c>
      <c r="DX108" s="2" t="str">
        <f aca="false">IF(AN108="x","x",IF(AN108="-","-",""))</f>
        <v>-</v>
      </c>
    </row>
    <row r="109" customFormat="false" ht="13.8" hidden="false" customHeight="false" outlineLevel="0" collapsed="false">
      <c r="A109" s="10" t="s">
        <v>73</v>
      </c>
      <c r="B109" s="2" t="n">
        <v>108</v>
      </c>
      <c r="C109" s="1" t="s">
        <v>77</v>
      </c>
      <c r="D109" s="10" t="s">
        <v>92</v>
      </c>
      <c r="E109" s="10" t="s">
        <v>127</v>
      </c>
      <c r="F109" s="10"/>
      <c r="G109" s="10" t="s">
        <v>77</v>
      </c>
      <c r="H109" s="10" t="s">
        <v>77</v>
      </c>
      <c r="I109" s="10" t="s">
        <v>77</v>
      </c>
      <c r="J109" s="10" t="s">
        <v>77</v>
      </c>
      <c r="K109" s="10" t="s">
        <v>77</v>
      </c>
      <c r="L109" s="10" t="s">
        <v>77</v>
      </c>
      <c r="M109" s="2" t="n">
        <v>20</v>
      </c>
      <c r="N109" s="10" t="s">
        <v>77</v>
      </c>
      <c r="O109" s="10"/>
      <c r="P109" s="10" t="s">
        <v>77</v>
      </c>
      <c r="Q109" s="10" t="s">
        <v>77</v>
      </c>
      <c r="R109" s="10" t="s">
        <v>77</v>
      </c>
      <c r="S109" s="10" t="s">
        <v>77</v>
      </c>
      <c r="T109" s="10" t="s">
        <v>77</v>
      </c>
      <c r="U109" s="10" t="s">
        <v>77</v>
      </c>
      <c r="V109" s="10" t="s">
        <v>77</v>
      </c>
      <c r="W109" s="10" t="s">
        <v>77</v>
      </c>
      <c r="X109" s="10" t="s">
        <v>77</v>
      </c>
      <c r="Y109" s="10" t="s">
        <v>77</v>
      </c>
      <c r="Z109" s="10" t="s">
        <v>77</v>
      </c>
      <c r="AA109" s="10" t="s">
        <v>77</v>
      </c>
      <c r="AB109" s="10"/>
      <c r="AC109" s="10" t="s">
        <v>77</v>
      </c>
      <c r="AD109" s="10" t="s">
        <v>77</v>
      </c>
      <c r="AE109" s="10" t="s">
        <v>77</v>
      </c>
      <c r="AF109" s="10" t="s">
        <v>77</v>
      </c>
      <c r="AG109" s="10" t="s">
        <v>77</v>
      </c>
      <c r="AH109" s="10" t="s">
        <v>77</v>
      </c>
      <c r="AI109" s="10" t="s">
        <v>77</v>
      </c>
      <c r="AJ109" s="10" t="s">
        <v>77</v>
      </c>
      <c r="AK109" s="10" t="s">
        <v>77</v>
      </c>
      <c r="AL109" s="10" t="s">
        <v>77</v>
      </c>
      <c r="AM109" s="10" t="s">
        <v>77</v>
      </c>
      <c r="AN109" s="10" t="s">
        <v>77</v>
      </c>
      <c r="AO109" s="10"/>
      <c r="AP109" s="10" t="s">
        <v>73</v>
      </c>
      <c r="AQ109" s="10" t="s">
        <v>73</v>
      </c>
      <c r="AS109" s="10" t="s">
        <v>77</v>
      </c>
      <c r="AT109" s="10" t="s">
        <v>77</v>
      </c>
      <c r="AU109" s="10" t="s">
        <v>77</v>
      </c>
      <c r="AV109" s="10" t="s">
        <v>77</v>
      </c>
      <c r="AW109" s="10" t="s">
        <v>77</v>
      </c>
      <c r="AX109" s="10" t="s">
        <v>77</v>
      </c>
      <c r="AY109" s="10" t="s">
        <v>77</v>
      </c>
      <c r="AZ109" s="10" t="s">
        <v>77</v>
      </c>
      <c r="BA109" s="10" t="s">
        <v>77</v>
      </c>
      <c r="BB109" s="10" t="s">
        <v>77</v>
      </c>
      <c r="BC109" s="10" t="s">
        <v>77</v>
      </c>
      <c r="BD109" s="10" t="s">
        <v>77</v>
      </c>
      <c r="BE109" s="10" t="s">
        <v>77</v>
      </c>
      <c r="BF109" s="10" t="s">
        <v>77</v>
      </c>
      <c r="BG109" s="10" t="s">
        <v>77</v>
      </c>
      <c r="BH109" s="10" t="s">
        <v>77</v>
      </c>
      <c r="BI109" s="10" t="s">
        <v>77</v>
      </c>
      <c r="BJ109" s="10" t="s">
        <v>77</v>
      </c>
      <c r="BK109" s="10" t="s">
        <v>77</v>
      </c>
      <c r="BL109" s="10" t="s">
        <v>77</v>
      </c>
      <c r="BM109" s="10" t="s">
        <v>77</v>
      </c>
      <c r="BN109" s="10" t="s">
        <v>77</v>
      </c>
      <c r="BO109" s="10" t="s">
        <v>77</v>
      </c>
      <c r="BP109" s="10" t="s">
        <v>77</v>
      </c>
      <c r="BR109" s="10" t="s">
        <v>77</v>
      </c>
      <c r="BS109" s="10" t="s">
        <v>77</v>
      </c>
      <c r="BT109" s="10" t="s">
        <v>77</v>
      </c>
      <c r="BU109" s="10" t="s">
        <v>77</v>
      </c>
      <c r="BV109" s="10" t="s">
        <v>77</v>
      </c>
      <c r="BW109" s="10" t="s">
        <v>77</v>
      </c>
      <c r="BX109" s="10" t="s">
        <v>77</v>
      </c>
      <c r="BY109" s="10" t="s">
        <v>77</v>
      </c>
      <c r="CA109" s="2" t="str">
        <f aca="false">IF(AS109="x","x",IF(AS109="-","-",""))</f>
        <v>-</v>
      </c>
      <c r="CB109" s="2" t="str">
        <f aca="false">IF(AT109="x","x",IF(AT109="-","-",""))</f>
        <v>-</v>
      </c>
      <c r="CC109" s="2" t="str">
        <f aca="false">IF(AU109="x","x",IF(AU109="-","-",""))</f>
        <v>-</v>
      </c>
      <c r="CD109" s="2" t="str">
        <f aca="false">IF(AV109="x","x",IF(AV109="-","-",""))</f>
        <v>-</v>
      </c>
      <c r="CE109" s="2" t="str">
        <f aca="false">IF(AW109="x","x",IF(AW109="-","-",""))</f>
        <v>-</v>
      </c>
      <c r="CF109" s="2" t="str">
        <f aca="false">IF(AX109="x","x",IF(AX109="-","-",""))</f>
        <v>-</v>
      </c>
      <c r="CG109" s="2" t="str">
        <f aca="false">IF(AY109="x","x",IF(AY109="-","-",""))</f>
        <v>-</v>
      </c>
      <c r="CH109" s="2" t="str">
        <f aca="false">IF(AZ109="x","x",IF(AZ109="-","-",""))</f>
        <v>-</v>
      </c>
      <c r="CI109" s="2" t="str">
        <f aca="false">IF(BA109="x","x",IF(BA109="-","-",""))</f>
        <v>-</v>
      </c>
      <c r="CJ109" s="2" t="str">
        <f aca="false">IF(BB109="x","x",IF(BB109="-","-",""))</f>
        <v>-</v>
      </c>
      <c r="CK109" s="2" t="str">
        <f aca="false">IF(BC109="x","x",IF(BC109="-","-",""))</f>
        <v>-</v>
      </c>
      <c r="CL109" s="2" t="str">
        <f aca="false">IF(BD109="x","x",IF(BD109="-","-",""))</f>
        <v>-</v>
      </c>
      <c r="CM109" s="2" t="str">
        <f aca="false">IF(BE109="x","x",IF(BE109="-","-",""))</f>
        <v>-</v>
      </c>
      <c r="CN109" s="2" t="str">
        <f aca="false">IF(BF109="x","x",IF(BF109="-","-",""))</f>
        <v>-</v>
      </c>
      <c r="CO109" s="2" t="str">
        <f aca="false">IF(BG109="x","x",IF(BG109="-","-",""))</f>
        <v>-</v>
      </c>
      <c r="CP109" s="2" t="str">
        <f aca="false">IF(BH109="x","x",IF(BH109="-","-",""))</f>
        <v>-</v>
      </c>
      <c r="CQ109" s="2" t="str">
        <f aca="false">IF(BI109="x","x",IF(BI109="-","-",""))</f>
        <v>-</v>
      </c>
      <c r="CR109" s="2" t="str">
        <f aca="false">IF(BJ109="x","x",IF(BJ109="-","-",""))</f>
        <v>-</v>
      </c>
      <c r="CS109" s="2" t="str">
        <f aca="false">IF(BK109="x","x",IF(BK109="-","-",""))</f>
        <v>-</v>
      </c>
      <c r="CT109" s="2" t="str">
        <f aca="false">IF(BL109="x","x",IF(BL109="-","-",""))</f>
        <v>-</v>
      </c>
      <c r="CU109" s="2" t="str">
        <f aca="false">IF(BM109="x","x",IF(BM109="-","-",""))</f>
        <v>-</v>
      </c>
      <c r="CV109" s="2" t="str">
        <f aca="false">IF(BN109="x","x",IF(BN109="-","-",""))</f>
        <v>-</v>
      </c>
      <c r="CW109" s="2" t="str">
        <f aca="false">IF(BO109="x","x",IF(BO109="-","-",""))</f>
        <v>-</v>
      </c>
      <c r="CX109" s="2" t="str">
        <f aca="false">IF(BP109="x","x",IF(BP109="-","-",""))</f>
        <v>-</v>
      </c>
      <c r="CZ109" s="2" t="str">
        <f aca="false">IF(P109="x","x",IF(P109="-","-",""))</f>
        <v>-</v>
      </c>
      <c r="DA109" s="2" t="str">
        <f aca="false">IF(Q109="x","x",IF(Q109="-","-",""))</f>
        <v>-</v>
      </c>
      <c r="DB109" s="2" t="str">
        <f aca="false">IF(R109="x","x",IF(R109="-","-",""))</f>
        <v>-</v>
      </c>
      <c r="DC109" s="2" t="str">
        <f aca="false">IF(S109="x","x",IF(S109="-","-",""))</f>
        <v>-</v>
      </c>
      <c r="DD109" s="2" t="str">
        <f aca="false">IF(T109="x","x",IF(T109="-","-",""))</f>
        <v>-</v>
      </c>
      <c r="DE109" s="2" t="str">
        <f aca="false">IF(U109="x","x",IF(U109="-","-",""))</f>
        <v>-</v>
      </c>
      <c r="DF109" s="2" t="str">
        <f aca="false">IF(V109="x","x",IF(V109="-","-",""))</f>
        <v>-</v>
      </c>
      <c r="DG109" s="2" t="str">
        <f aca="false">IF(W109="x","x",IF(W109="-","-",""))</f>
        <v>-</v>
      </c>
      <c r="DH109" s="2" t="str">
        <f aca="false">IF(X109="x","x",IF(X109="-","-",""))</f>
        <v>-</v>
      </c>
      <c r="DI109" s="2" t="str">
        <f aca="false">IF(Y109="x","x",IF(Y109="-","-",""))</f>
        <v>-</v>
      </c>
      <c r="DJ109" s="2" t="str">
        <f aca="false">IF(Z109="x","x",IF(Z109="-","-",""))</f>
        <v>-</v>
      </c>
      <c r="DK109" s="2" t="str">
        <f aca="false">IF(AA109="x","x",IF(AA109="-","-",""))</f>
        <v>-</v>
      </c>
      <c r="DL109" s="10"/>
      <c r="DM109" s="2" t="str">
        <f aca="false">IF(AC109="x","x",IF(AC109="-","-",""))</f>
        <v>-</v>
      </c>
      <c r="DN109" s="2" t="str">
        <f aca="false">IF(AD109="x","x",IF(AD109="-","-",""))</f>
        <v>-</v>
      </c>
      <c r="DO109" s="2" t="str">
        <f aca="false">IF(AE109="x","x",IF(AE109="-","-",""))</f>
        <v>-</v>
      </c>
      <c r="DP109" s="2" t="str">
        <f aca="false">IF(AF109="x","x",IF(AF109="-","-",""))</f>
        <v>-</v>
      </c>
      <c r="DQ109" s="2" t="str">
        <f aca="false">IF(AG109="x","x",IF(AG109="-","-",""))</f>
        <v>-</v>
      </c>
      <c r="DR109" s="2" t="str">
        <f aca="false">IF(AH109="x","x",IF(AH109="-","-",""))</f>
        <v>-</v>
      </c>
      <c r="DS109" s="2" t="str">
        <f aca="false">IF(AI109="x","x",IF(AI109="-","-",""))</f>
        <v>-</v>
      </c>
      <c r="DT109" s="2" t="str">
        <f aca="false">IF(AJ109="x","x",IF(AJ109="-","-",""))</f>
        <v>-</v>
      </c>
      <c r="DU109" s="2" t="str">
        <f aca="false">IF(AK109="x","x",IF(AK109="-","-",""))</f>
        <v>-</v>
      </c>
      <c r="DV109" s="2" t="str">
        <f aca="false">IF(AL109="x","x",IF(AL109="-","-",""))</f>
        <v>-</v>
      </c>
      <c r="DW109" s="2" t="str">
        <f aca="false">IF(AM109="x","x",IF(AM109="-","-",""))</f>
        <v>-</v>
      </c>
      <c r="DX109" s="2" t="str">
        <f aca="false">IF(AN109="x","x",IF(AN109="-","-",""))</f>
        <v>-</v>
      </c>
    </row>
    <row r="110" customFormat="false" ht="13.8" hidden="false" customHeight="false" outlineLevel="0" collapsed="false">
      <c r="A110" s="10" t="s">
        <v>73</v>
      </c>
      <c r="B110" s="2" t="n">
        <v>109</v>
      </c>
      <c r="C110" s="1" t="s">
        <v>77</v>
      </c>
      <c r="D110" s="10" t="s">
        <v>92</v>
      </c>
      <c r="E110" s="10" t="s">
        <v>127</v>
      </c>
      <c r="F110" s="10"/>
      <c r="G110" s="10" t="s">
        <v>77</v>
      </c>
      <c r="H110" s="10" t="s">
        <v>77</v>
      </c>
      <c r="I110" s="10" t="s">
        <v>77</v>
      </c>
      <c r="J110" s="10" t="s">
        <v>77</v>
      </c>
      <c r="K110" s="10" t="s">
        <v>77</v>
      </c>
      <c r="L110" s="10" t="s">
        <v>77</v>
      </c>
      <c r="M110" s="2" t="n">
        <v>20</v>
      </c>
      <c r="N110" s="10" t="s">
        <v>77</v>
      </c>
      <c r="O110" s="10"/>
      <c r="P110" s="10" t="s">
        <v>77</v>
      </c>
      <c r="Q110" s="10" t="s">
        <v>77</v>
      </c>
      <c r="R110" s="10" t="s">
        <v>77</v>
      </c>
      <c r="S110" s="10" t="s">
        <v>77</v>
      </c>
      <c r="T110" s="10" t="s">
        <v>77</v>
      </c>
      <c r="U110" s="10" t="s">
        <v>77</v>
      </c>
      <c r="V110" s="10" t="s">
        <v>77</v>
      </c>
      <c r="W110" s="10" t="s">
        <v>77</v>
      </c>
      <c r="X110" s="10" t="s">
        <v>77</v>
      </c>
      <c r="Y110" s="10" t="s">
        <v>77</v>
      </c>
      <c r="Z110" s="10" t="s">
        <v>77</v>
      </c>
      <c r="AA110" s="10" t="s">
        <v>77</v>
      </c>
      <c r="AB110" s="10"/>
      <c r="AC110" s="10" t="s">
        <v>77</v>
      </c>
      <c r="AD110" s="10" t="s">
        <v>77</v>
      </c>
      <c r="AE110" s="10" t="s">
        <v>77</v>
      </c>
      <c r="AF110" s="10" t="s">
        <v>77</v>
      </c>
      <c r="AG110" s="10" t="s">
        <v>77</v>
      </c>
      <c r="AH110" s="10" t="s">
        <v>77</v>
      </c>
      <c r="AI110" s="10" t="s">
        <v>77</v>
      </c>
      <c r="AJ110" s="10" t="s">
        <v>77</v>
      </c>
      <c r="AK110" s="10" t="s">
        <v>77</v>
      </c>
      <c r="AL110" s="10" t="s">
        <v>77</v>
      </c>
      <c r="AM110" s="10" t="s">
        <v>77</v>
      </c>
      <c r="AN110" s="10" t="s">
        <v>77</v>
      </c>
      <c r="AO110" s="10"/>
      <c r="AP110" s="10" t="s">
        <v>73</v>
      </c>
      <c r="AQ110" s="10" t="s">
        <v>73</v>
      </c>
      <c r="AS110" s="10" t="s">
        <v>77</v>
      </c>
      <c r="AT110" s="10" t="s">
        <v>77</v>
      </c>
      <c r="AU110" s="10" t="s">
        <v>77</v>
      </c>
      <c r="AV110" s="10" t="s">
        <v>77</v>
      </c>
      <c r="AW110" s="10" t="s">
        <v>77</v>
      </c>
      <c r="AX110" s="10" t="s">
        <v>77</v>
      </c>
      <c r="AY110" s="10" t="s">
        <v>77</v>
      </c>
      <c r="AZ110" s="10" t="s">
        <v>77</v>
      </c>
      <c r="BA110" s="10" t="s">
        <v>77</v>
      </c>
      <c r="BB110" s="10" t="s">
        <v>77</v>
      </c>
      <c r="BC110" s="10" t="s">
        <v>77</v>
      </c>
      <c r="BD110" s="10" t="s">
        <v>77</v>
      </c>
      <c r="BE110" s="10" t="s">
        <v>77</v>
      </c>
      <c r="BF110" s="10" t="s">
        <v>77</v>
      </c>
      <c r="BG110" s="10" t="s">
        <v>77</v>
      </c>
      <c r="BH110" s="10" t="s">
        <v>77</v>
      </c>
      <c r="BI110" s="10" t="s">
        <v>77</v>
      </c>
      <c r="BJ110" s="10" t="s">
        <v>77</v>
      </c>
      <c r="BK110" s="10" t="s">
        <v>77</v>
      </c>
      <c r="BL110" s="10" t="s">
        <v>77</v>
      </c>
      <c r="BM110" s="10" t="s">
        <v>77</v>
      </c>
      <c r="BN110" s="10" t="s">
        <v>77</v>
      </c>
      <c r="BO110" s="10" t="s">
        <v>77</v>
      </c>
      <c r="BP110" s="10" t="s">
        <v>77</v>
      </c>
      <c r="BR110" s="10" t="s">
        <v>77</v>
      </c>
      <c r="BS110" s="10" t="s">
        <v>77</v>
      </c>
      <c r="BT110" s="10" t="s">
        <v>77</v>
      </c>
      <c r="BU110" s="10" t="s">
        <v>77</v>
      </c>
      <c r="BV110" s="10" t="s">
        <v>77</v>
      </c>
      <c r="BW110" s="10" t="s">
        <v>77</v>
      </c>
      <c r="BX110" s="10" t="s">
        <v>77</v>
      </c>
      <c r="BY110" s="10" t="s">
        <v>77</v>
      </c>
      <c r="CA110" s="2" t="str">
        <f aca="false">IF(AS110="x","x",IF(AS110="-","-",""))</f>
        <v>-</v>
      </c>
      <c r="CB110" s="2" t="str">
        <f aca="false">IF(AT110="x","x",IF(AT110="-","-",""))</f>
        <v>-</v>
      </c>
      <c r="CC110" s="2" t="str">
        <f aca="false">IF(AU110="x","x",IF(AU110="-","-",""))</f>
        <v>-</v>
      </c>
      <c r="CD110" s="2" t="str">
        <f aca="false">IF(AV110="x","x",IF(AV110="-","-",""))</f>
        <v>-</v>
      </c>
      <c r="CE110" s="2" t="str">
        <f aca="false">IF(AW110="x","x",IF(AW110="-","-",""))</f>
        <v>-</v>
      </c>
      <c r="CF110" s="2" t="str">
        <f aca="false">IF(AX110="x","x",IF(AX110="-","-",""))</f>
        <v>-</v>
      </c>
      <c r="CG110" s="2" t="str">
        <f aca="false">IF(AY110="x","x",IF(AY110="-","-",""))</f>
        <v>-</v>
      </c>
      <c r="CH110" s="2" t="str">
        <f aca="false">IF(AZ110="x","x",IF(AZ110="-","-",""))</f>
        <v>-</v>
      </c>
      <c r="CI110" s="2" t="str">
        <f aca="false">IF(BA110="x","x",IF(BA110="-","-",""))</f>
        <v>-</v>
      </c>
      <c r="CJ110" s="2" t="str">
        <f aca="false">IF(BB110="x","x",IF(BB110="-","-",""))</f>
        <v>-</v>
      </c>
      <c r="CK110" s="2" t="str">
        <f aca="false">IF(BC110="x","x",IF(BC110="-","-",""))</f>
        <v>-</v>
      </c>
      <c r="CL110" s="2" t="str">
        <f aca="false">IF(BD110="x","x",IF(BD110="-","-",""))</f>
        <v>-</v>
      </c>
      <c r="CM110" s="2" t="str">
        <f aca="false">IF(BE110="x","x",IF(BE110="-","-",""))</f>
        <v>-</v>
      </c>
      <c r="CN110" s="2" t="str">
        <f aca="false">IF(BF110="x","x",IF(BF110="-","-",""))</f>
        <v>-</v>
      </c>
      <c r="CO110" s="2" t="str">
        <f aca="false">IF(BG110="x","x",IF(BG110="-","-",""))</f>
        <v>-</v>
      </c>
      <c r="CP110" s="2" t="str">
        <f aca="false">IF(BH110="x","x",IF(BH110="-","-",""))</f>
        <v>-</v>
      </c>
      <c r="CQ110" s="2" t="str">
        <f aca="false">IF(BI110="x","x",IF(BI110="-","-",""))</f>
        <v>-</v>
      </c>
      <c r="CR110" s="2" t="str">
        <f aca="false">IF(BJ110="x","x",IF(BJ110="-","-",""))</f>
        <v>-</v>
      </c>
      <c r="CS110" s="2" t="str">
        <f aca="false">IF(BK110="x","x",IF(BK110="-","-",""))</f>
        <v>-</v>
      </c>
      <c r="CT110" s="2" t="str">
        <f aca="false">IF(BL110="x","x",IF(BL110="-","-",""))</f>
        <v>-</v>
      </c>
      <c r="CU110" s="2" t="str">
        <f aca="false">IF(BM110="x","x",IF(BM110="-","-",""))</f>
        <v>-</v>
      </c>
      <c r="CV110" s="2" t="str">
        <f aca="false">IF(BN110="x","x",IF(BN110="-","-",""))</f>
        <v>-</v>
      </c>
      <c r="CW110" s="2" t="str">
        <f aca="false">IF(BO110="x","x",IF(BO110="-","-",""))</f>
        <v>-</v>
      </c>
      <c r="CX110" s="2" t="str">
        <f aca="false">IF(BP110="x","x",IF(BP110="-","-",""))</f>
        <v>-</v>
      </c>
      <c r="CZ110" s="2" t="str">
        <f aca="false">IF(P110="x","x",IF(P110="-","-",""))</f>
        <v>-</v>
      </c>
      <c r="DA110" s="2" t="str">
        <f aca="false">IF(Q110="x","x",IF(Q110="-","-",""))</f>
        <v>-</v>
      </c>
      <c r="DB110" s="2" t="str">
        <f aca="false">IF(R110="x","x",IF(R110="-","-",""))</f>
        <v>-</v>
      </c>
      <c r="DC110" s="2" t="str">
        <f aca="false">IF(S110="x","x",IF(S110="-","-",""))</f>
        <v>-</v>
      </c>
      <c r="DD110" s="2" t="str">
        <f aca="false">IF(T110="x","x",IF(T110="-","-",""))</f>
        <v>-</v>
      </c>
      <c r="DE110" s="2" t="str">
        <f aca="false">IF(U110="x","x",IF(U110="-","-",""))</f>
        <v>-</v>
      </c>
      <c r="DF110" s="2" t="str">
        <f aca="false">IF(V110="x","x",IF(V110="-","-",""))</f>
        <v>-</v>
      </c>
      <c r="DG110" s="2" t="str">
        <f aca="false">IF(W110="x","x",IF(W110="-","-",""))</f>
        <v>-</v>
      </c>
      <c r="DH110" s="2" t="str">
        <f aca="false">IF(X110="x","x",IF(X110="-","-",""))</f>
        <v>-</v>
      </c>
      <c r="DI110" s="2" t="str">
        <f aca="false">IF(Y110="x","x",IF(Y110="-","-",""))</f>
        <v>-</v>
      </c>
      <c r="DJ110" s="2" t="str">
        <f aca="false">IF(Z110="x","x",IF(Z110="-","-",""))</f>
        <v>-</v>
      </c>
      <c r="DK110" s="2" t="str">
        <f aca="false">IF(AA110="x","x",IF(AA110="-","-",""))</f>
        <v>-</v>
      </c>
      <c r="DL110" s="10"/>
      <c r="DM110" s="2" t="str">
        <f aca="false">IF(AC110="x","x",IF(AC110="-","-",""))</f>
        <v>-</v>
      </c>
      <c r="DN110" s="2" t="str">
        <f aca="false">IF(AD110="x","x",IF(AD110="-","-",""))</f>
        <v>-</v>
      </c>
      <c r="DO110" s="2" t="str">
        <f aca="false">IF(AE110="x","x",IF(AE110="-","-",""))</f>
        <v>-</v>
      </c>
      <c r="DP110" s="2" t="str">
        <f aca="false">IF(AF110="x","x",IF(AF110="-","-",""))</f>
        <v>-</v>
      </c>
      <c r="DQ110" s="2" t="str">
        <f aca="false">IF(AG110="x","x",IF(AG110="-","-",""))</f>
        <v>-</v>
      </c>
      <c r="DR110" s="2" t="str">
        <f aca="false">IF(AH110="x","x",IF(AH110="-","-",""))</f>
        <v>-</v>
      </c>
      <c r="DS110" s="2" t="str">
        <f aca="false">IF(AI110="x","x",IF(AI110="-","-",""))</f>
        <v>-</v>
      </c>
      <c r="DT110" s="2" t="str">
        <f aca="false">IF(AJ110="x","x",IF(AJ110="-","-",""))</f>
        <v>-</v>
      </c>
      <c r="DU110" s="2" t="str">
        <f aca="false">IF(AK110="x","x",IF(AK110="-","-",""))</f>
        <v>-</v>
      </c>
      <c r="DV110" s="2" t="str">
        <f aca="false">IF(AL110="x","x",IF(AL110="-","-",""))</f>
        <v>-</v>
      </c>
      <c r="DW110" s="2" t="str">
        <f aca="false">IF(AM110="x","x",IF(AM110="-","-",""))</f>
        <v>-</v>
      </c>
      <c r="DX110" s="2" t="str">
        <f aca="false">IF(AN110="x","x",IF(AN110="-","-",""))</f>
        <v>-</v>
      </c>
    </row>
    <row r="111" customFormat="false" ht="13.8" hidden="false" customHeight="false" outlineLevel="0" collapsed="false">
      <c r="A111" s="10" t="s">
        <v>73</v>
      </c>
      <c r="B111" s="2" t="n">
        <v>110</v>
      </c>
      <c r="C111" s="1" t="s">
        <v>77</v>
      </c>
      <c r="D111" s="10" t="s">
        <v>92</v>
      </c>
      <c r="E111" s="10" t="s">
        <v>127</v>
      </c>
      <c r="F111" s="10"/>
      <c r="G111" s="10" t="s">
        <v>77</v>
      </c>
      <c r="H111" s="10" t="s">
        <v>77</v>
      </c>
      <c r="I111" s="10" t="s">
        <v>77</v>
      </c>
      <c r="J111" s="10" t="s">
        <v>77</v>
      </c>
      <c r="K111" s="10" t="s">
        <v>77</v>
      </c>
      <c r="L111" s="10" t="s">
        <v>77</v>
      </c>
      <c r="M111" s="2" t="n">
        <v>20</v>
      </c>
      <c r="N111" s="10" t="s">
        <v>77</v>
      </c>
      <c r="O111" s="10"/>
      <c r="P111" s="10" t="s">
        <v>77</v>
      </c>
      <c r="Q111" s="10" t="s">
        <v>77</v>
      </c>
      <c r="R111" s="10" t="s">
        <v>77</v>
      </c>
      <c r="S111" s="10" t="s">
        <v>77</v>
      </c>
      <c r="T111" s="10" t="s">
        <v>77</v>
      </c>
      <c r="U111" s="10" t="s">
        <v>77</v>
      </c>
      <c r="V111" s="10" t="s">
        <v>77</v>
      </c>
      <c r="W111" s="10" t="s">
        <v>77</v>
      </c>
      <c r="X111" s="10" t="s">
        <v>77</v>
      </c>
      <c r="Y111" s="10" t="s">
        <v>77</v>
      </c>
      <c r="Z111" s="10" t="s">
        <v>77</v>
      </c>
      <c r="AA111" s="10" t="s">
        <v>77</v>
      </c>
      <c r="AB111" s="10"/>
      <c r="AC111" s="10" t="s">
        <v>77</v>
      </c>
      <c r="AD111" s="10" t="s">
        <v>77</v>
      </c>
      <c r="AE111" s="10" t="s">
        <v>77</v>
      </c>
      <c r="AF111" s="10" t="s">
        <v>77</v>
      </c>
      <c r="AG111" s="10" t="s">
        <v>77</v>
      </c>
      <c r="AH111" s="10" t="s">
        <v>77</v>
      </c>
      <c r="AI111" s="10" t="s">
        <v>77</v>
      </c>
      <c r="AJ111" s="10" t="s">
        <v>77</v>
      </c>
      <c r="AK111" s="10" t="s">
        <v>77</v>
      </c>
      <c r="AL111" s="10" t="s">
        <v>77</v>
      </c>
      <c r="AM111" s="10" t="s">
        <v>77</v>
      </c>
      <c r="AN111" s="10" t="s">
        <v>77</v>
      </c>
      <c r="AO111" s="10"/>
      <c r="AP111" s="10" t="s">
        <v>73</v>
      </c>
      <c r="AQ111" s="10" t="s">
        <v>73</v>
      </c>
      <c r="AS111" s="10" t="s">
        <v>77</v>
      </c>
      <c r="AT111" s="10" t="s">
        <v>77</v>
      </c>
      <c r="AU111" s="10" t="s">
        <v>77</v>
      </c>
      <c r="AV111" s="10" t="s">
        <v>77</v>
      </c>
      <c r="AW111" s="10" t="s">
        <v>77</v>
      </c>
      <c r="AX111" s="10" t="s">
        <v>77</v>
      </c>
      <c r="AY111" s="10" t="s">
        <v>77</v>
      </c>
      <c r="AZ111" s="10" t="s">
        <v>77</v>
      </c>
      <c r="BA111" s="10" t="s">
        <v>77</v>
      </c>
      <c r="BB111" s="10" t="s">
        <v>77</v>
      </c>
      <c r="BC111" s="10" t="s">
        <v>77</v>
      </c>
      <c r="BD111" s="10" t="s">
        <v>77</v>
      </c>
      <c r="BE111" s="10" t="s">
        <v>77</v>
      </c>
      <c r="BF111" s="10" t="s">
        <v>77</v>
      </c>
      <c r="BG111" s="10" t="s">
        <v>77</v>
      </c>
      <c r="BH111" s="10" t="s">
        <v>77</v>
      </c>
      <c r="BI111" s="10" t="s">
        <v>77</v>
      </c>
      <c r="BJ111" s="10" t="s">
        <v>77</v>
      </c>
      <c r="BK111" s="10" t="s">
        <v>77</v>
      </c>
      <c r="BL111" s="10" t="s">
        <v>77</v>
      </c>
      <c r="BM111" s="10" t="s">
        <v>77</v>
      </c>
      <c r="BN111" s="10" t="s">
        <v>77</v>
      </c>
      <c r="BO111" s="10" t="s">
        <v>77</v>
      </c>
      <c r="BP111" s="10" t="s">
        <v>77</v>
      </c>
      <c r="BR111" s="10" t="s">
        <v>77</v>
      </c>
      <c r="BS111" s="10" t="s">
        <v>77</v>
      </c>
      <c r="BT111" s="10" t="s">
        <v>77</v>
      </c>
      <c r="BU111" s="10" t="s">
        <v>77</v>
      </c>
      <c r="BV111" s="10" t="s">
        <v>77</v>
      </c>
      <c r="BW111" s="10" t="s">
        <v>77</v>
      </c>
      <c r="BX111" s="10" t="s">
        <v>77</v>
      </c>
      <c r="BY111" s="10" t="s">
        <v>77</v>
      </c>
      <c r="CA111" s="2" t="str">
        <f aca="false">IF(AS111="x","x",IF(AS111="-","-",""))</f>
        <v>-</v>
      </c>
      <c r="CB111" s="2" t="str">
        <f aca="false">IF(AT111="x","x",IF(AT111="-","-",""))</f>
        <v>-</v>
      </c>
      <c r="CC111" s="2" t="str">
        <f aca="false">IF(AU111="x","x",IF(AU111="-","-",""))</f>
        <v>-</v>
      </c>
      <c r="CD111" s="2" t="str">
        <f aca="false">IF(AV111="x","x",IF(AV111="-","-",""))</f>
        <v>-</v>
      </c>
      <c r="CE111" s="2" t="str">
        <f aca="false">IF(AW111="x","x",IF(AW111="-","-",""))</f>
        <v>-</v>
      </c>
      <c r="CF111" s="2" t="str">
        <f aca="false">IF(AX111="x","x",IF(AX111="-","-",""))</f>
        <v>-</v>
      </c>
      <c r="CG111" s="2" t="str">
        <f aca="false">IF(AY111="x","x",IF(AY111="-","-",""))</f>
        <v>-</v>
      </c>
      <c r="CH111" s="2" t="str">
        <f aca="false">IF(AZ111="x","x",IF(AZ111="-","-",""))</f>
        <v>-</v>
      </c>
      <c r="CI111" s="2" t="str">
        <f aca="false">IF(BA111="x","x",IF(BA111="-","-",""))</f>
        <v>-</v>
      </c>
      <c r="CJ111" s="2" t="str">
        <f aca="false">IF(BB111="x","x",IF(BB111="-","-",""))</f>
        <v>-</v>
      </c>
      <c r="CK111" s="2" t="str">
        <f aca="false">IF(BC111="x","x",IF(BC111="-","-",""))</f>
        <v>-</v>
      </c>
      <c r="CL111" s="2" t="str">
        <f aca="false">IF(BD111="x","x",IF(BD111="-","-",""))</f>
        <v>-</v>
      </c>
      <c r="CM111" s="2" t="str">
        <f aca="false">IF(BE111="x","x",IF(BE111="-","-",""))</f>
        <v>-</v>
      </c>
      <c r="CN111" s="2" t="str">
        <f aca="false">IF(BF111="x","x",IF(BF111="-","-",""))</f>
        <v>-</v>
      </c>
      <c r="CO111" s="2" t="str">
        <f aca="false">IF(BG111="x","x",IF(BG111="-","-",""))</f>
        <v>-</v>
      </c>
      <c r="CP111" s="2" t="str">
        <f aca="false">IF(BH111="x","x",IF(BH111="-","-",""))</f>
        <v>-</v>
      </c>
      <c r="CQ111" s="2" t="str">
        <f aca="false">IF(BI111="x","x",IF(BI111="-","-",""))</f>
        <v>-</v>
      </c>
      <c r="CR111" s="2" t="str">
        <f aca="false">IF(BJ111="x","x",IF(BJ111="-","-",""))</f>
        <v>-</v>
      </c>
      <c r="CS111" s="2" t="str">
        <f aca="false">IF(BK111="x","x",IF(BK111="-","-",""))</f>
        <v>-</v>
      </c>
      <c r="CT111" s="2" t="str">
        <f aca="false">IF(BL111="x","x",IF(BL111="-","-",""))</f>
        <v>-</v>
      </c>
      <c r="CU111" s="2" t="str">
        <f aca="false">IF(BM111="x","x",IF(BM111="-","-",""))</f>
        <v>-</v>
      </c>
      <c r="CV111" s="2" t="str">
        <f aca="false">IF(BN111="x","x",IF(BN111="-","-",""))</f>
        <v>-</v>
      </c>
      <c r="CW111" s="2" t="str">
        <f aca="false">IF(BO111="x","x",IF(BO111="-","-",""))</f>
        <v>-</v>
      </c>
      <c r="CX111" s="2" t="str">
        <f aca="false">IF(BP111="x","x",IF(BP111="-","-",""))</f>
        <v>-</v>
      </c>
      <c r="CZ111" s="2" t="str">
        <f aca="false">IF(P111="x","x",IF(P111="-","-",""))</f>
        <v>-</v>
      </c>
      <c r="DA111" s="2" t="str">
        <f aca="false">IF(Q111="x","x",IF(Q111="-","-",""))</f>
        <v>-</v>
      </c>
      <c r="DB111" s="2" t="str">
        <f aca="false">IF(R111="x","x",IF(R111="-","-",""))</f>
        <v>-</v>
      </c>
      <c r="DC111" s="2" t="str">
        <f aca="false">IF(S111="x","x",IF(S111="-","-",""))</f>
        <v>-</v>
      </c>
      <c r="DD111" s="2" t="str">
        <f aca="false">IF(T111="x","x",IF(T111="-","-",""))</f>
        <v>-</v>
      </c>
      <c r="DE111" s="2" t="str">
        <f aca="false">IF(U111="x","x",IF(U111="-","-",""))</f>
        <v>-</v>
      </c>
      <c r="DF111" s="2" t="str">
        <f aca="false">IF(V111="x","x",IF(V111="-","-",""))</f>
        <v>-</v>
      </c>
      <c r="DG111" s="2" t="str">
        <f aca="false">IF(W111="x","x",IF(W111="-","-",""))</f>
        <v>-</v>
      </c>
      <c r="DH111" s="2" t="str">
        <f aca="false">IF(X111="x","x",IF(X111="-","-",""))</f>
        <v>-</v>
      </c>
      <c r="DI111" s="2" t="str">
        <f aca="false">IF(Y111="x","x",IF(Y111="-","-",""))</f>
        <v>-</v>
      </c>
      <c r="DJ111" s="2" t="str">
        <f aca="false">IF(Z111="x","x",IF(Z111="-","-",""))</f>
        <v>-</v>
      </c>
      <c r="DK111" s="2" t="str">
        <f aca="false">IF(AA111="x","x",IF(AA111="-","-",""))</f>
        <v>-</v>
      </c>
      <c r="DL111" s="10"/>
      <c r="DM111" s="2" t="str">
        <f aca="false">IF(AC111="x","x",IF(AC111="-","-",""))</f>
        <v>-</v>
      </c>
      <c r="DN111" s="2" t="str">
        <f aca="false">IF(AD111="x","x",IF(AD111="-","-",""))</f>
        <v>-</v>
      </c>
      <c r="DO111" s="2" t="str">
        <f aca="false">IF(AE111="x","x",IF(AE111="-","-",""))</f>
        <v>-</v>
      </c>
      <c r="DP111" s="2" t="str">
        <f aca="false">IF(AF111="x","x",IF(AF111="-","-",""))</f>
        <v>-</v>
      </c>
      <c r="DQ111" s="2" t="str">
        <f aca="false">IF(AG111="x","x",IF(AG111="-","-",""))</f>
        <v>-</v>
      </c>
      <c r="DR111" s="2" t="str">
        <f aca="false">IF(AH111="x","x",IF(AH111="-","-",""))</f>
        <v>-</v>
      </c>
      <c r="DS111" s="2" t="str">
        <f aca="false">IF(AI111="x","x",IF(AI111="-","-",""))</f>
        <v>-</v>
      </c>
      <c r="DT111" s="2" t="str">
        <f aca="false">IF(AJ111="x","x",IF(AJ111="-","-",""))</f>
        <v>-</v>
      </c>
      <c r="DU111" s="2" t="str">
        <f aca="false">IF(AK111="x","x",IF(AK111="-","-",""))</f>
        <v>-</v>
      </c>
      <c r="DV111" s="2" t="str">
        <f aca="false">IF(AL111="x","x",IF(AL111="-","-",""))</f>
        <v>-</v>
      </c>
      <c r="DW111" s="2" t="str">
        <f aca="false">IF(AM111="x","x",IF(AM111="-","-",""))</f>
        <v>-</v>
      </c>
      <c r="DX111" s="2" t="str">
        <f aca="false">IF(AN111="x","x",IF(AN111="-","-",""))</f>
        <v>-</v>
      </c>
    </row>
    <row r="112" customFormat="false" ht="13.8" hidden="false" customHeight="false" outlineLevel="0" collapsed="false">
      <c r="A112" s="10" t="s">
        <v>73</v>
      </c>
      <c r="B112" s="2" t="n">
        <v>111</v>
      </c>
      <c r="C112" s="1" t="s">
        <v>77</v>
      </c>
      <c r="D112" s="10" t="s">
        <v>92</v>
      </c>
      <c r="E112" s="10" t="s">
        <v>127</v>
      </c>
      <c r="F112" s="10"/>
      <c r="G112" s="10" t="s">
        <v>77</v>
      </c>
      <c r="H112" s="10" t="s">
        <v>77</v>
      </c>
      <c r="I112" s="10" t="s">
        <v>77</v>
      </c>
      <c r="J112" s="10" t="s">
        <v>77</v>
      </c>
      <c r="K112" s="10" t="s">
        <v>77</v>
      </c>
      <c r="L112" s="10" t="s">
        <v>77</v>
      </c>
      <c r="M112" s="2" t="n">
        <v>20</v>
      </c>
      <c r="N112" s="10" t="s">
        <v>77</v>
      </c>
      <c r="O112" s="10"/>
      <c r="P112" s="10" t="s">
        <v>77</v>
      </c>
      <c r="Q112" s="10" t="s">
        <v>77</v>
      </c>
      <c r="R112" s="10" t="s">
        <v>77</v>
      </c>
      <c r="S112" s="10" t="s">
        <v>77</v>
      </c>
      <c r="T112" s="10" t="s">
        <v>77</v>
      </c>
      <c r="U112" s="10" t="s">
        <v>77</v>
      </c>
      <c r="V112" s="10" t="s">
        <v>77</v>
      </c>
      <c r="W112" s="10" t="s">
        <v>77</v>
      </c>
      <c r="X112" s="10" t="s">
        <v>77</v>
      </c>
      <c r="Y112" s="10" t="s">
        <v>77</v>
      </c>
      <c r="Z112" s="10" t="s">
        <v>77</v>
      </c>
      <c r="AA112" s="10" t="s">
        <v>77</v>
      </c>
      <c r="AB112" s="10"/>
      <c r="AC112" s="10" t="s">
        <v>77</v>
      </c>
      <c r="AD112" s="10" t="s">
        <v>77</v>
      </c>
      <c r="AE112" s="10" t="s">
        <v>77</v>
      </c>
      <c r="AF112" s="10" t="s">
        <v>77</v>
      </c>
      <c r="AG112" s="10" t="s">
        <v>77</v>
      </c>
      <c r="AH112" s="10" t="s">
        <v>77</v>
      </c>
      <c r="AI112" s="10" t="s">
        <v>77</v>
      </c>
      <c r="AJ112" s="10" t="s">
        <v>77</v>
      </c>
      <c r="AK112" s="10" t="s">
        <v>77</v>
      </c>
      <c r="AL112" s="10" t="s">
        <v>77</v>
      </c>
      <c r="AM112" s="10" t="s">
        <v>77</v>
      </c>
      <c r="AN112" s="10" t="s">
        <v>77</v>
      </c>
      <c r="AO112" s="10"/>
      <c r="AP112" s="10" t="s">
        <v>73</v>
      </c>
      <c r="AQ112" s="10" t="s">
        <v>73</v>
      </c>
      <c r="AS112" s="10" t="s">
        <v>77</v>
      </c>
      <c r="AT112" s="10" t="s">
        <v>77</v>
      </c>
      <c r="AU112" s="10" t="s">
        <v>77</v>
      </c>
      <c r="AV112" s="10" t="s">
        <v>77</v>
      </c>
      <c r="AW112" s="10" t="s">
        <v>77</v>
      </c>
      <c r="AX112" s="10" t="s">
        <v>77</v>
      </c>
      <c r="AY112" s="10" t="s">
        <v>77</v>
      </c>
      <c r="AZ112" s="10" t="s">
        <v>77</v>
      </c>
      <c r="BA112" s="10" t="s">
        <v>77</v>
      </c>
      <c r="BB112" s="10" t="s">
        <v>77</v>
      </c>
      <c r="BC112" s="10" t="s">
        <v>77</v>
      </c>
      <c r="BD112" s="10" t="s">
        <v>77</v>
      </c>
      <c r="BE112" s="10" t="s">
        <v>77</v>
      </c>
      <c r="BF112" s="10" t="s">
        <v>77</v>
      </c>
      <c r="BG112" s="10" t="s">
        <v>77</v>
      </c>
      <c r="BH112" s="10" t="s">
        <v>77</v>
      </c>
      <c r="BI112" s="10" t="s">
        <v>77</v>
      </c>
      <c r="BJ112" s="10" t="s">
        <v>77</v>
      </c>
      <c r="BK112" s="10" t="s">
        <v>77</v>
      </c>
      <c r="BL112" s="10" t="s">
        <v>77</v>
      </c>
      <c r="BM112" s="10" t="s">
        <v>77</v>
      </c>
      <c r="BN112" s="10" t="s">
        <v>77</v>
      </c>
      <c r="BO112" s="10" t="s">
        <v>77</v>
      </c>
      <c r="BP112" s="10" t="s">
        <v>77</v>
      </c>
      <c r="BR112" s="10" t="s">
        <v>77</v>
      </c>
      <c r="BS112" s="10" t="s">
        <v>77</v>
      </c>
      <c r="BT112" s="10" t="s">
        <v>77</v>
      </c>
      <c r="BU112" s="10" t="s">
        <v>77</v>
      </c>
      <c r="BV112" s="10" t="s">
        <v>77</v>
      </c>
      <c r="BW112" s="10" t="s">
        <v>77</v>
      </c>
      <c r="BX112" s="10" t="s">
        <v>77</v>
      </c>
      <c r="BY112" s="10" t="s">
        <v>77</v>
      </c>
      <c r="CA112" s="2" t="str">
        <f aca="false">IF(AS112="x","x",IF(AS112="-","-",""))</f>
        <v>-</v>
      </c>
      <c r="CB112" s="2" t="str">
        <f aca="false">IF(AT112="x","x",IF(AT112="-","-",""))</f>
        <v>-</v>
      </c>
      <c r="CC112" s="2" t="str">
        <f aca="false">IF(AU112="x","x",IF(AU112="-","-",""))</f>
        <v>-</v>
      </c>
      <c r="CD112" s="2" t="str">
        <f aca="false">IF(AV112="x","x",IF(AV112="-","-",""))</f>
        <v>-</v>
      </c>
      <c r="CE112" s="2" t="str">
        <f aca="false">IF(AW112="x","x",IF(AW112="-","-",""))</f>
        <v>-</v>
      </c>
      <c r="CF112" s="2" t="str">
        <f aca="false">IF(AX112="x","x",IF(AX112="-","-",""))</f>
        <v>-</v>
      </c>
      <c r="CG112" s="2" t="str">
        <f aca="false">IF(AY112="x","x",IF(AY112="-","-",""))</f>
        <v>-</v>
      </c>
      <c r="CH112" s="2" t="str">
        <f aca="false">IF(AZ112="x","x",IF(AZ112="-","-",""))</f>
        <v>-</v>
      </c>
      <c r="CI112" s="2" t="str">
        <f aca="false">IF(BA112="x","x",IF(BA112="-","-",""))</f>
        <v>-</v>
      </c>
      <c r="CJ112" s="2" t="str">
        <f aca="false">IF(BB112="x","x",IF(BB112="-","-",""))</f>
        <v>-</v>
      </c>
      <c r="CK112" s="2" t="str">
        <f aca="false">IF(BC112="x","x",IF(BC112="-","-",""))</f>
        <v>-</v>
      </c>
      <c r="CL112" s="2" t="str">
        <f aca="false">IF(BD112="x","x",IF(BD112="-","-",""))</f>
        <v>-</v>
      </c>
      <c r="CM112" s="2" t="str">
        <f aca="false">IF(BE112="x","x",IF(BE112="-","-",""))</f>
        <v>-</v>
      </c>
      <c r="CN112" s="2" t="str">
        <f aca="false">IF(BF112="x","x",IF(BF112="-","-",""))</f>
        <v>-</v>
      </c>
      <c r="CO112" s="2" t="str">
        <f aca="false">IF(BG112="x","x",IF(BG112="-","-",""))</f>
        <v>-</v>
      </c>
      <c r="CP112" s="2" t="str">
        <f aca="false">IF(BH112="x","x",IF(BH112="-","-",""))</f>
        <v>-</v>
      </c>
      <c r="CQ112" s="2" t="str">
        <f aca="false">IF(BI112="x","x",IF(BI112="-","-",""))</f>
        <v>-</v>
      </c>
      <c r="CR112" s="2" t="str">
        <f aca="false">IF(BJ112="x","x",IF(BJ112="-","-",""))</f>
        <v>-</v>
      </c>
      <c r="CS112" s="2" t="str">
        <f aca="false">IF(BK112="x","x",IF(BK112="-","-",""))</f>
        <v>-</v>
      </c>
      <c r="CT112" s="2" t="str">
        <f aca="false">IF(BL112="x","x",IF(BL112="-","-",""))</f>
        <v>-</v>
      </c>
      <c r="CU112" s="2" t="str">
        <f aca="false">IF(BM112="x","x",IF(BM112="-","-",""))</f>
        <v>-</v>
      </c>
      <c r="CV112" s="2" t="str">
        <f aca="false">IF(BN112="x","x",IF(BN112="-","-",""))</f>
        <v>-</v>
      </c>
      <c r="CW112" s="2" t="str">
        <f aca="false">IF(BO112="x","x",IF(BO112="-","-",""))</f>
        <v>-</v>
      </c>
      <c r="CX112" s="2" t="str">
        <f aca="false">IF(BP112="x","x",IF(BP112="-","-",""))</f>
        <v>-</v>
      </c>
      <c r="CZ112" s="2" t="str">
        <f aca="false">IF(P112="x","x",IF(P112="-","-",""))</f>
        <v>-</v>
      </c>
      <c r="DA112" s="2" t="str">
        <f aca="false">IF(Q112="x","x",IF(Q112="-","-",""))</f>
        <v>-</v>
      </c>
      <c r="DB112" s="2" t="str">
        <f aca="false">IF(R112="x","x",IF(R112="-","-",""))</f>
        <v>-</v>
      </c>
      <c r="DC112" s="2" t="str">
        <f aca="false">IF(S112="x","x",IF(S112="-","-",""))</f>
        <v>-</v>
      </c>
      <c r="DD112" s="2" t="str">
        <f aca="false">IF(T112="x","x",IF(T112="-","-",""))</f>
        <v>-</v>
      </c>
      <c r="DE112" s="2" t="str">
        <f aca="false">IF(U112="x","x",IF(U112="-","-",""))</f>
        <v>-</v>
      </c>
      <c r="DF112" s="2" t="str">
        <f aca="false">IF(V112="x","x",IF(V112="-","-",""))</f>
        <v>-</v>
      </c>
      <c r="DG112" s="2" t="str">
        <f aca="false">IF(W112="x","x",IF(W112="-","-",""))</f>
        <v>-</v>
      </c>
      <c r="DH112" s="2" t="str">
        <f aca="false">IF(X112="x","x",IF(X112="-","-",""))</f>
        <v>-</v>
      </c>
      <c r="DI112" s="2" t="str">
        <f aca="false">IF(Y112="x","x",IF(Y112="-","-",""))</f>
        <v>-</v>
      </c>
      <c r="DJ112" s="2" t="str">
        <f aca="false">IF(Z112="x","x",IF(Z112="-","-",""))</f>
        <v>-</v>
      </c>
      <c r="DK112" s="2" t="str">
        <f aca="false">IF(AA112="x","x",IF(AA112="-","-",""))</f>
        <v>-</v>
      </c>
      <c r="DL112" s="10"/>
      <c r="DM112" s="2" t="str">
        <f aca="false">IF(AC112="x","x",IF(AC112="-","-",""))</f>
        <v>-</v>
      </c>
      <c r="DN112" s="2" t="str">
        <f aca="false">IF(AD112="x","x",IF(AD112="-","-",""))</f>
        <v>-</v>
      </c>
      <c r="DO112" s="2" t="str">
        <f aca="false">IF(AE112="x","x",IF(AE112="-","-",""))</f>
        <v>-</v>
      </c>
      <c r="DP112" s="2" t="str">
        <f aca="false">IF(AF112="x","x",IF(AF112="-","-",""))</f>
        <v>-</v>
      </c>
      <c r="DQ112" s="2" t="str">
        <f aca="false">IF(AG112="x","x",IF(AG112="-","-",""))</f>
        <v>-</v>
      </c>
      <c r="DR112" s="2" t="str">
        <f aca="false">IF(AH112="x","x",IF(AH112="-","-",""))</f>
        <v>-</v>
      </c>
      <c r="DS112" s="2" t="str">
        <f aca="false">IF(AI112="x","x",IF(AI112="-","-",""))</f>
        <v>-</v>
      </c>
      <c r="DT112" s="2" t="str">
        <f aca="false">IF(AJ112="x","x",IF(AJ112="-","-",""))</f>
        <v>-</v>
      </c>
      <c r="DU112" s="2" t="str">
        <f aca="false">IF(AK112="x","x",IF(AK112="-","-",""))</f>
        <v>-</v>
      </c>
      <c r="DV112" s="2" t="str">
        <f aca="false">IF(AL112="x","x",IF(AL112="-","-",""))</f>
        <v>-</v>
      </c>
      <c r="DW112" s="2" t="str">
        <f aca="false">IF(AM112="x","x",IF(AM112="-","-",""))</f>
        <v>-</v>
      </c>
      <c r="DX112" s="2" t="str">
        <f aca="false">IF(AN112="x","x",IF(AN112="-","-",""))</f>
        <v>-</v>
      </c>
    </row>
    <row r="113" customFormat="false" ht="13.8" hidden="false" customHeight="false" outlineLevel="0" collapsed="false">
      <c r="A113" s="10" t="s">
        <v>73</v>
      </c>
      <c r="B113" s="2" t="n">
        <v>112</v>
      </c>
      <c r="C113" s="1" t="s">
        <v>77</v>
      </c>
      <c r="D113" s="10" t="s">
        <v>92</v>
      </c>
      <c r="E113" s="10" t="s">
        <v>127</v>
      </c>
      <c r="F113" s="10"/>
      <c r="G113" s="10" t="s">
        <v>77</v>
      </c>
      <c r="H113" s="10" t="s">
        <v>77</v>
      </c>
      <c r="I113" s="10" t="s">
        <v>77</v>
      </c>
      <c r="J113" s="10" t="s">
        <v>77</v>
      </c>
      <c r="K113" s="10" t="s">
        <v>77</v>
      </c>
      <c r="L113" s="10" t="s">
        <v>77</v>
      </c>
      <c r="M113" s="2" t="n">
        <v>20</v>
      </c>
      <c r="N113" s="10" t="s">
        <v>77</v>
      </c>
      <c r="O113" s="10"/>
      <c r="P113" s="10" t="s">
        <v>77</v>
      </c>
      <c r="Q113" s="10" t="s">
        <v>77</v>
      </c>
      <c r="R113" s="10" t="s">
        <v>77</v>
      </c>
      <c r="S113" s="10" t="s">
        <v>77</v>
      </c>
      <c r="T113" s="10" t="s">
        <v>77</v>
      </c>
      <c r="U113" s="10" t="s">
        <v>77</v>
      </c>
      <c r="V113" s="10" t="s">
        <v>77</v>
      </c>
      <c r="W113" s="10" t="s">
        <v>77</v>
      </c>
      <c r="X113" s="10" t="s">
        <v>77</v>
      </c>
      <c r="Y113" s="10" t="s">
        <v>77</v>
      </c>
      <c r="Z113" s="10" t="s">
        <v>77</v>
      </c>
      <c r="AA113" s="10" t="s">
        <v>77</v>
      </c>
      <c r="AB113" s="10"/>
      <c r="AC113" s="10" t="s">
        <v>77</v>
      </c>
      <c r="AD113" s="10" t="s">
        <v>77</v>
      </c>
      <c r="AE113" s="10" t="s">
        <v>77</v>
      </c>
      <c r="AF113" s="10" t="s">
        <v>77</v>
      </c>
      <c r="AG113" s="10" t="s">
        <v>77</v>
      </c>
      <c r="AH113" s="10" t="s">
        <v>77</v>
      </c>
      <c r="AI113" s="10" t="s">
        <v>77</v>
      </c>
      <c r="AJ113" s="10" t="s">
        <v>77</v>
      </c>
      <c r="AK113" s="10" t="s">
        <v>77</v>
      </c>
      <c r="AL113" s="10" t="s">
        <v>77</v>
      </c>
      <c r="AM113" s="10" t="s">
        <v>77</v>
      </c>
      <c r="AN113" s="10" t="s">
        <v>77</v>
      </c>
      <c r="AO113" s="10"/>
      <c r="AP113" s="10" t="s">
        <v>73</v>
      </c>
      <c r="AQ113" s="10" t="s">
        <v>73</v>
      </c>
      <c r="AS113" s="10" t="s">
        <v>77</v>
      </c>
      <c r="AT113" s="10" t="s">
        <v>77</v>
      </c>
      <c r="AU113" s="10" t="s">
        <v>77</v>
      </c>
      <c r="AV113" s="10" t="s">
        <v>77</v>
      </c>
      <c r="AW113" s="10" t="s">
        <v>77</v>
      </c>
      <c r="AX113" s="10" t="s">
        <v>77</v>
      </c>
      <c r="AY113" s="10" t="s">
        <v>77</v>
      </c>
      <c r="AZ113" s="10" t="s">
        <v>77</v>
      </c>
      <c r="BA113" s="10" t="s">
        <v>77</v>
      </c>
      <c r="BB113" s="10" t="s">
        <v>77</v>
      </c>
      <c r="BC113" s="10" t="s">
        <v>77</v>
      </c>
      <c r="BD113" s="10" t="s">
        <v>77</v>
      </c>
      <c r="BE113" s="10" t="s">
        <v>77</v>
      </c>
      <c r="BF113" s="10" t="s">
        <v>77</v>
      </c>
      <c r="BG113" s="10" t="s">
        <v>77</v>
      </c>
      <c r="BH113" s="10" t="s">
        <v>77</v>
      </c>
      <c r="BI113" s="10" t="s">
        <v>77</v>
      </c>
      <c r="BJ113" s="10" t="s">
        <v>77</v>
      </c>
      <c r="BK113" s="10" t="s">
        <v>77</v>
      </c>
      <c r="BL113" s="10" t="s">
        <v>77</v>
      </c>
      <c r="BM113" s="10" t="s">
        <v>77</v>
      </c>
      <c r="BN113" s="10" t="s">
        <v>77</v>
      </c>
      <c r="BO113" s="10" t="s">
        <v>77</v>
      </c>
      <c r="BP113" s="10" t="s">
        <v>77</v>
      </c>
      <c r="BR113" s="10" t="s">
        <v>77</v>
      </c>
      <c r="BS113" s="10" t="s">
        <v>77</v>
      </c>
      <c r="BT113" s="10" t="s">
        <v>77</v>
      </c>
      <c r="BU113" s="10" t="s">
        <v>77</v>
      </c>
      <c r="BV113" s="10" t="s">
        <v>77</v>
      </c>
      <c r="BW113" s="10" t="s">
        <v>77</v>
      </c>
      <c r="BX113" s="10" t="s">
        <v>77</v>
      </c>
      <c r="BY113" s="10" t="s">
        <v>77</v>
      </c>
      <c r="CA113" s="2" t="str">
        <f aca="false">IF(AS113="x","x",IF(AS113="-","-",""))</f>
        <v>-</v>
      </c>
      <c r="CB113" s="2" t="str">
        <f aca="false">IF(AT113="x","x",IF(AT113="-","-",""))</f>
        <v>-</v>
      </c>
      <c r="CC113" s="2" t="str">
        <f aca="false">IF(AU113="x","x",IF(AU113="-","-",""))</f>
        <v>-</v>
      </c>
      <c r="CD113" s="2" t="str">
        <f aca="false">IF(AV113="x","x",IF(AV113="-","-",""))</f>
        <v>-</v>
      </c>
      <c r="CE113" s="2" t="str">
        <f aca="false">IF(AW113="x","x",IF(AW113="-","-",""))</f>
        <v>-</v>
      </c>
      <c r="CF113" s="2" t="str">
        <f aca="false">IF(AX113="x","x",IF(AX113="-","-",""))</f>
        <v>-</v>
      </c>
      <c r="CG113" s="2" t="str">
        <f aca="false">IF(AY113="x","x",IF(AY113="-","-",""))</f>
        <v>-</v>
      </c>
      <c r="CH113" s="2" t="str">
        <f aca="false">IF(AZ113="x","x",IF(AZ113="-","-",""))</f>
        <v>-</v>
      </c>
      <c r="CI113" s="2" t="str">
        <f aca="false">IF(BA113="x","x",IF(BA113="-","-",""))</f>
        <v>-</v>
      </c>
      <c r="CJ113" s="2" t="str">
        <f aca="false">IF(BB113="x","x",IF(BB113="-","-",""))</f>
        <v>-</v>
      </c>
      <c r="CK113" s="2" t="str">
        <f aca="false">IF(BC113="x","x",IF(BC113="-","-",""))</f>
        <v>-</v>
      </c>
      <c r="CL113" s="2" t="str">
        <f aca="false">IF(BD113="x","x",IF(BD113="-","-",""))</f>
        <v>-</v>
      </c>
      <c r="CM113" s="2" t="str">
        <f aca="false">IF(BE113="x","x",IF(BE113="-","-",""))</f>
        <v>-</v>
      </c>
      <c r="CN113" s="2" t="str">
        <f aca="false">IF(BF113="x","x",IF(BF113="-","-",""))</f>
        <v>-</v>
      </c>
      <c r="CO113" s="2" t="str">
        <f aca="false">IF(BG113="x","x",IF(BG113="-","-",""))</f>
        <v>-</v>
      </c>
      <c r="CP113" s="2" t="str">
        <f aca="false">IF(BH113="x","x",IF(BH113="-","-",""))</f>
        <v>-</v>
      </c>
      <c r="CQ113" s="2" t="str">
        <f aca="false">IF(BI113="x","x",IF(BI113="-","-",""))</f>
        <v>-</v>
      </c>
      <c r="CR113" s="2" t="str">
        <f aca="false">IF(BJ113="x","x",IF(BJ113="-","-",""))</f>
        <v>-</v>
      </c>
      <c r="CS113" s="2" t="str">
        <f aca="false">IF(BK113="x","x",IF(BK113="-","-",""))</f>
        <v>-</v>
      </c>
      <c r="CT113" s="2" t="str">
        <f aca="false">IF(BL113="x","x",IF(BL113="-","-",""))</f>
        <v>-</v>
      </c>
      <c r="CU113" s="2" t="str">
        <f aca="false">IF(BM113="x","x",IF(BM113="-","-",""))</f>
        <v>-</v>
      </c>
      <c r="CV113" s="2" t="str">
        <f aca="false">IF(BN113="x","x",IF(BN113="-","-",""))</f>
        <v>-</v>
      </c>
      <c r="CW113" s="2" t="str">
        <f aca="false">IF(BO113="x","x",IF(BO113="-","-",""))</f>
        <v>-</v>
      </c>
      <c r="CX113" s="2" t="str">
        <f aca="false">IF(BP113="x","x",IF(BP113="-","-",""))</f>
        <v>-</v>
      </c>
      <c r="CZ113" s="2" t="str">
        <f aca="false">IF(P113="x","x",IF(P113="-","-",""))</f>
        <v>-</v>
      </c>
      <c r="DA113" s="2" t="str">
        <f aca="false">IF(Q113="x","x",IF(Q113="-","-",""))</f>
        <v>-</v>
      </c>
      <c r="DB113" s="2" t="str">
        <f aca="false">IF(R113="x","x",IF(R113="-","-",""))</f>
        <v>-</v>
      </c>
      <c r="DC113" s="2" t="str">
        <f aca="false">IF(S113="x","x",IF(S113="-","-",""))</f>
        <v>-</v>
      </c>
      <c r="DD113" s="2" t="str">
        <f aca="false">IF(T113="x","x",IF(T113="-","-",""))</f>
        <v>-</v>
      </c>
      <c r="DE113" s="2" t="str">
        <f aca="false">IF(U113="x","x",IF(U113="-","-",""))</f>
        <v>-</v>
      </c>
      <c r="DF113" s="2" t="str">
        <f aca="false">IF(V113="x","x",IF(V113="-","-",""))</f>
        <v>-</v>
      </c>
      <c r="DG113" s="2" t="str">
        <f aca="false">IF(W113="x","x",IF(W113="-","-",""))</f>
        <v>-</v>
      </c>
      <c r="DH113" s="2" t="str">
        <f aca="false">IF(X113="x","x",IF(X113="-","-",""))</f>
        <v>-</v>
      </c>
      <c r="DI113" s="2" t="str">
        <f aca="false">IF(Y113="x","x",IF(Y113="-","-",""))</f>
        <v>-</v>
      </c>
      <c r="DJ113" s="2" t="str">
        <f aca="false">IF(Z113="x","x",IF(Z113="-","-",""))</f>
        <v>-</v>
      </c>
      <c r="DK113" s="2" t="str">
        <f aca="false">IF(AA113="x","x",IF(AA113="-","-",""))</f>
        <v>-</v>
      </c>
      <c r="DL113" s="10"/>
      <c r="DM113" s="2" t="str">
        <f aca="false">IF(AC113="x","x",IF(AC113="-","-",""))</f>
        <v>-</v>
      </c>
      <c r="DN113" s="2" t="str">
        <f aca="false">IF(AD113="x","x",IF(AD113="-","-",""))</f>
        <v>-</v>
      </c>
      <c r="DO113" s="2" t="str">
        <f aca="false">IF(AE113="x","x",IF(AE113="-","-",""))</f>
        <v>-</v>
      </c>
      <c r="DP113" s="2" t="str">
        <f aca="false">IF(AF113="x","x",IF(AF113="-","-",""))</f>
        <v>-</v>
      </c>
      <c r="DQ113" s="2" t="str">
        <f aca="false">IF(AG113="x","x",IF(AG113="-","-",""))</f>
        <v>-</v>
      </c>
      <c r="DR113" s="2" t="str">
        <f aca="false">IF(AH113="x","x",IF(AH113="-","-",""))</f>
        <v>-</v>
      </c>
      <c r="DS113" s="2" t="str">
        <f aca="false">IF(AI113="x","x",IF(AI113="-","-",""))</f>
        <v>-</v>
      </c>
      <c r="DT113" s="2" t="str">
        <f aca="false">IF(AJ113="x","x",IF(AJ113="-","-",""))</f>
        <v>-</v>
      </c>
      <c r="DU113" s="2" t="str">
        <f aca="false">IF(AK113="x","x",IF(AK113="-","-",""))</f>
        <v>-</v>
      </c>
      <c r="DV113" s="2" t="str">
        <f aca="false">IF(AL113="x","x",IF(AL113="-","-",""))</f>
        <v>-</v>
      </c>
      <c r="DW113" s="2" t="str">
        <f aca="false">IF(AM113="x","x",IF(AM113="-","-",""))</f>
        <v>-</v>
      </c>
      <c r="DX113" s="2" t="str">
        <f aca="false">IF(AN113="x","x",IF(AN113="-","-",""))</f>
        <v>-</v>
      </c>
    </row>
    <row r="114" customFormat="false" ht="13.8" hidden="false" customHeight="false" outlineLevel="0" collapsed="false">
      <c r="A114" s="10" t="s">
        <v>73</v>
      </c>
      <c r="B114" s="2" t="n">
        <v>113</v>
      </c>
      <c r="C114" s="1" t="s">
        <v>77</v>
      </c>
      <c r="D114" s="10" t="s">
        <v>92</v>
      </c>
      <c r="E114" s="10" t="s">
        <v>127</v>
      </c>
      <c r="F114" s="10"/>
      <c r="G114" s="10" t="s">
        <v>77</v>
      </c>
      <c r="H114" s="10" t="s">
        <v>77</v>
      </c>
      <c r="I114" s="10" t="s">
        <v>77</v>
      </c>
      <c r="J114" s="10" t="s">
        <v>77</v>
      </c>
      <c r="K114" s="10" t="s">
        <v>77</v>
      </c>
      <c r="L114" s="10" t="s">
        <v>77</v>
      </c>
      <c r="M114" s="2" t="n">
        <v>20</v>
      </c>
      <c r="N114" s="10" t="s">
        <v>77</v>
      </c>
      <c r="O114" s="10"/>
      <c r="P114" s="10" t="s">
        <v>77</v>
      </c>
      <c r="Q114" s="10" t="s">
        <v>77</v>
      </c>
      <c r="R114" s="10" t="s">
        <v>77</v>
      </c>
      <c r="S114" s="10" t="s">
        <v>77</v>
      </c>
      <c r="T114" s="10" t="s">
        <v>77</v>
      </c>
      <c r="U114" s="10" t="s">
        <v>77</v>
      </c>
      <c r="V114" s="10" t="s">
        <v>77</v>
      </c>
      <c r="W114" s="10" t="s">
        <v>77</v>
      </c>
      <c r="X114" s="10" t="s">
        <v>77</v>
      </c>
      <c r="Y114" s="10" t="s">
        <v>77</v>
      </c>
      <c r="Z114" s="10" t="s">
        <v>77</v>
      </c>
      <c r="AA114" s="10" t="s">
        <v>77</v>
      </c>
      <c r="AB114" s="10"/>
      <c r="AC114" s="10" t="s">
        <v>77</v>
      </c>
      <c r="AD114" s="10" t="s">
        <v>77</v>
      </c>
      <c r="AE114" s="10" t="s">
        <v>77</v>
      </c>
      <c r="AF114" s="10" t="s">
        <v>77</v>
      </c>
      <c r="AG114" s="10" t="s">
        <v>77</v>
      </c>
      <c r="AH114" s="10" t="s">
        <v>77</v>
      </c>
      <c r="AI114" s="10" t="s">
        <v>77</v>
      </c>
      <c r="AJ114" s="10" t="s">
        <v>77</v>
      </c>
      <c r="AK114" s="10" t="s">
        <v>77</v>
      </c>
      <c r="AL114" s="10" t="s">
        <v>77</v>
      </c>
      <c r="AM114" s="10" t="s">
        <v>77</v>
      </c>
      <c r="AN114" s="10" t="s">
        <v>77</v>
      </c>
      <c r="AO114" s="10"/>
      <c r="AP114" s="10" t="s">
        <v>73</v>
      </c>
      <c r="AQ114" s="10" t="s">
        <v>73</v>
      </c>
      <c r="AS114" s="10" t="s">
        <v>77</v>
      </c>
      <c r="AT114" s="10" t="s">
        <v>77</v>
      </c>
      <c r="AU114" s="10" t="s">
        <v>77</v>
      </c>
      <c r="AV114" s="10" t="s">
        <v>77</v>
      </c>
      <c r="AW114" s="10" t="s">
        <v>77</v>
      </c>
      <c r="AX114" s="10" t="s">
        <v>77</v>
      </c>
      <c r="AY114" s="10" t="s">
        <v>77</v>
      </c>
      <c r="AZ114" s="10" t="s">
        <v>77</v>
      </c>
      <c r="BA114" s="10" t="s">
        <v>77</v>
      </c>
      <c r="BB114" s="10" t="s">
        <v>77</v>
      </c>
      <c r="BC114" s="10" t="s">
        <v>77</v>
      </c>
      <c r="BD114" s="10" t="s">
        <v>77</v>
      </c>
      <c r="BE114" s="10" t="s">
        <v>77</v>
      </c>
      <c r="BF114" s="10" t="s">
        <v>77</v>
      </c>
      <c r="BG114" s="10" t="s">
        <v>77</v>
      </c>
      <c r="BH114" s="10" t="s">
        <v>77</v>
      </c>
      <c r="BI114" s="10" t="s">
        <v>77</v>
      </c>
      <c r="BJ114" s="10" t="s">
        <v>77</v>
      </c>
      <c r="BK114" s="10" t="s">
        <v>77</v>
      </c>
      <c r="BL114" s="10" t="s">
        <v>77</v>
      </c>
      <c r="BM114" s="10" t="s">
        <v>77</v>
      </c>
      <c r="BN114" s="10" t="s">
        <v>77</v>
      </c>
      <c r="BO114" s="10" t="s">
        <v>77</v>
      </c>
      <c r="BP114" s="10" t="s">
        <v>77</v>
      </c>
      <c r="BR114" s="10" t="s">
        <v>77</v>
      </c>
      <c r="BS114" s="10" t="s">
        <v>77</v>
      </c>
      <c r="BT114" s="10" t="s">
        <v>77</v>
      </c>
      <c r="BU114" s="10" t="s">
        <v>77</v>
      </c>
      <c r="BV114" s="10" t="s">
        <v>77</v>
      </c>
      <c r="BW114" s="10" t="s">
        <v>77</v>
      </c>
      <c r="BX114" s="10" t="s">
        <v>77</v>
      </c>
      <c r="BY114" s="10" t="s">
        <v>77</v>
      </c>
      <c r="CA114" s="2" t="str">
        <f aca="false">IF(AS114="x","x",IF(AS114="-","-",""))</f>
        <v>-</v>
      </c>
      <c r="CB114" s="2" t="str">
        <f aca="false">IF(AT114="x","x",IF(AT114="-","-",""))</f>
        <v>-</v>
      </c>
      <c r="CC114" s="2" t="str">
        <f aca="false">IF(AU114="x","x",IF(AU114="-","-",""))</f>
        <v>-</v>
      </c>
      <c r="CD114" s="2" t="str">
        <f aca="false">IF(AV114="x","x",IF(AV114="-","-",""))</f>
        <v>-</v>
      </c>
      <c r="CE114" s="2" t="str">
        <f aca="false">IF(AW114="x","x",IF(AW114="-","-",""))</f>
        <v>-</v>
      </c>
      <c r="CF114" s="2" t="str">
        <f aca="false">IF(AX114="x","x",IF(AX114="-","-",""))</f>
        <v>-</v>
      </c>
      <c r="CG114" s="2" t="str">
        <f aca="false">IF(AY114="x","x",IF(AY114="-","-",""))</f>
        <v>-</v>
      </c>
      <c r="CH114" s="2" t="str">
        <f aca="false">IF(AZ114="x","x",IF(AZ114="-","-",""))</f>
        <v>-</v>
      </c>
      <c r="CI114" s="2" t="str">
        <f aca="false">IF(BA114="x","x",IF(BA114="-","-",""))</f>
        <v>-</v>
      </c>
      <c r="CJ114" s="2" t="str">
        <f aca="false">IF(BB114="x","x",IF(BB114="-","-",""))</f>
        <v>-</v>
      </c>
      <c r="CK114" s="2" t="str">
        <f aca="false">IF(BC114="x","x",IF(BC114="-","-",""))</f>
        <v>-</v>
      </c>
      <c r="CL114" s="2" t="str">
        <f aca="false">IF(BD114="x","x",IF(BD114="-","-",""))</f>
        <v>-</v>
      </c>
      <c r="CM114" s="2" t="str">
        <f aca="false">IF(BE114="x","x",IF(BE114="-","-",""))</f>
        <v>-</v>
      </c>
      <c r="CN114" s="2" t="str">
        <f aca="false">IF(BF114="x","x",IF(BF114="-","-",""))</f>
        <v>-</v>
      </c>
      <c r="CO114" s="2" t="str">
        <f aca="false">IF(BG114="x","x",IF(BG114="-","-",""))</f>
        <v>-</v>
      </c>
      <c r="CP114" s="2" t="str">
        <f aca="false">IF(BH114="x","x",IF(BH114="-","-",""))</f>
        <v>-</v>
      </c>
      <c r="CQ114" s="2" t="str">
        <f aca="false">IF(BI114="x","x",IF(BI114="-","-",""))</f>
        <v>-</v>
      </c>
      <c r="CR114" s="2" t="str">
        <f aca="false">IF(BJ114="x","x",IF(BJ114="-","-",""))</f>
        <v>-</v>
      </c>
      <c r="CS114" s="2" t="str">
        <f aca="false">IF(BK114="x","x",IF(BK114="-","-",""))</f>
        <v>-</v>
      </c>
      <c r="CT114" s="2" t="str">
        <f aca="false">IF(BL114="x","x",IF(BL114="-","-",""))</f>
        <v>-</v>
      </c>
      <c r="CU114" s="2" t="str">
        <f aca="false">IF(BM114="x","x",IF(BM114="-","-",""))</f>
        <v>-</v>
      </c>
      <c r="CV114" s="2" t="str">
        <f aca="false">IF(BN114="x","x",IF(BN114="-","-",""))</f>
        <v>-</v>
      </c>
      <c r="CW114" s="2" t="str">
        <f aca="false">IF(BO114="x","x",IF(BO114="-","-",""))</f>
        <v>-</v>
      </c>
      <c r="CX114" s="2" t="str">
        <f aca="false">IF(BP114="x","x",IF(BP114="-","-",""))</f>
        <v>-</v>
      </c>
      <c r="CZ114" s="2" t="str">
        <f aca="false">IF(P114="x","x",IF(P114="-","-",""))</f>
        <v>-</v>
      </c>
      <c r="DA114" s="2" t="str">
        <f aca="false">IF(Q114="x","x",IF(Q114="-","-",""))</f>
        <v>-</v>
      </c>
      <c r="DB114" s="2" t="str">
        <f aca="false">IF(R114="x","x",IF(R114="-","-",""))</f>
        <v>-</v>
      </c>
      <c r="DC114" s="2" t="str">
        <f aca="false">IF(S114="x","x",IF(S114="-","-",""))</f>
        <v>-</v>
      </c>
      <c r="DD114" s="2" t="str">
        <f aca="false">IF(T114="x","x",IF(T114="-","-",""))</f>
        <v>-</v>
      </c>
      <c r="DE114" s="2" t="str">
        <f aca="false">IF(U114="x","x",IF(U114="-","-",""))</f>
        <v>-</v>
      </c>
      <c r="DF114" s="2" t="str">
        <f aca="false">IF(V114="x","x",IF(V114="-","-",""))</f>
        <v>-</v>
      </c>
      <c r="DG114" s="2" t="str">
        <f aca="false">IF(W114="x","x",IF(W114="-","-",""))</f>
        <v>-</v>
      </c>
      <c r="DH114" s="2" t="str">
        <f aca="false">IF(X114="x","x",IF(X114="-","-",""))</f>
        <v>-</v>
      </c>
      <c r="DI114" s="2" t="str">
        <f aca="false">IF(Y114="x","x",IF(Y114="-","-",""))</f>
        <v>-</v>
      </c>
      <c r="DJ114" s="2" t="str">
        <f aca="false">IF(Z114="x","x",IF(Z114="-","-",""))</f>
        <v>-</v>
      </c>
      <c r="DK114" s="2" t="str">
        <f aca="false">IF(AA114="x","x",IF(AA114="-","-",""))</f>
        <v>-</v>
      </c>
      <c r="DL114" s="10"/>
      <c r="DM114" s="2" t="str">
        <f aca="false">IF(AC114="x","x",IF(AC114="-","-",""))</f>
        <v>-</v>
      </c>
      <c r="DN114" s="2" t="str">
        <f aca="false">IF(AD114="x","x",IF(AD114="-","-",""))</f>
        <v>-</v>
      </c>
      <c r="DO114" s="2" t="str">
        <f aca="false">IF(AE114="x","x",IF(AE114="-","-",""))</f>
        <v>-</v>
      </c>
      <c r="DP114" s="2" t="str">
        <f aca="false">IF(AF114="x","x",IF(AF114="-","-",""))</f>
        <v>-</v>
      </c>
      <c r="DQ114" s="2" t="str">
        <f aca="false">IF(AG114="x","x",IF(AG114="-","-",""))</f>
        <v>-</v>
      </c>
      <c r="DR114" s="2" t="str">
        <f aca="false">IF(AH114="x","x",IF(AH114="-","-",""))</f>
        <v>-</v>
      </c>
      <c r="DS114" s="2" t="str">
        <f aca="false">IF(AI114="x","x",IF(AI114="-","-",""))</f>
        <v>-</v>
      </c>
      <c r="DT114" s="2" t="str">
        <f aca="false">IF(AJ114="x","x",IF(AJ114="-","-",""))</f>
        <v>-</v>
      </c>
      <c r="DU114" s="2" t="str">
        <f aca="false">IF(AK114="x","x",IF(AK114="-","-",""))</f>
        <v>-</v>
      </c>
      <c r="DV114" s="2" t="str">
        <f aca="false">IF(AL114="x","x",IF(AL114="-","-",""))</f>
        <v>-</v>
      </c>
      <c r="DW114" s="2" t="str">
        <f aca="false">IF(AM114="x","x",IF(AM114="-","-",""))</f>
        <v>-</v>
      </c>
      <c r="DX114" s="2" t="str">
        <f aca="false">IF(AN114="x","x",IF(AN114="-","-",""))</f>
        <v>-</v>
      </c>
    </row>
    <row r="115" customFormat="false" ht="13.8" hidden="false" customHeight="false" outlineLevel="0" collapsed="false">
      <c r="A115" s="10" t="s">
        <v>73</v>
      </c>
      <c r="B115" s="2" t="n">
        <v>114</v>
      </c>
      <c r="C115" s="1" t="s">
        <v>77</v>
      </c>
      <c r="D115" s="10" t="s">
        <v>92</v>
      </c>
      <c r="E115" s="10" t="s">
        <v>127</v>
      </c>
      <c r="F115" s="10"/>
      <c r="G115" s="10" t="s">
        <v>77</v>
      </c>
      <c r="H115" s="10" t="s">
        <v>77</v>
      </c>
      <c r="I115" s="10" t="s">
        <v>77</v>
      </c>
      <c r="J115" s="10" t="s">
        <v>77</v>
      </c>
      <c r="K115" s="10" t="s">
        <v>77</v>
      </c>
      <c r="L115" s="10" t="s">
        <v>77</v>
      </c>
      <c r="M115" s="2" t="n">
        <v>20</v>
      </c>
      <c r="N115" s="10" t="s">
        <v>77</v>
      </c>
      <c r="O115" s="10"/>
      <c r="P115" s="10" t="s">
        <v>77</v>
      </c>
      <c r="Q115" s="10" t="s">
        <v>77</v>
      </c>
      <c r="R115" s="10" t="s">
        <v>77</v>
      </c>
      <c r="S115" s="10" t="s">
        <v>77</v>
      </c>
      <c r="T115" s="10" t="s">
        <v>77</v>
      </c>
      <c r="U115" s="10" t="s">
        <v>77</v>
      </c>
      <c r="V115" s="10" t="s">
        <v>77</v>
      </c>
      <c r="W115" s="10" t="s">
        <v>77</v>
      </c>
      <c r="X115" s="10" t="s">
        <v>77</v>
      </c>
      <c r="Y115" s="10" t="s">
        <v>77</v>
      </c>
      <c r="Z115" s="10" t="s">
        <v>77</v>
      </c>
      <c r="AA115" s="10" t="s">
        <v>77</v>
      </c>
      <c r="AB115" s="10"/>
      <c r="AC115" s="10" t="s">
        <v>77</v>
      </c>
      <c r="AD115" s="10" t="s">
        <v>77</v>
      </c>
      <c r="AE115" s="10" t="s">
        <v>77</v>
      </c>
      <c r="AF115" s="10" t="s">
        <v>77</v>
      </c>
      <c r="AG115" s="10" t="s">
        <v>77</v>
      </c>
      <c r="AH115" s="10" t="s">
        <v>77</v>
      </c>
      <c r="AI115" s="10" t="s">
        <v>77</v>
      </c>
      <c r="AJ115" s="10" t="s">
        <v>77</v>
      </c>
      <c r="AK115" s="10" t="s">
        <v>77</v>
      </c>
      <c r="AL115" s="10" t="s">
        <v>77</v>
      </c>
      <c r="AM115" s="10" t="s">
        <v>77</v>
      </c>
      <c r="AN115" s="10" t="s">
        <v>77</v>
      </c>
      <c r="AO115" s="10"/>
      <c r="AP115" s="10" t="s">
        <v>73</v>
      </c>
      <c r="AQ115" s="10" t="s">
        <v>73</v>
      </c>
      <c r="AS115" s="10" t="s">
        <v>77</v>
      </c>
      <c r="AT115" s="10" t="s">
        <v>77</v>
      </c>
      <c r="AU115" s="10" t="s">
        <v>77</v>
      </c>
      <c r="AV115" s="10" t="s">
        <v>77</v>
      </c>
      <c r="AW115" s="10" t="s">
        <v>77</v>
      </c>
      <c r="AX115" s="10" t="s">
        <v>77</v>
      </c>
      <c r="AY115" s="10" t="s">
        <v>77</v>
      </c>
      <c r="AZ115" s="10" t="s">
        <v>77</v>
      </c>
      <c r="BA115" s="10" t="s">
        <v>77</v>
      </c>
      <c r="BB115" s="10" t="s">
        <v>77</v>
      </c>
      <c r="BC115" s="10" t="s">
        <v>77</v>
      </c>
      <c r="BD115" s="10" t="s">
        <v>77</v>
      </c>
      <c r="BE115" s="10" t="s">
        <v>77</v>
      </c>
      <c r="BF115" s="10" t="s">
        <v>77</v>
      </c>
      <c r="BG115" s="10" t="s">
        <v>77</v>
      </c>
      <c r="BH115" s="10" t="s">
        <v>77</v>
      </c>
      <c r="BI115" s="10" t="s">
        <v>77</v>
      </c>
      <c r="BJ115" s="10" t="s">
        <v>77</v>
      </c>
      <c r="BK115" s="10" t="s">
        <v>77</v>
      </c>
      <c r="BL115" s="10" t="s">
        <v>77</v>
      </c>
      <c r="BM115" s="10" t="s">
        <v>77</v>
      </c>
      <c r="BN115" s="10" t="s">
        <v>77</v>
      </c>
      <c r="BO115" s="10" t="s">
        <v>77</v>
      </c>
      <c r="BP115" s="10" t="s">
        <v>77</v>
      </c>
      <c r="BR115" s="10" t="s">
        <v>77</v>
      </c>
      <c r="BS115" s="10" t="s">
        <v>77</v>
      </c>
      <c r="BT115" s="10" t="s">
        <v>77</v>
      </c>
      <c r="BU115" s="10" t="s">
        <v>77</v>
      </c>
      <c r="BV115" s="10" t="s">
        <v>77</v>
      </c>
      <c r="BW115" s="10" t="s">
        <v>77</v>
      </c>
      <c r="BX115" s="10" t="s">
        <v>77</v>
      </c>
      <c r="BY115" s="10" t="s">
        <v>77</v>
      </c>
      <c r="CA115" s="2" t="str">
        <f aca="false">IF(AS115="x","x",IF(AS115="-","-",""))</f>
        <v>-</v>
      </c>
      <c r="CB115" s="2" t="str">
        <f aca="false">IF(AT115="x","x",IF(AT115="-","-",""))</f>
        <v>-</v>
      </c>
      <c r="CC115" s="2" t="str">
        <f aca="false">IF(AU115="x","x",IF(AU115="-","-",""))</f>
        <v>-</v>
      </c>
      <c r="CD115" s="2" t="str">
        <f aca="false">IF(AV115="x","x",IF(AV115="-","-",""))</f>
        <v>-</v>
      </c>
      <c r="CE115" s="2" t="str">
        <f aca="false">IF(AW115="x","x",IF(AW115="-","-",""))</f>
        <v>-</v>
      </c>
      <c r="CF115" s="2" t="str">
        <f aca="false">IF(AX115="x","x",IF(AX115="-","-",""))</f>
        <v>-</v>
      </c>
      <c r="CG115" s="2" t="str">
        <f aca="false">IF(AY115="x","x",IF(AY115="-","-",""))</f>
        <v>-</v>
      </c>
      <c r="CH115" s="2" t="str">
        <f aca="false">IF(AZ115="x","x",IF(AZ115="-","-",""))</f>
        <v>-</v>
      </c>
      <c r="CI115" s="2" t="str">
        <f aca="false">IF(BA115="x","x",IF(BA115="-","-",""))</f>
        <v>-</v>
      </c>
      <c r="CJ115" s="2" t="str">
        <f aca="false">IF(BB115="x","x",IF(BB115="-","-",""))</f>
        <v>-</v>
      </c>
      <c r="CK115" s="2" t="str">
        <f aca="false">IF(BC115="x","x",IF(BC115="-","-",""))</f>
        <v>-</v>
      </c>
      <c r="CL115" s="2" t="str">
        <f aca="false">IF(BD115="x","x",IF(BD115="-","-",""))</f>
        <v>-</v>
      </c>
      <c r="CM115" s="2" t="str">
        <f aca="false">IF(BE115="x","x",IF(BE115="-","-",""))</f>
        <v>-</v>
      </c>
      <c r="CN115" s="2" t="str">
        <f aca="false">IF(BF115="x","x",IF(BF115="-","-",""))</f>
        <v>-</v>
      </c>
      <c r="CO115" s="2" t="str">
        <f aca="false">IF(BG115="x","x",IF(BG115="-","-",""))</f>
        <v>-</v>
      </c>
      <c r="CP115" s="2" t="str">
        <f aca="false">IF(BH115="x","x",IF(BH115="-","-",""))</f>
        <v>-</v>
      </c>
      <c r="CQ115" s="2" t="str">
        <f aca="false">IF(BI115="x","x",IF(BI115="-","-",""))</f>
        <v>-</v>
      </c>
      <c r="CR115" s="2" t="str">
        <f aca="false">IF(BJ115="x","x",IF(BJ115="-","-",""))</f>
        <v>-</v>
      </c>
      <c r="CS115" s="2" t="str">
        <f aca="false">IF(BK115="x","x",IF(BK115="-","-",""))</f>
        <v>-</v>
      </c>
      <c r="CT115" s="2" t="str">
        <f aca="false">IF(BL115="x","x",IF(BL115="-","-",""))</f>
        <v>-</v>
      </c>
      <c r="CU115" s="2" t="str">
        <f aca="false">IF(BM115="x","x",IF(BM115="-","-",""))</f>
        <v>-</v>
      </c>
      <c r="CV115" s="2" t="str">
        <f aca="false">IF(BN115="x","x",IF(BN115="-","-",""))</f>
        <v>-</v>
      </c>
      <c r="CW115" s="2" t="str">
        <f aca="false">IF(BO115="x","x",IF(BO115="-","-",""))</f>
        <v>-</v>
      </c>
      <c r="CX115" s="2" t="str">
        <f aca="false">IF(BP115="x","x",IF(BP115="-","-",""))</f>
        <v>-</v>
      </c>
      <c r="CZ115" s="2" t="str">
        <f aca="false">IF(P115="x","x",IF(P115="-","-",""))</f>
        <v>-</v>
      </c>
      <c r="DA115" s="2" t="str">
        <f aca="false">IF(Q115="x","x",IF(Q115="-","-",""))</f>
        <v>-</v>
      </c>
      <c r="DB115" s="2" t="str">
        <f aca="false">IF(R115="x","x",IF(R115="-","-",""))</f>
        <v>-</v>
      </c>
      <c r="DC115" s="2" t="str">
        <f aca="false">IF(S115="x","x",IF(S115="-","-",""))</f>
        <v>-</v>
      </c>
      <c r="DD115" s="2" t="str">
        <f aca="false">IF(T115="x","x",IF(T115="-","-",""))</f>
        <v>-</v>
      </c>
      <c r="DE115" s="2" t="str">
        <f aca="false">IF(U115="x","x",IF(U115="-","-",""))</f>
        <v>-</v>
      </c>
      <c r="DF115" s="2" t="str">
        <f aca="false">IF(V115="x","x",IF(V115="-","-",""))</f>
        <v>-</v>
      </c>
      <c r="DG115" s="2" t="str">
        <f aca="false">IF(W115="x","x",IF(W115="-","-",""))</f>
        <v>-</v>
      </c>
      <c r="DH115" s="2" t="str">
        <f aca="false">IF(X115="x","x",IF(X115="-","-",""))</f>
        <v>-</v>
      </c>
      <c r="DI115" s="2" t="str">
        <f aca="false">IF(Y115="x","x",IF(Y115="-","-",""))</f>
        <v>-</v>
      </c>
      <c r="DJ115" s="2" t="str">
        <f aca="false">IF(Z115="x","x",IF(Z115="-","-",""))</f>
        <v>-</v>
      </c>
      <c r="DK115" s="2" t="str">
        <f aca="false">IF(AA115="x","x",IF(AA115="-","-",""))</f>
        <v>-</v>
      </c>
      <c r="DL115" s="10"/>
      <c r="DM115" s="2" t="str">
        <f aca="false">IF(AC115="x","x",IF(AC115="-","-",""))</f>
        <v>-</v>
      </c>
      <c r="DN115" s="2" t="str">
        <f aca="false">IF(AD115="x","x",IF(AD115="-","-",""))</f>
        <v>-</v>
      </c>
      <c r="DO115" s="2" t="str">
        <f aca="false">IF(AE115="x","x",IF(AE115="-","-",""))</f>
        <v>-</v>
      </c>
      <c r="DP115" s="2" t="str">
        <f aca="false">IF(AF115="x","x",IF(AF115="-","-",""))</f>
        <v>-</v>
      </c>
      <c r="DQ115" s="2" t="str">
        <f aca="false">IF(AG115="x","x",IF(AG115="-","-",""))</f>
        <v>-</v>
      </c>
      <c r="DR115" s="2" t="str">
        <f aca="false">IF(AH115="x","x",IF(AH115="-","-",""))</f>
        <v>-</v>
      </c>
      <c r="DS115" s="2" t="str">
        <f aca="false">IF(AI115="x","x",IF(AI115="-","-",""))</f>
        <v>-</v>
      </c>
      <c r="DT115" s="2" t="str">
        <f aca="false">IF(AJ115="x","x",IF(AJ115="-","-",""))</f>
        <v>-</v>
      </c>
      <c r="DU115" s="2" t="str">
        <f aca="false">IF(AK115="x","x",IF(AK115="-","-",""))</f>
        <v>-</v>
      </c>
      <c r="DV115" s="2" t="str">
        <f aca="false">IF(AL115="x","x",IF(AL115="-","-",""))</f>
        <v>-</v>
      </c>
      <c r="DW115" s="2" t="str">
        <f aca="false">IF(AM115="x","x",IF(AM115="-","-",""))</f>
        <v>-</v>
      </c>
      <c r="DX115" s="2" t="str">
        <f aca="false">IF(AN115="x","x",IF(AN115="-","-",""))</f>
        <v>-</v>
      </c>
    </row>
    <row r="116" customFormat="false" ht="13.8" hidden="false" customHeight="false" outlineLevel="0" collapsed="false">
      <c r="A116" s="10" t="s">
        <v>73</v>
      </c>
      <c r="B116" s="2" t="n">
        <v>115</v>
      </c>
      <c r="C116" s="1" t="s">
        <v>77</v>
      </c>
      <c r="D116" s="10" t="s">
        <v>92</v>
      </c>
      <c r="E116" s="10" t="s">
        <v>127</v>
      </c>
      <c r="F116" s="10"/>
      <c r="G116" s="10" t="s">
        <v>77</v>
      </c>
      <c r="H116" s="10" t="s">
        <v>77</v>
      </c>
      <c r="I116" s="10" t="s">
        <v>77</v>
      </c>
      <c r="J116" s="10" t="s">
        <v>77</v>
      </c>
      <c r="K116" s="10" t="s">
        <v>77</v>
      </c>
      <c r="L116" s="10" t="s">
        <v>77</v>
      </c>
      <c r="M116" s="2" t="n">
        <v>20</v>
      </c>
      <c r="N116" s="10" t="s">
        <v>77</v>
      </c>
      <c r="O116" s="10"/>
      <c r="P116" s="10" t="s">
        <v>77</v>
      </c>
      <c r="Q116" s="10" t="s">
        <v>77</v>
      </c>
      <c r="R116" s="10" t="s">
        <v>77</v>
      </c>
      <c r="S116" s="10" t="s">
        <v>77</v>
      </c>
      <c r="T116" s="10" t="s">
        <v>77</v>
      </c>
      <c r="U116" s="10" t="s">
        <v>77</v>
      </c>
      <c r="V116" s="10" t="s">
        <v>77</v>
      </c>
      <c r="W116" s="10" t="s">
        <v>77</v>
      </c>
      <c r="X116" s="10" t="s">
        <v>77</v>
      </c>
      <c r="Y116" s="10" t="s">
        <v>77</v>
      </c>
      <c r="Z116" s="10" t="s">
        <v>77</v>
      </c>
      <c r="AA116" s="10" t="s">
        <v>77</v>
      </c>
      <c r="AB116" s="10"/>
      <c r="AC116" s="10" t="s">
        <v>77</v>
      </c>
      <c r="AD116" s="10" t="s">
        <v>77</v>
      </c>
      <c r="AE116" s="10" t="s">
        <v>77</v>
      </c>
      <c r="AF116" s="10" t="s">
        <v>77</v>
      </c>
      <c r="AG116" s="10" t="s">
        <v>77</v>
      </c>
      <c r="AH116" s="10" t="s">
        <v>77</v>
      </c>
      <c r="AI116" s="10" t="s">
        <v>77</v>
      </c>
      <c r="AJ116" s="10" t="s">
        <v>77</v>
      </c>
      <c r="AK116" s="10" t="s">
        <v>77</v>
      </c>
      <c r="AL116" s="10" t="s">
        <v>77</v>
      </c>
      <c r="AM116" s="10" t="s">
        <v>77</v>
      </c>
      <c r="AN116" s="10" t="s">
        <v>77</v>
      </c>
      <c r="AO116" s="10"/>
      <c r="AP116" s="10" t="s">
        <v>73</v>
      </c>
      <c r="AQ116" s="10" t="s">
        <v>73</v>
      </c>
      <c r="AS116" s="10" t="s">
        <v>77</v>
      </c>
      <c r="AT116" s="10" t="s">
        <v>77</v>
      </c>
      <c r="AU116" s="10" t="s">
        <v>77</v>
      </c>
      <c r="AV116" s="10" t="s">
        <v>77</v>
      </c>
      <c r="AW116" s="10" t="s">
        <v>77</v>
      </c>
      <c r="AX116" s="10" t="s">
        <v>77</v>
      </c>
      <c r="AY116" s="10" t="s">
        <v>77</v>
      </c>
      <c r="AZ116" s="10" t="s">
        <v>77</v>
      </c>
      <c r="BA116" s="10" t="s">
        <v>77</v>
      </c>
      <c r="BB116" s="10" t="s">
        <v>77</v>
      </c>
      <c r="BC116" s="10" t="s">
        <v>77</v>
      </c>
      <c r="BD116" s="10" t="s">
        <v>77</v>
      </c>
      <c r="BE116" s="10" t="s">
        <v>77</v>
      </c>
      <c r="BF116" s="10" t="s">
        <v>77</v>
      </c>
      <c r="BG116" s="10" t="s">
        <v>77</v>
      </c>
      <c r="BH116" s="10" t="s">
        <v>77</v>
      </c>
      <c r="BI116" s="10" t="s">
        <v>77</v>
      </c>
      <c r="BJ116" s="10" t="s">
        <v>77</v>
      </c>
      <c r="BK116" s="10" t="s">
        <v>77</v>
      </c>
      <c r="BL116" s="10" t="s">
        <v>77</v>
      </c>
      <c r="BM116" s="10" t="s">
        <v>77</v>
      </c>
      <c r="BN116" s="10" t="s">
        <v>77</v>
      </c>
      <c r="BO116" s="10" t="s">
        <v>77</v>
      </c>
      <c r="BP116" s="10" t="s">
        <v>77</v>
      </c>
      <c r="BR116" s="10" t="s">
        <v>77</v>
      </c>
      <c r="BS116" s="10" t="s">
        <v>77</v>
      </c>
      <c r="BT116" s="10" t="s">
        <v>77</v>
      </c>
      <c r="BU116" s="10" t="s">
        <v>77</v>
      </c>
      <c r="BV116" s="10" t="s">
        <v>77</v>
      </c>
      <c r="BW116" s="10" t="s">
        <v>77</v>
      </c>
      <c r="BX116" s="10" t="s">
        <v>77</v>
      </c>
      <c r="BY116" s="10" t="s">
        <v>77</v>
      </c>
      <c r="CA116" s="2" t="str">
        <f aca="false">IF(AS116="x","x",IF(AS116="-","-",""))</f>
        <v>-</v>
      </c>
      <c r="CB116" s="2" t="str">
        <f aca="false">IF(AT116="x","x",IF(AT116="-","-",""))</f>
        <v>-</v>
      </c>
      <c r="CC116" s="2" t="str">
        <f aca="false">IF(AU116="x","x",IF(AU116="-","-",""))</f>
        <v>-</v>
      </c>
      <c r="CD116" s="2" t="str">
        <f aca="false">IF(AV116="x","x",IF(AV116="-","-",""))</f>
        <v>-</v>
      </c>
      <c r="CE116" s="2" t="str">
        <f aca="false">IF(AW116="x","x",IF(AW116="-","-",""))</f>
        <v>-</v>
      </c>
      <c r="CF116" s="2" t="str">
        <f aca="false">IF(AX116="x","x",IF(AX116="-","-",""))</f>
        <v>-</v>
      </c>
      <c r="CG116" s="2" t="str">
        <f aca="false">IF(AY116="x","x",IF(AY116="-","-",""))</f>
        <v>-</v>
      </c>
      <c r="CH116" s="2" t="str">
        <f aca="false">IF(AZ116="x","x",IF(AZ116="-","-",""))</f>
        <v>-</v>
      </c>
      <c r="CI116" s="2" t="str">
        <f aca="false">IF(BA116="x","x",IF(BA116="-","-",""))</f>
        <v>-</v>
      </c>
      <c r="CJ116" s="2" t="str">
        <f aca="false">IF(BB116="x","x",IF(BB116="-","-",""))</f>
        <v>-</v>
      </c>
      <c r="CK116" s="2" t="str">
        <f aca="false">IF(BC116="x","x",IF(BC116="-","-",""))</f>
        <v>-</v>
      </c>
      <c r="CL116" s="2" t="str">
        <f aca="false">IF(BD116="x","x",IF(BD116="-","-",""))</f>
        <v>-</v>
      </c>
      <c r="CM116" s="2" t="str">
        <f aca="false">IF(BE116="x","x",IF(BE116="-","-",""))</f>
        <v>-</v>
      </c>
      <c r="CN116" s="2" t="str">
        <f aca="false">IF(BF116="x","x",IF(BF116="-","-",""))</f>
        <v>-</v>
      </c>
      <c r="CO116" s="2" t="str">
        <f aca="false">IF(BG116="x","x",IF(BG116="-","-",""))</f>
        <v>-</v>
      </c>
      <c r="CP116" s="2" t="str">
        <f aca="false">IF(BH116="x","x",IF(BH116="-","-",""))</f>
        <v>-</v>
      </c>
      <c r="CQ116" s="2" t="str">
        <f aca="false">IF(BI116="x","x",IF(BI116="-","-",""))</f>
        <v>-</v>
      </c>
      <c r="CR116" s="2" t="str">
        <f aca="false">IF(BJ116="x","x",IF(BJ116="-","-",""))</f>
        <v>-</v>
      </c>
      <c r="CS116" s="2" t="str">
        <f aca="false">IF(BK116="x","x",IF(BK116="-","-",""))</f>
        <v>-</v>
      </c>
      <c r="CT116" s="2" t="str">
        <f aca="false">IF(BL116="x","x",IF(BL116="-","-",""))</f>
        <v>-</v>
      </c>
      <c r="CU116" s="2" t="str">
        <f aca="false">IF(BM116="x","x",IF(BM116="-","-",""))</f>
        <v>-</v>
      </c>
      <c r="CV116" s="2" t="str">
        <f aca="false">IF(BN116="x","x",IF(BN116="-","-",""))</f>
        <v>-</v>
      </c>
      <c r="CW116" s="2" t="str">
        <f aca="false">IF(BO116="x","x",IF(BO116="-","-",""))</f>
        <v>-</v>
      </c>
      <c r="CX116" s="2" t="str">
        <f aca="false">IF(BP116="x","x",IF(BP116="-","-",""))</f>
        <v>-</v>
      </c>
      <c r="CZ116" s="2" t="str">
        <f aca="false">IF(P116="x","x",IF(P116="-","-",""))</f>
        <v>-</v>
      </c>
      <c r="DA116" s="2" t="str">
        <f aca="false">IF(Q116="x","x",IF(Q116="-","-",""))</f>
        <v>-</v>
      </c>
      <c r="DB116" s="2" t="str">
        <f aca="false">IF(R116="x","x",IF(R116="-","-",""))</f>
        <v>-</v>
      </c>
      <c r="DC116" s="2" t="str">
        <f aca="false">IF(S116="x","x",IF(S116="-","-",""))</f>
        <v>-</v>
      </c>
      <c r="DD116" s="2" t="str">
        <f aca="false">IF(T116="x","x",IF(T116="-","-",""))</f>
        <v>-</v>
      </c>
      <c r="DE116" s="2" t="str">
        <f aca="false">IF(U116="x","x",IF(U116="-","-",""))</f>
        <v>-</v>
      </c>
      <c r="DF116" s="2" t="str">
        <f aca="false">IF(V116="x","x",IF(V116="-","-",""))</f>
        <v>-</v>
      </c>
      <c r="DG116" s="2" t="str">
        <f aca="false">IF(W116="x","x",IF(W116="-","-",""))</f>
        <v>-</v>
      </c>
      <c r="DH116" s="2" t="str">
        <f aca="false">IF(X116="x","x",IF(X116="-","-",""))</f>
        <v>-</v>
      </c>
      <c r="DI116" s="2" t="str">
        <f aca="false">IF(Y116="x","x",IF(Y116="-","-",""))</f>
        <v>-</v>
      </c>
      <c r="DJ116" s="2" t="str">
        <f aca="false">IF(Z116="x","x",IF(Z116="-","-",""))</f>
        <v>-</v>
      </c>
      <c r="DK116" s="2" t="str">
        <f aca="false">IF(AA116="x","x",IF(AA116="-","-",""))</f>
        <v>-</v>
      </c>
      <c r="DL116" s="10"/>
      <c r="DM116" s="2" t="str">
        <f aca="false">IF(AC116="x","x",IF(AC116="-","-",""))</f>
        <v>-</v>
      </c>
      <c r="DN116" s="2" t="str">
        <f aca="false">IF(AD116="x","x",IF(AD116="-","-",""))</f>
        <v>-</v>
      </c>
      <c r="DO116" s="2" t="str">
        <f aca="false">IF(AE116="x","x",IF(AE116="-","-",""))</f>
        <v>-</v>
      </c>
      <c r="DP116" s="2" t="str">
        <f aca="false">IF(AF116="x","x",IF(AF116="-","-",""))</f>
        <v>-</v>
      </c>
      <c r="DQ116" s="2" t="str">
        <f aca="false">IF(AG116="x","x",IF(AG116="-","-",""))</f>
        <v>-</v>
      </c>
      <c r="DR116" s="2" t="str">
        <f aca="false">IF(AH116="x","x",IF(AH116="-","-",""))</f>
        <v>-</v>
      </c>
      <c r="DS116" s="2" t="str">
        <f aca="false">IF(AI116="x","x",IF(AI116="-","-",""))</f>
        <v>-</v>
      </c>
      <c r="DT116" s="2" t="str">
        <f aca="false">IF(AJ116="x","x",IF(AJ116="-","-",""))</f>
        <v>-</v>
      </c>
      <c r="DU116" s="2" t="str">
        <f aca="false">IF(AK116="x","x",IF(AK116="-","-",""))</f>
        <v>-</v>
      </c>
      <c r="DV116" s="2" t="str">
        <f aca="false">IF(AL116="x","x",IF(AL116="-","-",""))</f>
        <v>-</v>
      </c>
      <c r="DW116" s="2" t="str">
        <f aca="false">IF(AM116="x","x",IF(AM116="-","-",""))</f>
        <v>-</v>
      </c>
      <c r="DX116" s="2" t="str">
        <f aca="false">IF(AN116="x","x",IF(AN116="-","-",""))</f>
        <v>-</v>
      </c>
    </row>
    <row r="117" customFormat="false" ht="13.8" hidden="false" customHeight="false" outlineLevel="0" collapsed="false">
      <c r="A117" s="10" t="s">
        <v>73</v>
      </c>
      <c r="B117" s="2" t="n">
        <v>116</v>
      </c>
      <c r="C117" s="1" t="s">
        <v>77</v>
      </c>
      <c r="D117" s="10" t="s">
        <v>92</v>
      </c>
      <c r="E117" s="10" t="s">
        <v>127</v>
      </c>
      <c r="F117" s="10"/>
      <c r="G117" s="10" t="s">
        <v>77</v>
      </c>
      <c r="H117" s="10" t="s">
        <v>77</v>
      </c>
      <c r="I117" s="10" t="s">
        <v>77</v>
      </c>
      <c r="J117" s="10" t="s">
        <v>77</v>
      </c>
      <c r="K117" s="10" t="s">
        <v>77</v>
      </c>
      <c r="L117" s="10" t="s">
        <v>77</v>
      </c>
      <c r="M117" s="2" t="n">
        <v>20</v>
      </c>
      <c r="N117" s="10" t="s">
        <v>77</v>
      </c>
      <c r="O117" s="10"/>
      <c r="P117" s="10" t="s">
        <v>77</v>
      </c>
      <c r="Q117" s="10" t="s">
        <v>77</v>
      </c>
      <c r="R117" s="10" t="s">
        <v>77</v>
      </c>
      <c r="S117" s="10" t="s">
        <v>77</v>
      </c>
      <c r="T117" s="10" t="s">
        <v>77</v>
      </c>
      <c r="U117" s="10" t="s">
        <v>77</v>
      </c>
      <c r="V117" s="10" t="s">
        <v>77</v>
      </c>
      <c r="W117" s="10" t="s">
        <v>77</v>
      </c>
      <c r="X117" s="10" t="s">
        <v>77</v>
      </c>
      <c r="Y117" s="10" t="s">
        <v>77</v>
      </c>
      <c r="Z117" s="10" t="s">
        <v>77</v>
      </c>
      <c r="AA117" s="10" t="s">
        <v>77</v>
      </c>
      <c r="AB117" s="10"/>
      <c r="AC117" s="10" t="s">
        <v>77</v>
      </c>
      <c r="AD117" s="10" t="s">
        <v>77</v>
      </c>
      <c r="AE117" s="10" t="s">
        <v>77</v>
      </c>
      <c r="AF117" s="10" t="s">
        <v>77</v>
      </c>
      <c r="AG117" s="10" t="s">
        <v>77</v>
      </c>
      <c r="AH117" s="10" t="s">
        <v>77</v>
      </c>
      <c r="AI117" s="10" t="s">
        <v>77</v>
      </c>
      <c r="AJ117" s="10" t="s">
        <v>77</v>
      </c>
      <c r="AK117" s="10" t="s">
        <v>77</v>
      </c>
      <c r="AL117" s="10" t="s">
        <v>77</v>
      </c>
      <c r="AM117" s="10" t="s">
        <v>77</v>
      </c>
      <c r="AN117" s="10" t="s">
        <v>77</v>
      </c>
      <c r="AO117" s="10"/>
      <c r="AP117" s="10" t="s">
        <v>73</v>
      </c>
      <c r="AQ117" s="10" t="s">
        <v>73</v>
      </c>
      <c r="AS117" s="10" t="s">
        <v>77</v>
      </c>
      <c r="AT117" s="10" t="s">
        <v>77</v>
      </c>
      <c r="AU117" s="10" t="s">
        <v>77</v>
      </c>
      <c r="AV117" s="10" t="s">
        <v>77</v>
      </c>
      <c r="AW117" s="10" t="s">
        <v>77</v>
      </c>
      <c r="AX117" s="10" t="s">
        <v>77</v>
      </c>
      <c r="AY117" s="10" t="s">
        <v>77</v>
      </c>
      <c r="AZ117" s="10" t="s">
        <v>77</v>
      </c>
      <c r="BA117" s="10" t="s">
        <v>77</v>
      </c>
      <c r="BB117" s="10" t="s">
        <v>77</v>
      </c>
      <c r="BC117" s="10" t="s">
        <v>77</v>
      </c>
      <c r="BD117" s="10" t="s">
        <v>77</v>
      </c>
      <c r="BE117" s="10" t="s">
        <v>77</v>
      </c>
      <c r="BF117" s="10" t="s">
        <v>77</v>
      </c>
      <c r="BG117" s="10" t="s">
        <v>77</v>
      </c>
      <c r="BH117" s="10" t="s">
        <v>77</v>
      </c>
      <c r="BI117" s="10" t="s">
        <v>77</v>
      </c>
      <c r="BJ117" s="10" t="s">
        <v>77</v>
      </c>
      <c r="BK117" s="10" t="s">
        <v>77</v>
      </c>
      <c r="BL117" s="10" t="s">
        <v>77</v>
      </c>
      <c r="BM117" s="10" t="s">
        <v>77</v>
      </c>
      <c r="BN117" s="10" t="s">
        <v>77</v>
      </c>
      <c r="BO117" s="10" t="s">
        <v>77</v>
      </c>
      <c r="BP117" s="10" t="s">
        <v>77</v>
      </c>
      <c r="BR117" s="10" t="s">
        <v>77</v>
      </c>
      <c r="BS117" s="10" t="s">
        <v>77</v>
      </c>
      <c r="BT117" s="10" t="s">
        <v>77</v>
      </c>
      <c r="BU117" s="10" t="s">
        <v>77</v>
      </c>
      <c r="BV117" s="10" t="s">
        <v>77</v>
      </c>
      <c r="BW117" s="10" t="s">
        <v>77</v>
      </c>
      <c r="BX117" s="10" t="s">
        <v>77</v>
      </c>
      <c r="BY117" s="10" t="s">
        <v>77</v>
      </c>
      <c r="CA117" s="2" t="str">
        <f aca="false">IF(AS117="x","x",IF(AS117="-","-",""))</f>
        <v>-</v>
      </c>
      <c r="CB117" s="2" t="str">
        <f aca="false">IF(AT117="x","x",IF(AT117="-","-",""))</f>
        <v>-</v>
      </c>
      <c r="CC117" s="2" t="str">
        <f aca="false">IF(AU117="x","x",IF(AU117="-","-",""))</f>
        <v>-</v>
      </c>
      <c r="CD117" s="2" t="str">
        <f aca="false">IF(AV117="x","x",IF(AV117="-","-",""))</f>
        <v>-</v>
      </c>
      <c r="CE117" s="2" t="str">
        <f aca="false">IF(AW117="x","x",IF(AW117="-","-",""))</f>
        <v>-</v>
      </c>
      <c r="CF117" s="2" t="str">
        <f aca="false">IF(AX117="x","x",IF(AX117="-","-",""))</f>
        <v>-</v>
      </c>
      <c r="CG117" s="2" t="str">
        <f aca="false">IF(AY117="x","x",IF(AY117="-","-",""))</f>
        <v>-</v>
      </c>
      <c r="CH117" s="2" t="str">
        <f aca="false">IF(AZ117="x","x",IF(AZ117="-","-",""))</f>
        <v>-</v>
      </c>
      <c r="CI117" s="2" t="str">
        <f aca="false">IF(BA117="x","x",IF(BA117="-","-",""))</f>
        <v>-</v>
      </c>
      <c r="CJ117" s="2" t="str">
        <f aca="false">IF(BB117="x","x",IF(BB117="-","-",""))</f>
        <v>-</v>
      </c>
      <c r="CK117" s="2" t="str">
        <f aca="false">IF(BC117="x","x",IF(BC117="-","-",""))</f>
        <v>-</v>
      </c>
      <c r="CL117" s="2" t="str">
        <f aca="false">IF(BD117="x","x",IF(BD117="-","-",""))</f>
        <v>-</v>
      </c>
      <c r="CM117" s="2" t="str">
        <f aca="false">IF(BE117="x","x",IF(BE117="-","-",""))</f>
        <v>-</v>
      </c>
      <c r="CN117" s="2" t="str">
        <f aca="false">IF(BF117="x","x",IF(BF117="-","-",""))</f>
        <v>-</v>
      </c>
      <c r="CO117" s="2" t="str">
        <f aca="false">IF(BG117="x","x",IF(BG117="-","-",""))</f>
        <v>-</v>
      </c>
      <c r="CP117" s="2" t="str">
        <f aca="false">IF(BH117="x","x",IF(BH117="-","-",""))</f>
        <v>-</v>
      </c>
      <c r="CQ117" s="2" t="str">
        <f aca="false">IF(BI117="x","x",IF(BI117="-","-",""))</f>
        <v>-</v>
      </c>
      <c r="CR117" s="2" t="str">
        <f aca="false">IF(BJ117="x","x",IF(BJ117="-","-",""))</f>
        <v>-</v>
      </c>
      <c r="CS117" s="2" t="str">
        <f aca="false">IF(BK117="x","x",IF(BK117="-","-",""))</f>
        <v>-</v>
      </c>
      <c r="CT117" s="2" t="str">
        <f aca="false">IF(BL117="x","x",IF(BL117="-","-",""))</f>
        <v>-</v>
      </c>
      <c r="CU117" s="2" t="str">
        <f aca="false">IF(BM117="x","x",IF(BM117="-","-",""))</f>
        <v>-</v>
      </c>
      <c r="CV117" s="2" t="str">
        <f aca="false">IF(BN117="x","x",IF(BN117="-","-",""))</f>
        <v>-</v>
      </c>
      <c r="CW117" s="2" t="str">
        <f aca="false">IF(BO117="x","x",IF(BO117="-","-",""))</f>
        <v>-</v>
      </c>
      <c r="CX117" s="2" t="str">
        <f aca="false">IF(BP117="x","x",IF(BP117="-","-",""))</f>
        <v>-</v>
      </c>
      <c r="CZ117" s="2" t="str">
        <f aca="false">IF(P117="x","x",IF(P117="-","-",""))</f>
        <v>-</v>
      </c>
      <c r="DA117" s="2" t="str">
        <f aca="false">IF(Q117="x","x",IF(Q117="-","-",""))</f>
        <v>-</v>
      </c>
      <c r="DB117" s="2" t="str">
        <f aca="false">IF(R117="x","x",IF(R117="-","-",""))</f>
        <v>-</v>
      </c>
      <c r="DC117" s="2" t="str">
        <f aca="false">IF(S117="x","x",IF(S117="-","-",""))</f>
        <v>-</v>
      </c>
      <c r="DD117" s="2" t="str">
        <f aca="false">IF(T117="x","x",IF(T117="-","-",""))</f>
        <v>-</v>
      </c>
      <c r="DE117" s="2" t="str">
        <f aca="false">IF(U117="x","x",IF(U117="-","-",""))</f>
        <v>-</v>
      </c>
      <c r="DF117" s="2" t="str">
        <f aca="false">IF(V117="x","x",IF(V117="-","-",""))</f>
        <v>-</v>
      </c>
      <c r="DG117" s="2" t="str">
        <f aca="false">IF(W117="x","x",IF(W117="-","-",""))</f>
        <v>-</v>
      </c>
      <c r="DH117" s="2" t="str">
        <f aca="false">IF(X117="x","x",IF(X117="-","-",""))</f>
        <v>-</v>
      </c>
      <c r="DI117" s="2" t="str">
        <f aca="false">IF(Y117="x","x",IF(Y117="-","-",""))</f>
        <v>-</v>
      </c>
      <c r="DJ117" s="2" t="str">
        <f aca="false">IF(Z117="x","x",IF(Z117="-","-",""))</f>
        <v>-</v>
      </c>
      <c r="DK117" s="2" t="str">
        <f aca="false">IF(AA117="x","x",IF(AA117="-","-",""))</f>
        <v>-</v>
      </c>
      <c r="DL117" s="10"/>
      <c r="DM117" s="2" t="str">
        <f aca="false">IF(AC117="x","x",IF(AC117="-","-",""))</f>
        <v>-</v>
      </c>
      <c r="DN117" s="2" t="str">
        <f aca="false">IF(AD117="x","x",IF(AD117="-","-",""))</f>
        <v>-</v>
      </c>
      <c r="DO117" s="2" t="str">
        <f aca="false">IF(AE117="x","x",IF(AE117="-","-",""))</f>
        <v>-</v>
      </c>
      <c r="DP117" s="2" t="str">
        <f aca="false">IF(AF117="x","x",IF(AF117="-","-",""))</f>
        <v>-</v>
      </c>
      <c r="DQ117" s="2" t="str">
        <f aca="false">IF(AG117="x","x",IF(AG117="-","-",""))</f>
        <v>-</v>
      </c>
      <c r="DR117" s="2" t="str">
        <f aca="false">IF(AH117="x","x",IF(AH117="-","-",""))</f>
        <v>-</v>
      </c>
      <c r="DS117" s="2" t="str">
        <f aca="false">IF(AI117="x","x",IF(AI117="-","-",""))</f>
        <v>-</v>
      </c>
      <c r="DT117" s="2" t="str">
        <f aca="false">IF(AJ117="x","x",IF(AJ117="-","-",""))</f>
        <v>-</v>
      </c>
      <c r="DU117" s="2" t="str">
        <f aca="false">IF(AK117="x","x",IF(AK117="-","-",""))</f>
        <v>-</v>
      </c>
      <c r="DV117" s="2" t="str">
        <f aca="false">IF(AL117="x","x",IF(AL117="-","-",""))</f>
        <v>-</v>
      </c>
      <c r="DW117" s="2" t="str">
        <f aca="false">IF(AM117="x","x",IF(AM117="-","-",""))</f>
        <v>-</v>
      </c>
      <c r="DX117" s="2" t="str">
        <f aca="false">IF(AN117="x","x",IF(AN117="-","-",""))</f>
        <v>-</v>
      </c>
    </row>
    <row r="118" customFormat="false" ht="13.8" hidden="false" customHeight="false" outlineLevel="0" collapsed="false">
      <c r="A118" s="10" t="s">
        <v>73</v>
      </c>
      <c r="B118" s="2" t="n">
        <v>117</v>
      </c>
      <c r="C118" s="1" t="s">
        <v>77</v>
      </c>
      <c r="D118" s="10" t="s">
        <v>92</v>
      </c>
      <c r="E118" s="10" t="s">
        <v>127</v>
      </c>
      <c r="F118" s="10"/>
      <c r="G118" s="10" t="s">
        <v>77</v>
      </c>
      <c r="H118" s="10" t="s">
        <v>77</v>
      </c>
      <c r="I118" s="10" t="s">
        <v>77</v>
      </c>
      <c r="J118" s="10" t="s">
        <v>77</v>
      </c>
      <c r="K118" s="10" t="s">
        <v>77</v>
      </c>
      <c r="L118" s="10" t="s">
        <v>77</v>
      </c>
      <c r="M118" s="2" t="n">
        <v>20</v>
      </c>
      <c r="N118" s="10" t="s">
        <v>77</v>
      </c>
      <c r="O118" s="10"/>
      <c r="P118" s="10" t="s">
        <v>77</v>
      </c>
      <c r="Q118" s="10" t="s">
        <v>77</v>
      </c>
      <c r="R118" s="10" t="s">
        <v>77</v>
      </c>
      <c r="S118" s="10" t="s">
        <v>77</v>
      </c>
      <c r="T118" s="10" t="s">
        <v>77</v>
      </c>
      <c r="U118" s="10" t="s">
        <v>77</v>
      </c>
      <c r="V118" s="10" t="s">
        <v>77</v>
      </c>
      <c r="W118" s="10" t="s">
        <v>77</v>
      </c>
      <c r="X118" s="10" t="s">
        <v>77</v>
      </c>
      <c r="Y118" s="10" t="s">
        <v>77</v>
      </c>
      <c r="Z118" s="10" t="s">
        <v>77</v>
      </c>
      <c r="AA118" s="10" t="s">
        <v>77</v>
      </c>
      <c r="AB118" s="10"/>
      <c r="AC118" s="10" t="s">
        <v>77</v>
      </c>
      <c r="AD118" s="10" t="s">
        <v>77</v>
      </c>
      <c r="AE118" s="10" t="s">
        <v>77</v>
      </c>
      <c r="AF118" s="10" t="s">
        <v>77</v>
      </c>
      <c r="AG118" s="10" t="s">
        <v>77</v>
      </c>
      <c r="AH118" s="10" t="s">
        <v>77</v>
      </c>
      <c r="AI118" s="10" t="s">
        <v>77</v>
      </c>
      <c r="AJ118" s="10" t="s">
        <v>77</v>
      </c>
      <c r="AK118" s="10" t="s">
        <v>77</v>
      </c>
      <c r="AL118" s="10" t="s">
        <v>77</v>
      </c>
      <c r="AM118" s="10" t="s">
        <v>77</v>
      </c>
      <c r="AN118" s="10" t="s">
        <v>77</v>
      </c>
      <c r="AO118" s="10"/>
      <c r="AP118" s="10" t="s">
        <v>73</v>
      </c>
      <c r="AQ118" s="10" t="s">
        <v>73</v>
      </c>
      <c r="AS118" s="10" t="s">
        <v>77</v>
      </c>
      <c r="AT118" s="10" t="s">
        <v>77</v>
      </c>
      <c r="AU118" s="10" t="s">
        <v>77</v>
      </c>
      <c r="AV118" s="10" t="s">
        <v>77</v>
      </c>
      <c r="AW118" s="10" t="s">
        <v>77</v>
      </c>
      <c r="AX118" s="10" t="s">
        <v>77</v>
      </c>
      <c r="AY118" s="10" t="s">
        <v>77</v>
      </c>
      <c r="AZ118" s="10" t="s">
        <v>77</v>
      </c>
      <c r="BA118" s="10" t="s">
        <v>77</v>
      </c>
      <c r="BB118" s="10" t="s">
        <v>77</v>
      </c>
      <c r="BC118" s="10" t="s">
        <v>77</v>
      </c>
      <c r="BD118" s="10" t="s">
        <v>77</v>
      </c>
      <c r="BE118" s="10" t="s">
        <v>77</v>
      </c>
      <c r="BF118" s="10" t="s">
        <v>77</v>
      </c>
      <c r="BG118" s="10" t="s">
        <v>77</v>
      </c>
      <c r="BH118" s="10" t="s">
        <v>77</v>
      </c>
      <c r="BI118" s="10" t="s">
        <v>77</v>
      </c>
      <c r="BJ118" s="10" t="s">
        <v>77</v>
      </c>
      <c r="BK118" s="10" t="s">
        <v>77</v>
      </c>
      <c r="BL118" s="10" t="s">
        <v>77</v>
      </c>
      <c r="BM118" s="10" t="s">
        <v>77</v>
      </c>
      <c r="BN118" s="10" t="s">
        <v>77</v>
      </c>
      <c r="BO118" s="10" t="s">
        <v>77</v>
      </c>
      <c r="BP118" s="10" t="s">
        <v>77</v>
      </c>
      <c r="BR118" s="10" t="s">
        <v>77</v>
      </c>
      <c r="BS118" s="10" t="s">
        <v>77</v>
      </c>
      <c r="BT118" s="10" t="s">
        <v>77</v>
      </c>
      <c r="BU118" s="10" t="s">
        <v>77</v>
      </c>
      <c r="BV118" s="10" t="s">
        <v>77</v>
      </c>
      <c r="BW118" s="10" t="s">
        <v>77</v>
      </c>
      <c r="BX118" s="10" t="s">
        <v>77</v>
      </c>
      <c r="BY118" s="10" t="s">
        <v>77</v>
      </c>
      <c r="CA118" s="2" t="str">
        <f aca="false">IF(AS118="x","x",IF(AS118="-","-",""))</f>
        <v>-</v>
      </c>
      <c r="CB118" s="2" t="str">
        <f aca="false">IF(AT118="x","x",IF(AT118="-","-",""))</f>
        <v>-</v>
      </c>
      <c r="CC118" s="2" t="str">
        <f aca="false">IF(AU118="x","x",IF(AU118="-","-",""))</f>
        <v>-</v>
      </c>
      <c r="CD118" s="2" t="str">
        <f aca="false">IF(AV118="x","x",IF(AV118="-","-",""))</f>
        <v>-</v>
      </c>
      <c r="CE118" s="2" t="str">
        <f aca="false">IF(AW118="x","x",IF(AW118="-","-",""))</f>
        <v>-</v>
      </c>
      <c r="CF118" s="2" t="str">
        <f aca="false">IF(AX118="x","x",IF(AX118="-","-",""))</f>
        <v>-</v>
      </c>
      <c r="CG118" s="2" t="str">
        <f aca="false">IF(AY118="x","x",IF(AY118="-","-",""))</f>
        <v>-</v>
      </c>
      <c r="CH118" s="2" t="str">
        <f aca="false">IF(AZ118="x","x",IF(AZ118="-","-",""))</f>
        <v>-</v>
      </c>
      <c r="CI118" s="2" t="str">
        <f aca="false">IF(BA118="x","x",IF(BA118="-","-",""))</f>
        <v>-</v>
      </c>
      <c r="CJ118" s="2" t="str">
        <f aca="false">IF(BB118="x","x",IF(BB118="-","-",""))</f>
        <v>-</v>
      </c>
      <c r="CK118" s="2" t="str">
        <f aca="false">IF(BC118="x","x",IF(BC118="-","-",""))</f>
        <v>-</v>
      </c>
      <c r="CL118" s="2" t="str">
        <f aca="false">IF(BD118="x","x",IF(BD118="-","-",""))</f>
        <v>-</v>
      </c>
      <c r="CM118" s="2" t="str">
        <f aca="false">IF(BE118="x","x",IF(BE118="-","-",""))</f>
        <v>-</v>
      </c>
      <c r="CN118" s="2" t="str">
        <f aca="false">IF(BF118="x","x",IF(BF118="-","-",""))</f>
        <v>-</v>
      </c>
      <c r="CO118" s="2" t="str">
        <f aca="false">IF(BG118="x","x",IF(BG118="-","-",""))</f>
        <v>-</v>
      </c>
      <c r="CP118" s="2" t="str">
        <f aca="false">IF(BH118="x","x",IF(BH118="-","-",""))</f>
        <v>-</v>
      </c>
      <c r="CQ118" s="2" t="str">
        <f aca="false">IF(BI118="x","x",IF(BI118="-","-",""))</f>
        <v>-</v>
      </c>
      <c r="CR118" s="2" t="str">
        <f aca="false">IF(BJ118="x","x",IF(BJ118="-","-",""))</f>
        <v>-</v>
      </c>
      <c r="CS118" s="2" t="str">
        <f aca="false">IF(BK118="x","x",IF(BK118="-","-",""))</f>
        <v>-</v>
      </c>
      <c r="CT118" s="2" t="str">
        <f aca="false">IF(BL118="x","x",IF(BL118="-","-",""))</f>
        <v>-</v>
      </c>
      <c r="CU118" s="2" t="str">
        <f aca="false">IF(BM118="x","x",IF(BM118="-","-",""))</f>
        <v>-</v>
      </c>
      <c r="CV118" s="2" t="str">
        <f aca="false">IF(BN118="x","x",IF(BN118="-","-",""))</f>
        <v>-</v>
      </c>
      <c r="CW118" s="2" t="str">
        <f aca="false">IF(BO118="x","x",IF(BO118="-","-",""))</f>
        <v>-</v>
      </c>
      <c r="CX118" s="2" t="str">
        <f aca="false">IF(BP118="x","x",IF(BP118="-","-",""))</f>
        <v>-</v>
      </c>
      <c r="CZ118" s="2" t="str">
        <f aca="false">IF(P118="x","x",IF(P118="-","-",""))</f>
        <v>-</v>
      </c>
      <c r="DA118" s="2" t="str">
        <f aca="false">IF(Q118="x","x",IF(Q118="-","-",""))</f>
        <v>-</v>
      </c>
      <c r="DB118" s="2" t="str">
        <f aca="false">IF(R118="x","x",IF(R118="-","-",""))</f>
        <v>-</v>
      </c>
      <c r="DC118" s="2" t="str">
        <f aca="false">IF(S118="x","x",IF(S118="-","-",""))</f>
        <v>-</v>
      </c>
      <c r="DD118" s="2" t="str">
        <f aca="false">IF(T118="x","x",IF(T118="-","-",""))</f>
        <v>-</v>
      </c>
      <c r="DE118" s="2" t="str">
        <f aca="false">IF(U118="x","x",IF(U118="-","-",""))</f>
        <v>-</v>
      </c>
      <c r="DF118" s="2" t="str">
        <f aca="false">IF(V118="x","x",IF(V118="-","-",""))</f>
        <v>-</v>
      </c>
      <c r="DG118" s="2" t="str">
        <f aca="false">IF(W118="x","x",IF(W118="-","-",""))</f>
        <v>-</v>
      </c>
      <c r="DH118" s="2" t="str">
        <f aca="false">IF(X118="x","x",IF(X118="-","-",""))</f>
        <v>-</v>
      </c>
      <c r="DI118" s="2" t="str">
        <f aca="false">IF(Y118="x","x",IF(Y118="-","-",""))</f>
        <v>-</v>
      </c>
      <c r="DJ118" s="2" t="str">
        <f aca="false">IF(Z118="x","x",IF(Z118="-","-",""))</f>
        <v>-</v>
      </c>
      <c r="DK118" s="2" t="str">
        <f aca="false">IF(AA118="x","x",IF(AA118="-","-",""))</f>
        <v>-</v>
      </c>
      <c r="DL118" s="10"/>
      <c r="DM118" s="2" t="str">
        <f aca="false">IF(AC118="x","x",IF(AC118="-","-",""))</f>
        <v>-</v>
      </c>
      <c r="DN118" s="2" t="str">
        <f aca="false">IF(AD118="x","x",IF(AD118="-","-",""))</f>
        <v>-</v>
      </c>
      <c r="DO118" s="2" t="str">
        <f aca="false">IF(AE118="x","x",IF(AE118="-","-",""))</f>
        <v>-</v>
      </c>
      <c r="DP118" s="2" t="str">
        <f aca="false">IF(AF118="x","x",IF(AF118="-","-",""))</f>
        <v>-</v>
      </c>
      <c r="DQ118" s="2" t="str">
        <f aca="false">IF(AG118="x","x",IF(AG118="-","-",""))</f>
        <v>-</v>
      </c>
      <c r="DR118" s="2" t="str">
        <f aca="false">IF(AH118="x","x",IF(AH118="-","-",""))</f>
        <v>-</v>
      </c>
      <c r="DS118" s="2" t="str">
        <f aca="false">IF(AI118="x","x",IF(AI118="-","-",""))</f>
        <v>-</v>
      </c>
      <c r="DT118" s="2" t="str">
        <f aca="false">IF(AJ118="x","x",IF(AJ118="-","-",""))</f>
        <v>-</v>
      </c>
      <c r="DU118" s="2" t="str">
        <f aca="false">IF(AK118="x","x",IF(AK118="-","-",""))</f>
        <v>-</v>
      </c>
      <c r="DV118" s="2" t="str">
        <f aca="false">IF(AL118="x","x",IF(AL118="-","-",""))</f>
        <v>-</v>
      </c>
      <c r="DW118" s="2" t="str">
        <f aca="false">IF(AM118="x","x",IF(AM118="-","-",""))</f>
        <v>-</v>
      </c>
      <c r="DX118" s="2" t="str">
        <f aca="false">IF(AN118="x","x",IF(AN118="-","-",""))</f>
        <v>-</v>
      </c>
    </row>
    <row r="119" customFormat="false" ht="13.8" hidden="false" customHeight="false" outlineLevel="0" collapsed="false">
      <c r="A119" s="10" t="s">
        <v>73</v>
      </c>
      <c r="B119" s="2" t="n">
        <v>118</v>
      </c>
      <c r="C119" s="1" t="s">
        <v>77</v>
      </c>
      <c r="D119" s="10" t="s">
        <v>92</v>
      </c>
      <c r="E119" s="10" t="s">
        <v>127</v>
      </c>
      <c r="F119" s="10"/>
      <c r="G119" s="10" t="s">
        <v>77</v>
      </c>
      <c r="H119" s="10" t="s">
        <v>77</v>
      </c>
      <c r="I119" s="10" t="s">
        <v>77</v>
      </c>
      <c r="J119" s="10" t="s">
        <v>77</v>
      </c>
      <c r="K119" s="10" t="s">
        <v>77</v>
      </c>
      <c r="L119" s="10" t="s">
        <v>77</v>
      </c>
      <c r="M119" s="2" t="n">
        <v>20</v>
      </c>
      <c r="N119" s="10" t="s">
        <v>77</v>
      </c>
      <c r="O119" s="10"/>
      <c r="P119" s="10" t="s">
        <v>77</v>
      </c>
      <c r="Q119" s="10" t="s">
        <v>77</v>
      </c>
      <c r="R119" s="10" t="s">
        <v>77</v>
      </c>
      <c r="S119" s="10" t="s">
        <v>77</v>
      </c>
      <c r="T119" s="10" t="s">
        <v>77</v>
      </c>
      <c r="U119" s="10" t="s">
        <v>77</v>
      </c>
      <c r="V119" s="10" t="s">
        <v>77</v>
      </c>
      <c r="W119" s="10" t="s">
        <v>77</v>
      </c>
      <c r="X119" s="10" t="s">
        <v>77</v>
      </c>
      <c r="Y119" s="10" t="s">
        <v>77</v>
      </c>
      <c r="Z119" s="10" t="s">
        <v>77</v>
      </c>
      <c r="AA119" s="10" t="s">
        <v>77</v>
      </c>
      <c r="AB119" s="10"/>
      <c r="AC119" s="10" t="s">
        <v>77</v>
      </c>
      <c r="AD119" s="10" t="s">
        <v>77</v>
      </c>
      <c r="AE119" s="10" t="s">
        <v>77</v>
      </c>
      <c r="AF119" s="10" t="s">
        <v>77</v>
      </c>
      <c r="AG119" s="10" t="s">
        <v>77</v>
      </c>
      <c r="AH119" s="10" t="s">
        <v>77</v>
      </c>
      <c r="AI119" s="10" t="s">
        <v>77</v>
      </c>
      <c r="AJ119" s="10" t="s">
        <v>77</v>
      </c>
      <c r="AK119" s="10" t="s">
        <v>77</v>
      </c>
      <c r="AL119" s="10" t="s">
        <v>77</v>
      </c>
      <c r="AM119" s="10" t="s">
        <v>77</v>
      </c>
      <c r="AN119" s="10" t="s">
        <v>77</v>
      </c>
      <c r="AO119" s="10"/>
      <c r="AP119" s="10" t="s">
        <v>73</v>
      </c>
      <c r="AQ119" s="10" t="s">
        <v>73</v>
      </c>
      <c r="AS119" s="10" t="s">
        <v>77</v>
      </c>
      <c r="AT119" s="10" t="s">
        <v>77</v>
      </c>
      <c r="AU119" s="10" t="s">
        <v>77</v>
      </c>
      <c r="AV119" s="10" t="s">
        <v>77</v>
      </c>
      <c r="AW119" s="10" t="s">
        <v>77</v>
      </c>
      <c r="AX119" s="10" t="s">
        <v>77</v>
      </c>
      <c r="AY119" s="10" t="s">
        <v>77</v>
      </c>
      <c r="AZ119" s="10" t="s">
        <v>77</v>
      </c>
      <c r="BA119" s="10" t="s">
        <v>77</v>
      </c>
      <c r="BB119" s="10" t="s">
        <v>77</v>
      </c>
      <c r="BC119" s="10" t="s">
        <v>77</v>
      </c>
      <c r="BD119" s="10" t="s">
        <v>77</v>
      </c>
      <c r="BE119" s="10" t="s">
        <v>77</v>
      </c>
      <c r="BF119" s="10" t="s">
        <v>77</v>
      </c>
      <c r="BG119" s="10" t="s">
        <v>77</v>
      </c>
      <c r="BH119" s="10" t="s">
        <v>77</v>
      </c>
      <c r="BI119" s="10" t="s">
        <v>77</v>
      </c>
      <c r="BJ119" s="10" t="s">
        <v>77</v>
      </c>
      <c r="BK119" s="10" t="s">
        <v>77</v>
      </c>
      <c r="BL119" s="10" t="s">
        <v>77</v>
      </c>
      <c r="BM119" s="10" t="s">
        <v>77</v>
      </c>
      <c r="BN119" s="10" t="s">
        <v>77</v>
      </c>
      <c r="BO119" s="10" t="s">
        <v>77</v>
      </c>
      <c r="BP119" s="10" t="s">
        <v>77</v>
      </c>
      <c r="BR119" s="10" t="s">
        <v>77</v>
      </c>
      <c r="BS119" s="10" t="s">
        <v>77</v>
      </c>
      <c r="BT119" s="10" t="s">
        <v>77</v>
      </c>
      <c r="BU119" s="10" t="s">
        <v>77</v>
      </c>
      <c r="BV119" s="10" t="s">
        <v>77</v>
      </c>
      <c r="BW119" s="10" t="s">
        <v>77</v>
      </c>
      <c r="BX119" s="10" t="s">
        <v>77</v>
      </c>
      <c r="BY119" s="10" t="s">
        <v>77</v>
      </c>
      <c r="CA119" s="2" t="str">
        <f aca="false">IF(AS119="x","x",IF(AS119="-","-",""))</f>
        <v>-</v>
      </c>
      <c r="CB119" s="2" t="str">
        <f aca="false">IF(AT119="x","x",IF(AT119="-","-",""))</f>
        <v>-</v>
      </c>
      <c r="CC119" s="2" t="str">
        <f aca="false">IF(AU119="x","x",IF(AU119="-","-",""))</f>
        <v>-</v>
      </c>
      <c r="CD119" s="2" t="str">
        <f aca="false">IF(AV119="x","x",IF(AV119="-","-",""))</f>
        <v>-</v>
      </c>
      <c r="CE119" s="2" t="str">
        <f aca="false">IF(AW119="x","x",IF(AW119="-","-",""))</f>
        <v>-</v>
      </c>
      <c r="CF119" s="2" t="str">
        <f aca="false">IF(AX119="x","x",IF(AX119="-","-",""))</f>
        <v>-</v>
      </c>
      <c r="CG119" s="2" t="str">
        <f aca="false">IF(AY119="x","x",IF(AY119="-","-",""))</f>
        <v>-</v>
      </c>
      <c r="CH119" s="2" t="str">
        <f aca="false">IF(AZ119="x","x",IF(AZ119="-","-",""))</f>
        <v>-</v>
      </c>
      <c r="CI119" s="2" t="str">
        <f aca="false">IF(BA119="x","x",IF(BA119="-","-",""))</f>
        <v>-</v>
      </c>
      <c r="CJ119" s="2" t="str">
        <f aca="false">IF(BB119="x","x",IF(BB119="-","-",""))</f>
        <v>-</v>
      </c>
      <c r="CK119" s="2" t="str">
        <f aca="false">IF(BC119="x","x",IF(BC119="-","-",""))</f>
        <v>-</v>
      </c>
      <c r="CL119" s="2" t="str">
        <f aca="false">IF(BD119="x","x",IF(BD119="-","-",""))</f>
        <v>-</v>
      </c>
      <c r="CM119" s="2" t="str">
        <f aca="false">IF(BE119="x","x",IF(BE119="-","-",""))</f>
        <v>-</v>
      </c>
      <c r="CN119" s="2" t="str">
        <f aca="false">IF(BF119="x","x",IF(BF119="-","-",""))</f>
        <v>-</v>
      </c>
      <c r="CO119" s="2" t="str">
        <f aca="false">IF(BG119="x","x",IF(BG119="-","-",""))</f>
        <v>-</v>
      </c>
      <c r="CP119" s="2" t="str">
        <f aca="false">IF(BH119="x","x",IF(BH119="-","-",""))</f>
        <v>-</v>
      </c>
      <c r="CQ119" s="2" t="str">
        <f aca="false">IF(BI119="x","x",IF(BI119="-","-",""))</f>
        <v>-</v>
      </c>
      <c r="CR119" s="2" t="str">
        <f aca="false">IF(BJ119="x","x",IF(BJ119="-","-",""))</f>
        <v>-</v>
      </c>
      <c r="CS119" s="2" t="str">
        <f aca="false">IF(BK119="x","x",IF(BK119="-","-",""))</f>
        <v>-</v>
      </c>
      <c r="CT119" s="2" t="str">
        <f aca="false">IF(BL119="x","x",IF(BL119="-","-",""))</f>
        <v>-</v>
      </c>
      <c r="CU119" s="2" t="str">
        <f aca="false">IF(BM119="x","x",IF(BM119="-","-",""))</f>
        <v>-</v>
      </c>
      <c r="CV119" s="2" t="str">
        <f aca="false">IF(BN119="x","x",IF(BN119="-","-",""))</f>
        <v>-</v>
      </c>
      <c r="CW119" s="2" t="str">
        <f aca="false">IF(BO119="x","x",IF(BO119="-","-",""))</f>
        <v>-</v>
      </c>
      <c r="CX119" s="2" t="str">
        <f aca="false">IF(BP119="x","x",IF(BP119="-","-",""))</f>
        <v>-</v>
      </c>
      <c r="CZ119" s="2" t="str">
        <f aca="false">IF(P119="x","x",IF(P119="-","-",""))</f>
        <v>-</v>
      </c>
      <c r="DA119" s="2" t="str">
        <f aca="false">IF(Q119="x","x",IF(Q119="-","-",""))</f>
        <v>-</v>
      </c>
      <c r="DB119" s="2" t="str">
        <f aca="false">IF(R119="x","x",IF(R119="-","-",""))</f>
        <v>-</v>
      </c>
      <c r="DC119" s="2" t="str">
        <f aca="false">IF(S119="x","x",IF(S119="-","-",""))</f>
        <v>-</v>
      </c>
      <c r="DD119" s="2" t="str">
        <f aca="false">IF(T119="x","x",IF(T119="-","-",""))</f>
        <v>-</v>
      </c>
      <c r="DE119" s="2" t="str">
        <f aca="false">IF(U119="x","x",IF(U119="-","-",""))</f>
        <v>-</v>
      </c>
      <c r="DF119" s="2" t="str">
        <f aca="false">IF(V119="x","x",IF(V119="-","-",""))</f>
        <v>-</v>
      </c>
      <c r="DG119" s="2" t="str">
        <f aca="false">IF(W119="x","x",IF(W119="-","-",""))</f>
        <v>-</v>
      </c>
      <c r="DH119" s="2" t="str">
        <f aca="false">IF(X119="x","x",IF(X119="-","-",""))</f>
        <v>-</v>
      </c>
      <c r="DI119" s="2" t="str">
        <f aca="false">IF(Y119="x","x",IF(Y119="-","-",""))</f>
        <v>-</v>
      </c>
      <c r="DJ119" s="2" t="str">
        <f aca="false">IF(Z119="x","x",IF(Z119="-","-",""))</f>
        <v>-</v>
      </c>
      <c r="DK119" s="2" t="str">
        <f aca="false">IF(AA119="x","x",IF(AA119="-","-",""))</f>
        <v>-</v>
      </c>
      <c r="DL119" s="10"/>
      <c r="DM119" s="2" t="str">
        <f aca="false">IF(AC119="x","x",IF(AC119="-","-",""))</f>
        <v>-</v>
      </c>
      <c r="DN119" s="2" t="str">
        <f aca="false">IF(AD119="x","x",IF(AD119="-","-",""))</f>
        <v>-</v>
      </c>
      <c r="DO119" s="2" t="str">
        <f aca="false">IF(AE119="x","x",IF(AE119="-","-",""))</f>
        <v>-</v>
      </c>
      <c r="DP119" s="2" t="str">
        <f aca="false">IF(AF119="x","x",IF(AF119="-","-",""))</f>
        <v>-</v>
      </c>
      <c r="DQ119" s="2" t="str">
        <f aca="false">IF(AG119="x","x",IF(AG119="-","-",""))</f>
        <v>-</v>
      </c>
      <c r="DR119" s="2" t="str">
        <f aca="false">IF(AH119="x","x",IF(AH119="-","-",""))</f>
        <v>-</v>
      </c>
      <c r="DS119" s="2" t="str">
        <f aca="false">IF(AI119="x","x",IF(AI119="-","-",""))</f>
        <v>-</v>
      </c>
      <c r="DT119" s="2" t="str">
        <f aca="false">IF(AJ119="x","x",IF(AJ119="-","-",""))</f>
        <v>-</v>
      </c>
      <c r="DU119" s="2" t="str">
        <f aca="false">IF(AK119="x","x",IF(AK119="-","-",""))</f>
        <v>-</v>
      </c>
      <c r="DV119" s="2" t="str">
        <f aca="false">IF(AL119="x","x",IF(AL119="-","-",""))</f>
        <v>-</v>
      </c>
      <c r="DW119" s="2" t="str">
        <f aca="false">IF(AM119="x","x",IF(AM119="-","-",""))</f>
        <v>-</v>
      </c>
      <c r="DX119" s="2" t="str">
        <f aca="false">IF(AN119="x","x",IF(AN119="-","-",""))</f>
        <v>-</v>
      </c>
    </row>
    <row r="120" customFormat="false" ht="13.8" hidden="false" customHeight="false" outlineLevel="0" collapsed="false">
      <c r="A120" s="10" t="s">
        <v>73</v>
      </c>
      <c r="B120" s="2" t="n">
        <v>119</v>
      </c>
      <c r="C120" s="1" t="s">
        <v>77</v>
      </c>
      <c r="D120" s="10" t="s">
        <v>92</v>
      </c>
      <c r="E120" s="10" t="s">
        <v>127</v>
      </c>
      <c r="F120" s="10"/>
      <c r="G120" s="10" t="s">
        <v>77</v>
      </c>
      <c r="H120" s="10" t="s">
        <v>77</v>
      </c>
      <c r="I120" s="10" t="s">
        <v>77</v>
      </c>
      <c r="J120" s="10" t="s">
        <v>77</v>
      </c>
      <c r="K120" s="10" t="s">
        <v>77</v>
      </c>
      <c r="L120" s="10" t="s">
        <v>77</v>
      </c>
      <c r="M120" s="2" t="n">
        <v>20</v>
      </c>
      <c r="N120" s="10" t="s">
        <v>77</v>
      </c>
      <c r="O120" s="10"/>
      <c r="P120" s="10" t="s">
        <v>77</v>
      </c>
      <c r="Q120" s="10" t="s">
        <v>77</v>
      </c>
      <c r="R120" s="10" t="s">
        <v>77</v>
      </c>
      <c r="S120" s="10" t="s">
        <v>77</v>
      </c>
      <c r="T120" s="10" t="s">
        <v>77</v>
      </c>
      <c r="U120" s="10" t="s">
        <v>77</v>
      </c>
      <c r="V120" s="10" t="s">
        <v>77</v>
      </c>
      <c r="W120" s="10" t="s">
        <v>77</v>
      </c>
      <c r="X120" s="10" t="s">
        <v>77</v>
      </c>
      <c r="Y120" s="10" t="s">
        <v>77</v>
      </c>
      <c r="Z120" s="10" t="s">
        <v>77</v>
      </c>
      <c r="AA120" s="10" t="s">
        <v>77</v>
      </c>
      <c r="AB120" s="10"/>
      <c r="AC120" s="10" t="s">
        <v>77</v>
      </c>
      <c r="AD120" s="10" t="s">
        <v>77</v>
      </c>
      <c r="AE120" s="10" t="s">
        <v>77</v>
      </c>
      <c r="AF120" s="10" t="s">
        <v>77</v>
      </c>
      <c r="AG120" s="10" t="s">
        <v>77</v>
      </c>
      <c r="AH120" s="10" t="s">
        <v>77</v>
      </c>
      <c r="AI120" s="10" t="s">
        <v>77</v>
      </c>
      <c r="AJ120" s="10" t="s">
        <v>77</v>
      </c>
      <c r="AK120" s="10" t="s">
        <v>77</v>
      </c>
      <c r="AL120" s="10" t="s">
        <v>77</v>
      </c>
      <c r="AM120" s="10" t="s">
        <v>77</v>
      </c>
      <c r="AN120" s="10" t="s">
        <v>77</v>
      </c>
      <c r="AO120" s="10"/>
      <c r="AP120" s="10" t="s">
        <v>73</v>
      </c>
      <c r="AQ120" s="10" t="s">
        <v>73</v>
      </c>
      <c r="AS120" s="10" t="s">
        <v>77</v>
      </c>
      <c r="AT120" s="10" t="s">
        <v>77</v>
      </c>
      <c r="AU120" s="10" t="s">
        <v>77</v>
      </c>
      <c r="AV120" s="10" t="s">
        <v>77</v>
      </c>
      <c r="AW120" s="10" t="s">
        <v>77</v>
      </c>
      <c r="AX120" s="10" t="s">
        <v>77</v>
      </c>
      <c r="AY120" s="10" t="s">
        <v>77</v>
      </c>
      <c r="AZ120" s="10" t="s">
        <v>77</v>
      </c>
      <c r="BA120" s="10" t="s">
        <v>77</v>
      </c>
      <c r="BB120" s="10" t="s">
        <v>77</v>
      </c>
      <c r="BC120" s="10" t="s">
        <v>77</v>
      </c>
      <c r="BD120" s="10" t="s">
        <v>77</v>
      </c>
      <c r="BE120" s="10" t="s">
        <v>77</v>
      </c>
      <c r="BF120" s="10" t="s">
        <v>77</v>
      </c>
      <c r="BG120" s="10" t="s">
        <v>77</v>
      </c>
      <c r="BH120" s="10" t="s">
        <v>77</v>
      </c>
      <c r="BI120" s="10" t="s">
        <v>77</v>
      </c>
      <c r="BJ120" s="10" t="s">
        <v>77</v>
      </c>
      <c r="BK120" s="10" t="s">
        <v>77</v>
      </c>
      <c r="BL120" s="10" t="s">
        <v>77</v>
      </c>
      <c r="BM120" s="10" t="s">
        <v>77</v>
      </c>
      <c r="BN120" s="10" t="s">
        <v>77</v>
      </c>
      <c r="BO120" s="10" t="s">
        <v>77</v>
      </c>
      <c r="BP120" s="10" t="s">
        <v>77</v>
      </c>
      <c r="BR120" s="10" t="s">
        <v>77</v>
      </c>
      <c r="BS120" s="10" t="s">
        <v>77</v>
      </c>
      <c r="BT120" s="10" t="s">
        <v>77</v>
      </c>
      <c r="BU120" s="10" t="s">
        <v>77</v>
      </c>
      <c r="BV120" s="10" t="s">
        <v>77</v>
      </c>
      <c r="BW120" s="10" t="s">
        <v>77</v>
      </c>
      <c r="BX120" s="10" t="s">
        <v>77</v>
      </c>
      <c r="BY120" s="10" t="s">
        <v>77</v>
      </c>
      <c r="CA120" s="2" t="str">
        <f aca="false">IF(AS120="x","x",IF(AS120="-","-",""))</f>
        <v>-</v>
      </c>
      <c r="CB120" s="2" t="str">
        <f aca="false">IF(AT120="x","x",IF(AT120="-","-",""))</f>
        <v>-</v>
      </c>
      <c r="CC120" s="2" t="str">
        <f aca="false">IF(AU120="x","x",IF(AU120="-","-",""))</f>
        <v>-</v>
      </c>
      <c r="CD120" s="2" t="str">
        <f aca="false">IF(AV120="x","x",IF(AV120="-","-",""))</f>
        <v>-</v>
      </c>
      <c r="CE120" s="2" t="str">
        <f aca="false">IF(AW120="x","x",IF(AW120="-","-",""))</f>
        <v>-</v>
      </c>
      <c r="CF120" s="2" t="str">
        <f aca="false">IF(AX120="x","x",IF(AX120="-","-",""))</f>
        <v>-</v>
      </c>
      <c r="CG120" s="2" t="str">
        <f aca="false">IF(AY120="x","x",IF(AY120="-","-",""))</f>
        <v>-</v>
      </c>
      <c r="CH120" s="2" t="str">
        <f aca="false">IF(AZ120="x","x",IF(AZ120="-","-",""))</f>
        <v>-</v>
      </c>
      <c r="CI120" s="2" t="str">
        <f aca="false">IF(BA120="x","x",IF(BA120="-","-",""))</f>
        <v>-</v>
      </c>
      <c r="CJ120" s="2" t="str">
        <f aca="false">IF(BB120="x","x",IF(BB120="-","-",""))</f>
        <v>-</v>
      </c>
      <c r="CK120" s="2" t="str">
        <f aca="false">IF(BC120="x","x",IF(BC120="-","-",""))</f>
        <v>-</v>
      </c>
      <c r="CL120" s="2" t="str">
        <f aca="false">IF(BD120="x","x",IF(BD120="-","-",""))</f>
        <v>-</v>
      </c>
      <c r="CM120" s="2" t="str">
        <f aca="false">IF(BE120="x","x",IF(BE120="-","-",""))</f>
        <v>-</v>
      </c>
      <c r="CN120" s="2" t="str">
        <f aca="false">IF(BF120="x","x",IF(BF120="-","-",""))</f>
        <v>-</v>
      </c>
      <c r="CO120" s="2" t="str">
        <f aca="false">IF(BG120="x","x",IF(BG120="-","-",""))</f>
        <v>-</v>
      </c>
      <c r="CP120" s="2" t="str">
        <f aca="false">IF(BH120="x","x",IF(BH120="-","-",""))</f>
        <v>-</v>
      </c>
      <c r="CQ120" s="2" t="str">
        <f aca="false">IF(BI120="x","x",IF(BI120="-","-",""))</f>
        <v>-</v>
      </c>
      <c r="CR120" s="2" t="str">
        <f aca="false">IF(BJ120="x","x",IF(BJ120="-","-",""))</f>
        <v>-</v>
      </c>
      <c r="CS120" s="2" t="str">
        <f aca="false">IF(BK120="x","x",IF(BK120="-","-",""))</f>
        <v>-</v>
      </c>
      <c r="CT120" s="2" t="str">
        <f aca="false">IF(BL120="x","x",IF(BL120="-","-",""))</f>
        <v>-</v>
      </c>
      <c r="CU120" s="2" t="str">
        <f aca="false">IF(BM120="x","x",IF(BM120="-","-",""))</f>
        <v>-</v>
      </c>
      <c r="CV120" s="2" t="str">
        <f aca="false">IF(BN120="x","x",IF(BN120="-","-",""))</f>
        <v>-</v>
      </c>
      <c r="CW120" s="2" t="str">
        <f aca="false">IF(BO120="x","x",IF(BO120="-","-",""))</f>
        <v>-</v>
      </c>
      <c r="CX120" s="2" t="str">
        <f aca="false">IF(BP120="x","x",IF(BP120="-","-",""))</f>
        <v>-</v>
      </c>
      <c r="CZ120" s="2" t="str">
        <f aca="false">IF(P120="x","x",IF(P120="-","-",""))</f>
        <v>-</v>
      </c>
      <c r="DA120" s="2" t="str">
        <f aca="false">IF(Q120="x","x",IF(Q120="-","-",""))</f>
        <v>-</v>
      </c>
      <c r="DB120" s="2" t="str">
        <f aca="false">IF(R120="x","x",IF(R120="-","-",""))</f>
        <v>-</v>
      </c>
      <c r="DC120" s="2" t="str">
        <f aca="false">IF(S120="x","x",IF(S120="-","-",""))</f>
        <v>-</v>
      </c>
      <c r="DD120" s="2" t="str">
        <f aca="false">IF(T120="x","x",IF(T120="-","-",""))</f>
        <v>-</v>
      </c>
      <c r="DE120" s="2" t="str">
        <f aca="false">IF(U120="x","x",IF(U120="-","-",""))</f>
        <v>-</v>
      </c>
      <c r="DF120" s="2" t="str">
        <f aca="false">IF(V120="x","x",IF(V120="-","-",""))</f>
        <v>-</v>
      </c>
      <c r="DG120" s="2" t="str">
        <f aca="false">IF(W120="x","x",IF(W120="-","-",""))</f>
        <v>-</v>
      </c>
      <c r="DH120" s="2" t="str">
        <f aca="false">IF(X120="x","x",IF(X120="-","-",""))</f>
        <v>-</v>
      </c>
      <c r="DI120" s="2" t="str">
        <f aca="false">IF(Y120="x","x",IF(Y120="-","-",""))</f>
        <v>-</v>
      </c>
      <c r="DJ120" s="2" t="str">
        <f aca="false">IF(Z120="x","x",IF(Z120="-","-",""))</f>
        <v>-</v>
      </c>
      <c r="DK120" s="2" t="str">
        <f aca="false">IF(AA120="x","x",IF(AA120="-","-",""))</f>
        <v>-</v>
      </c>
      <c r="DL120" s="10"/>
      <c r="DM120" s="2" t="str">
        <f aca="false">IF(AC120="x","x",IF(AC120="-","-",""))</f>
        <v>-</v>
      </c>
      <c r="DN120" s="2" t="str">
        <f aca="false">IF(AD120="x","x",IF(AD120="-","-",""))</f>
        <v>-</v>
      </c>
      <c r="DO120" s="2" t="str">
        <f aca="false">IF(AE120="x","x",IF(AE120="-","-",""))</f>
        <v>-</v>
      </c>
      <c r="DP120" s="2" t="str">
        <f aca="false">IF(AF120="x","x",IF(AF120="-","-",""))</f>
        <v>-</v>
      </c>
      <c r="DQ120" s="2" t="str">
        <f aca="false">IF(AG120="x","x",IF(AG120="-","-",""))</f>
        <v>-</v>
      </c>
      <c r="DR120" s="2" t="str">
        <f aca="false">IF(AH120="x","x",IF(AH120="-","-",""))</f>
        <v>-</v>
      </c>
      <c r="DS120" s="2" t="str">
        <f aca="false">IF(AI120="x","x",IF(AI120="-","-",""))</f>
        <v>-</v>
      </c>
      <c r="DT120" s="2" t="str">
        <f aca="false">IF(AJ120="x","x",IF(AJ120="-","-",""))</f>
        <v>-</v>
      </c>
      <c r="DU120" s="2" t="str">
        <f aca="false">IF(AK120="x","x",IF(AK120="-","-",""))</f>
        <v>-</v>
      </c>
      <c r="DV120" s="2" t="str">
        <f aca="false">IF(AL120="x","x",IF(AL120="-","-",""))</f>
        <v>-</v>
      </c>
      <c r="DW120" s="2" t="str">
        <f aca="false">IF(AM120="x","x",IF(AM120="-","-",""))</f>
        <v>-</v>
      </c>
      <c r="DX120" s="2" t="str">
        <f aca="false">IF(AN120="x","x",IF(AN120="-","-",""))</f>
        <v>-</v>
      </c>
    </row>
    <row r="121" customFormat="false" ht="13.8" hidden="false" customHeight="false" outlineLevel="0" collapsed="false">
      <c r="A121" s="10" t="s">
        <v>73</v>
      </c>
      <c r="B121" s="2" t="n">
        <v>120</v>
      </c>
      <c r="C121" s="1" t="s">
        <v>77</v>
      </c>
      <c r="D121" s="10" t="s">
        <v>92</v>
      </c>
      <c r="E121" s="10" t="s">
        <v>127</v>
      </c>
      <c r="F121" s="10"/>
      <c r="G121" s="10" t="s">
        <v>77</v>
      </c>
      <c r="H121" s="10" t="s">
        <v>77</v>
      </c>
      <c r="I121" s="10" t="s">
        <v>77</v>
      </c>
      <c r="J121" s="10" t="s">
        <v>77</v>
      </c>
      <c r="K121" s="10" t="s">
        <v>77</v>
      </c>
      <c r="L121" s="10" t="s">
        <v>77</v>
      </c>
      <c r="M121" s="2" t="n">
        <v>20</v>
      </c>
      <c r="N121" s="10" t="s">
        <v>77</v>
      </c>
      <c r="O121" s="10"/>
      <c r="P121" s="10" t="s">
        <v>77</v>
      </c>
      <c r="Q121" s="10" t="s">
        <v>77</v>
      </c>
      <c r="R121" s="10" t="s">
        <v>77</v>
      </c>
      <c r="S121" s="10" t="s">
        <v>77</v>
      </c>
      <c r="T121" s="10" t="s">
        <v>77</v>
      </c>
      <c r="U121" s="10" t="s">
        <v>77</v>
      </c>
      <c r="V121" s="10" t="s">
        <v>77</v>
      </c>
      <c r="W121" s="10" t="s">
        <v>77</v>
      </c>
      <c r="X121" s="10" t="s">
        <v>77</v>
      </c>
      <c r="Y121" s="10" t="s">
        <v>77</v>
      </c>
      <c r="Z121" s="10" t="s">
        <v>77</v>
      </c>
      <c r="AA121" s="10" t="s">
        <v>77</v>
      </c>
      <c r="AB121" s="10"/>
      <c r="AC121" s="10" t="s">
        <v>77</v>
      </c>
      <c r="AD121" s="10" t="s">
        <v>77</v>
      </c>
      <c r="AE121" s="10" t="s">
        <v>77</v>
      </c>
      <c r="AF121" s="10" t="s">
        <v>77</v>
      </c>
      <c r="AG121" s="10" t="s">
        <v>77</v>
      </c>
      <c r="AH121" s="10" t="s">
        <v>77</v>
      </c>
      <c r="AI121" s="10" t="s">
        <v>77</v>
      </c>
      <c r="AJ121" s="10" t="s">
        <v>77</v>
      </c>
      <c r="AK121" s="10" t="s">
        <v>77</v>
      </c>
      <c r="AL121" s="10" t="s">
        <v>77</v>
      </c>
      <c r="AM121" s="10" t="s">
        <v>77</v>
      </c>
      <c r="AN121" s="10" t="s">
        <v>77</v>
      </c>
      <c r="AO121" s="10"/>
      <c r="AP121" s="10" t="s">
        <v>73</v>
      </c>
      <c r="AQ121" s="10" t="s">
        <v>73</v>
      </c>
      <c r="AS121" s="10" t="s">
        <v>77</v>
      </c>
      <c r="AT121" s="10" t="s">
        <v>77</v>
      </c>
      <c r="AU121" s="10" t="s">
        <v>77</v>
      </c>
      <c r="AV121" s="10" t="s">
        <v>77</v>
      </c>
      <c r="AW121" s="10" t="s">
        <v>77</v>
      </c>
      <c r="AX121" s="10" t="s">
        <v>77</v>
      </c>
      <c r="AY121" s="10" t="s">
        <v>77</v>
      </c>
      <c r="AZ121" s="10" t="s">
        <v>77</v>
      </c>
      <c r="BA121" s="10" t="s">
        <v>77</v>
      </c>
      <c r="BB121" s="10" t="s">
        <v>77</v>
      </c>
      <c r="BC121" s="10" t="s">
        <v>77</v>
      </c>
      <c r="BD121" s="10" t="s">
        <v>77</v>
      </c>
      <c r="BE121" s="10" t="s">
        <v>77</v>
      </c>
      <c r="BF121" s="10" t="s">
        <v>77</v>
      </c>
      <c r="BG121" s="10" t="s">
        <v>77</v>
      </c>
      <c r="BH121" s="10" t="s">
        <v>77</v>
      </c>
      <c r="BI121" s="10" t="s">
        <v>77</v>
      </c>
      <c r="BJ121" s="10" t="s">
        <v>77</v>
      </c>
      <c r="BK121" s="10" t="s">
        <v>77</v>
      </c>
      <c r="BL121" s="10" t="s">
        <v>77</v>
      </c>
      <c r="BM121" s="10" t="s">
        <v>77</v>
      </c>
      <c r="BN121" s="10" t="s">
        <v>77</v>
      </c>
      <c r="BO121" s="10" t="s">
        <v>77</v>
      </c>
      <c r="BP121" s="10" t="s">
        <v>77</v>
      </c>
      <c r="BR121" s="10" t="s">
        <v>77</v>
      </c>
      <c r="BS121" s="10" t="s">
        <v>77</v>
      </c>
      <c r="BT121" s="10" t="s">
        <v>77</v>
      </c>
      <c r="BU121" s="10" t="s">
        <v>77</v>
      </c>
      <c r="BV121" s="10" t="s">
        <v>77</v>
      </c>
      <c r="BW121" s="10" t="s">
        <v>77</v>
      </c>
      <c r="BX121" s="10" t="s">
        <v>77</v>
      </c>
      <c r="BY121" s="10" t="s">
        <v>77</v>
      </c>
      <c r="CA121" s="2" t="str">
        <f aca="false">IF(AS121="x","x",IF(AS121="-","-",""))</f>
        <v>-</v>
      </c>
      <c r="CB121" s="2" t="str">
        <f aca="false">IF(AT121="x","x",IF(AT121="-","-",""))</f>
        <v>-</v>
      </c>
      <c r="CC121" s="2" t="str">
        <f aca="false">IF(AU121="x","x",IF(AU121="-","-",""))</f>
        <v>-</v>
      </c>
      <c r="CD121" s="2" t="str">
        <f aca="false">IF(AV121="x","x",IF(AV121="-","-",""))</f>
        <v>-</v>
      </c>
      <c r="CE121" s="2" t="str">
        <f aca="false">IF(AW121="x","x",IF(AW121="-","-",""))</f>
        <v>-</v>
      </c>
      <c r="CF121" s="2" t="str">
        <f aca="false">IF(AX121="x","x",IF(AX121="-","-",""))</f>
        <v>-</v>
      </c>
      <c r="CG121" s="2" t="str">
        <f aca="false">IF(AY121="x","x",IF(AY121="-","-",""))</f>
        <v>-</v>
      </c>
      <c r="CH121" s="2" t="str">
        <f aca="false">IF(AZ121="x","x",IF(AZ121="-","-",""))</f>
        <v>-</v>
      </c>
      <c r="CI121" s="2" t="str">
        <f aca="false">IF(BA121="x","x",IF(BA121="-","-",""))</f>
        <v>-</v>
      </c>
      <c r="CJ121" s="2" t="str">
        <f aca="false">IF(BB121="x","x",IF(BB121="-","-",""))</f>
        <v>-</v>
      </c>
      <c r="CK121" s="2" t="str">
        <f aca="false">IF(BC121="x","x",IF(BC121="-","-",""))</f>
        <v>-</v>
      </c>
      <c r="CL121" s="2" t="str">
        <f aca="false">IF(BD121="x","x",IF(BD121="-","-",""))</f>
        <v>-</v>
      </c>
      <c r="CM121" s="2" t="str">
        <f aca="false">IF(BE121="x","x",IF(BE121="-","-",""))</f>
        <v>-</v>
      </c>
      <c r="CN121" s="2" t="str">
        <f aca="false">IF(BF121="x","x",IF(BF121="-","-",""))</f>
        <v>-</v>
      </c>
      <c r="CO121" s="2" t="str">
        <f aca="false">IF(BG121="x","x",IF(BG121="-","-",""))</f>
        <v>-</v>
      </c>
      <c r="CP121" s="2" t="str">
        <f aca="false">IF(BH121="x","x",IF(BH121="-","-",""))</f>
        <v>-</v>
      </c>
      <c r="CQ121" s="2" t="str">
        <f aca="false">IF(BI121="x","x",IF(BI121="-","-",""))</f>
        <v>-</v>
      </c>
      <c r="CR121" s="2" t="str">
        <f aca="false">IF(BJ121="x","x",IF(BJ121="-","-",""))</f>
        <v>-</v>
      </c>
      <c r="CS121" s="2" t="str">
        <f aca="false">IF(BK121="x","x",IF(BK121="-","-",""))</f>
        <v>-</v>
      </c>
      <c r="CT121" s="2" t="str">
        <f aca="false">IF(BL121="x","x",IF(BL121="-","-",""))</f>
        <v>-</v>
      </c>
      <c r="CU121" s="2" t="str">
        <f aca="false">IF(BM121="x","x",IF(BM121="-","-",""))</f>
        <v>-</v>
      </c>
      <c r="CV121" s="2" t="str">
        <f aca="false">IF(BN121="x","x",IF(BN121="-","-",""))</f>
        <v>-</v>
      </c>
      <c r="CW121" s="2" t="str">
        <f aca="false">IF(BO121="x","x",IF(BO121="-","-",""))</f>
        <v>-</v>
      </c>
      <c r="CX121" s="2" t="str">
        <f aca="false">IF(BP121="x","x",IF(BP121="-","-",""))</f>
        <v>-</v>
      </c>
      <c r="CZ121" s="2" t="str">
        <f aca="false">IF(P121="x","x",IF(P121="-","-",""))</f>
        <v>-</v>
      </c>
      <c r="DA121" s="2" t="str">
        <f aca="false">IF(Q121="x","x",IF(Q121="-","-",""))</f>
        <v>-</v>
      </c>
      <c r="DB121" s="2" t="str">
        <f aca="false">IF(R121="x","x",IF(R121="-","-",""))</f>
        <v>-</v>
      </c>
      <c r="DC121" s="2" t="str">
        <f aca="false">IF(S121="x","x",IF(S121="-","-",""))</f>
        <v>-</v>
      </c>
      <c r="DD121" s="2" t="str">
        <f aca="false">IF(T121="x","x",IF(T121="-","-",""))</f>
        <v>-</v>
      </c>
      <c r="DE121" s="2" t="str">
        <f aca="false">IF(U121="x","x",IF(U121="-","-",""))</f>
        <v>-</v>
      </c>
      <c r="DF121" s="2" t="str">
        <f aca="false">IF(V121="x","x",IF(V121="-","-",""))</f>
        <v>-</v>
      </c>
      <c r="DG121" s="2" t="str">
        <f aca="false">IF(W121="x","x",IF(W121="-","-",""))</f>
        <v>-</v>
      </c>
      <c r="DH121" s="2" t="str">
        <f aca="false">IF(X121="x","x",IF(X121="-","-",""))</f>
        <v>-</v>
      </c>
      <c r="DI121" s="2" t="str">
        <f aca="false">IF(Y121="x","x",IF(Y121="-","-",""))</f>
        <v>-</v>
      </c>
      <c r="DJ121" s="2" t="str">
        <f aca="false">IF(Z121="x","x",IF(Z121="-","-",""))</f>
        <v>-</v>
      </c>
      <c r="DK121" s="2" t="str">
        <f aca="false">IF(AA121="x","x",IF(AA121="-","-",""))</f>
        <v>-</v>
      </c>
      <c r="DL121" s="10"/>
      <c r="DM121" s="2" t="str">
        <f aca="false">IF(AC121="x","x",IF(AC121="-","-",""))</f>
        <v>-</v>
      </c>
      <c r="DN121" s="2" t="str">
        <f aca="false">IF(AD121="x","x",IF(AD121="-","-",""))</f>
        <v>-</v>
      </c>
      <c r="DO121" s="2" t="str">
        <f aca="false">IF(AE121="x","x",IF(AE121="-","-",""))</f>
        <v>-</v>
      </c>
      <c r="DP121" s="2" t="str">
        <f aca="false">IF(AF121="x","x",IF(AF121="-","-",""))</f>
        <v>-</v>
      </c>
      <c r="DQ121" s="2" t="str">
        <f aca="false">IF(AG121="x","x",IF(AG121="-","-",""))</f>
        <v>-</v>
      </c>
      <c r="DR121" s="2" t="str">
        <f aca="false">IF(AH121="x","x",IF(AH121="-","-",""))</f>
        <v>-</v>
      </c>
      <c r="DS121" s="2" t="str">
        <f aca="false">IF(AI121="x","x",IF(AI121="-","-",""))</f>
        <v>-</v>
      </c>
      <c r="DT121" s="2" t="str">
        <f aca="false">IF(AJ121="x","x",IF(AJ121="-","-",""))</f>
        <v>-</v>
      </c>
      <c r="DU121" s="2" t="str">
        <f aca="false">IF(AK121="x","x",IF(AK121="-","-",""))</f>
        <v>-</v>
      </c>
      <c r="DV121" s="2" t="str">
        <f aca="false">IF(AL121="x","x",IF(AL121="-","-",""))</f>
        <v>-</v>
      </c>
      <c r="DW121" s="2" t="str">
        <f aca="false">IF(AM121="x","x",IF(AM121="-","-",""))</f>
        <v>-</v>
      </c>
      <c r="DX121" s="2" t="str">
        <f aca="false">IF(AN121="x","x",IF(AN121="-","-",""))</f>
        <v>-</v>
      </c>
    </row>
    <row r="122" customFormat="false" ht="13.8" hidden="false" customHeight="false" outlineLevel="0" collapsed="false">
      <c r="A122" s="10" t="s">
        <v>73</v>
      </c>
      <c r="B122" s="2" t="n">
        <v>121</v>
      </c>
      <c r="C122" s="1" t="s">
        <v>77</v>
      </c>
      <c r="D122" s="10" t="s">
        <v>92</v>
      </c>
      <c r="E122" s="10" t="s">
        <v>127</v>
      </c>
      <c r="F122" s="10"/>
      <c r="G122" s="10" t="s">
        <v>77</v>
      </c>
      <c r="H122" s="10" t="s">
        <v>77</v>
      </c>
      <c r="I122" s="10" t="s">
        <v>77</v>
      </c>
      <c r="J122" s="10" t="s">
        <v>77</v>
      </c>
      <c r="K122" s="10" t="s">
        <v>77</v>
      </c>
      <c r="L122" s="10" t="s">
        <v>77</v>
      </c>
      <c r="M122" s="2" t="n">
        <v>20</v>
      </c>
      <c r="N122" s="10" t="s">
        <v>77</v>
      </c>
      <c r="O122" s="10"/>
      <c r="P122" s="10" t="s">
        <v>77</v>
      </c>
      <c r="Q122" s="10" t="s">
        <v>77</v>
      </c>
      <c r="R122" s="10" t="s">
        <v>77</v>
      </c>
      <c r="S122" s="10" t="s">
        <v>77</v>
      </c>
      <c r="T122" s="10" t="s">
        <v>77</v>
      </c>
      <c r="U122" s="10" t="s">
        <v>77</v>
      </c>
      <c r="V122" s="10" t="s">
        <v>77</v>
      </c>
      <c r="W122" s="10" t="s">
        <v>77</v>
      </c>
      <c r="X122" s="10" t="s">
        <v>77</v>
      </c>
      <c r="Y122" s="10" t="s">
        <v>77</v>
      </c>
      <c r="Z122" s="10" t="s">
        <v>77</v>
      </c>
      <c r="AA122" s="10" t="s">
        <v>77</v>
      </c>
      <c r="AB122" s="10"/>
      <c r="AC122" s="10" t="s">
        <v>77</v>
      </c>
      <c r="AD122" s="10" t="s">
        <v>77</v>
      </c>
      <c r="AE122" s="10" t="s">
        <v>77</v>
      </c>
      <c r="AF122" s="10" t="s">
        <v>77</v>
      </c>
      <c r="AG122" s="10" t="s">
        <v>77</v>
      </c>
      <c r="AH122" s="10" t="s">
        <v>77</v>
      </c>
      <c r="AI122" s="10" t="s">
        <v>77</v>
      </c>
      <c r="AJ122" s="10" t="s">
        <v>77</v>
      </c>
      <c r="AK122" s="10" t="s">
        <v>77</v>
      </c>
      <c r="AL122" s="10" t="s">
        <v>77</v>
      </c>
      <c r="AM122" s="10" t="s">
        <v>77</v>
      </c>
      <c r="AN122" s="10" t="s">
        <v>77</v>
      </c>
      <c r="AO122" s="10"/>
      <c r="AP122" s="10" t="s">
        <v>73</v>
      </c>
      <c r="AQ122" s="10" t="s">
        <v>73</v>
      </c>
      <c r="AS122" s="10" t="s">
        <v>77</v>
      </c>
      <c r="AT122" s="10" t="s">
        <v>77</v>
      </c>
      <c r="AU122" s="10" t="s">
        <v>77</v>
      </c>
      <c r="AV122" s="10" t="s">
        <v>77</v>
      </c>
      <c r="AW122" s="10" t="s">
        <v>77</v>
      </c>
      <c r="AX122" s="10" t="s">
        <v>77</v>
      </c>
      <c r="AY122" s="10" t="s">
        <v>77</v>
      </c>
      <c r="AZ122" s="10" t="s">
        <v>77</v>
      </c>
      <c r="BA122" s="10" t="s">
        <v>77</v>
      </c>
      <c r="BB122" s="10" t="s">
        <v>77</v>
      </c>
      <c r="BC122" s="10" t="s">
        <v>77</v>
      </c>
      <c r="BD122" s="10" t="s">
        <v>77</v>
      </c>
      <c r="BE122" s="10" t="s">
        <v>77</v>
      </c>
      <c r="BF122" s="10" t="s">
        <v>77</v>
      </c>
      <c r="BG122" s="10" t="s">
        <v>77</v>
      </c>
      <c r="BH122" s="10" t="s">
        <v>77</v>
      </c>
      <c r="BI122" s="10" t="s">
        <v>77</v>
      </c>
      <c r="BJ122" s="10" t="s">
        <v>77</v>
      </c>
      <c r="BK122" s="10" t="s">
        <v>77</v>
      </c>
      <c r="BL122" s="10" t="s">
        <v>77</v>
      </c>
      <c r="BM122" s="10" t="s">
        <v>77</v>
      </c>
      <c r="BN122" s="10" t="s">
        <v>77</v>
      </c>
      <c r="BO122" s="10" t="s">
        <v>77</v>
      </c>
      <c r="BP122" s="10" t="s">
        <v>77</v>
      </c>
      <c r="BR122" s="10" t="s">
        <v>77</v>
      </c>
      <c r="BS122" s="10" t="s">
        <v>77</v>
      </c>
      <c r="BT122" s="10" t="s">
        <v>77</v>
      </c>
      <c r="BU122" s="10" t="s">
        <v>77</v>
      </c>
      <c r="BV122" s="10" t="s">
        <v>77</v>
      </c>
      <c r="BW122" s="10" t="s">
        <v>77</v>
      </c>
      <c r="BX122" s="10" t="s">
        <v>77</v>
      </c>
      <c r="BY122" s="10" t="s">
        <v>77</v>
      </c>
      <c r="CA122" s="2" t="str">
        <f aca="false">IF(AS122="x","x",IF(AS122="-","-",""))</f>
        <v>-</v>
      </c>
      <c r="CB122" s="2" t="str">
        <f aca="false">IF(AT122="x","x",IF(AT122="-","-",""))</f>
        <v>-</v>
      </c>
      <c r="CC122" s="2" t="str">
        <f aca="false">IF(AU122="x","x",IF(AU122="-","-",""))</f>
        <v>-</v>
      </c>
      <c r="CD122" s="2" t="str">
        <f aca="false">IF(AV122="x","x",IF(AV122="-","-",""))</f>
        <v>-</v>
      </c>
      <c r="CE122" s="2" t="str">
        <f aca="false">IF(AW122="x","x",IF(AW122="-","-",""))</f>
        <v>-</v>
      </c>
      <c r="CF122" s="2" t="str">
        <f aca="false">IF(AX122="x","x",IF(AX122="-","-",""))</f>
        <v>-</v>
      </c>
      <c r="CG122" s="2" t="str">
        <f aca="false">IF(AY122="x","x",IF(AY122="-","-",""))</f>
        <v>-</v>
      </c>
      <c r="CH122" s="2" t="str">
        <f aca="false">IF(AZ122="x","x",IF(AZ122="-","-",""))</f>
        <v>-</v>
      </c>
      <c r="CI122" s="2" t="str">
        <f aca="false">IF(BA122="x","x",IF(BA122="-","-",""))</f>
        <v>-</v>
      </c>
      <c r="CJ122" s="2" t="str">
        <f aca="false">IF(BB122="x","x",IF(BB122="-","-",""))</f>
        <v>-</v>
      </c>
      <c r="CK122" s="2" t="str">
        <f aca="false">IF(BC122="x","x",IF(BC122="-","-",""))</f>
        <v>-</v>
      </c>
      <c r="CL122" s="2" t="str">
        <f aca="false">IF(BD122="x","x",IF(BD122="-","-",""))</f>
        <v>-</v>
      </c>
      <c r="CM122" s="2" t="str">
        <f aca="false">IF(BE122="x","x",IF(BE122="-","-",""))</f>
        <v>-</v>
      </c>
      <c r="CN122" s="2" t="str">
        <f aca="false">IF(BF122="x","x",IF(BF122="-","-",""))</f>
        <v>-</v>
      </c>
      <c r="CO122" s="2" t="str">
        <f aca="false">IF(BG122="x","x",IF(BG122="-","-",""))</f>
        <v>-</v>
      </c>
      <c r="CP122" s="2" t="str">
        <f aca="false">IF(BH122="x","x",IF(BH122="-","-",""))</f>
        <v>-</v>
      </c>
      <c r="CQ122" s="2" t="str">
        <f aca="false">IF(BI122="x","x",IF(BI122="-","-",""))</f>
        <v>-</v>
      </c>
      <c r="CR122" s="2" t="str">
        <f aca="false">IF(BJ122="x","x",IF(BJ122="-","-",""))</f>
        <v>-</v>
      </c>
      <c r="CS122" s="2" t="str">
        <f aca="false">IF(BK122="x","x",IF(BK122="-","-",""))</f>
        <v>-</v>
      </c>
      <c r="CT122" s="2" t="str">
        <f aca="false">IF(BL122="x","x",IF(BL122="-","-",""))</f>
        <v>-</v>
      </c>
      <c r="CU122" s="2" t="str">
        <f aca="false">IF(BM122="x","x",IF(BM122="-","-",""))</f>
        <v>-</v>
      </c>
      <c r="CV122" s="2" t="str">
        <f aca="false">IF(BN122="x","x",IF(BN122="-","-",""))</f>
        <v>-</v>
      </c>
      <c r="CW122" s="2" t="str">
        <f aca="false">IF(BO122="x","x",IF(BO122="-","-",""))</f>
        <v>-</v>
      </c>
      <c r="CX122" s="2" t="str">
        <f aca="false">IF(BP122="x","x",IF(BP122="-","-",""))</f>
        <v>-</v>
      </c>
      <c r="CZ122" s="2" t="str">
        <f aca="false">IF(P122="x","x",IF(P122="-","-",""))</f>
        <v>-</v>
      </c>
      <c r="DA122" s="2" t="str">
        <f aca="false">IF(Q122="x","x",IF(Q122="-","-",""))</f>
        <v>-</v>
      </c>
      <c r="DB122" s="2" t="str">
        <f aca="false">IF(R122="x","x",IF(R122="-","-",""))</f>
        <v>-</v>
      </c>
      <c r="DC122" s="2" t="str">
        <f aca="false">IF(S122="x","x",IF(S122="-","-",""))</f>
        <v>-</v>
      </c>
      <c r="DD122" s="2" t="str">
        <f aca="false">IF(T122="x","x",IF(T122="-","-",""))</f>
        <v>-</v>
      </c>
      <c r="DE122" s="2" t="str">
        <f aca="false">IF(U122="x","x",IF(U122="-","-",""))</f>
        <v>-</v>
      </c>
      <c r="DF122" s="2" t="str">
        <f aca="false">IF(V122="x","x",IF(V122="-","-",""))</f>
        <v>-</v>
      </c>
      <c r="DG122" s="2" t="str">
        <f aca="false">IF(W122="x","x",IF(W122="-","-",""))</f>
        <v>-</v>
      </c>
      <c r="DH122" s="2" t="str">
        <f aca="false">IF(X122="x","x",IF(X122="-","-",""))</f>
        <v>-</v>
      </c>
      <c r="DI122" s="2" t="str">
        <f aca="false">IF(Y122="x","x",IF(Y122="-","-",""))</f>
        <v>-</v>
      </c>
      <c r="DJ122" s="2" t="str">
        <f aca="false">IF(Z122="x","x",IF(Z122="-","-",""))</f>
        <v>-</v>
      </c>
      <c r="DK122" s="2" t="str">
        <f aca="false">IF(AA122="x","x",IF(AA122="-","-",""))</f>
        <v>-</v>
      </c>
      <c r="DL122" s="10"/>
      <c r="DM122" s="2" t="str">
        <f aca="false">IF(AC122="x","x",IF(AC122="-","-",""))</f>
        <v>-</v>
      </c>
      <c r="DN122" s="2" t="str">
        <f aca="false">IF(AD122="x","x",IF(AD122="-","-",""))</f>
        <v>-</v>
      </c>
      <c r="DO122" s="2" t="str">
        <f aca="false">IF(AE122="x","x",IF(AE122="-","-",""))</f>
        <v>-</v>
      </c>
      <c r="DP122" s="2" t="str">
        <f aca="false">IF(AF122="x","x",IF(AF122="-","-",""))</f>
        <v>-</v>
      </c>
      <c r="DQ122" s="2" t="str">
        <f aca="false">IF(AG122="x","x",IF(AG122="-","-",""))</f>
        <v>-</v>
      </c>
      <c r="DR122" s="2" t="str">
        <f aca="false">IF(AH122="x","x",IF(AH122="-","-",""))</f>
        <v>-</v>
      </c>
      <c r="DS122" s="2" t="str">
        <f aca="false">IF(AI122="x","x",IF(AI122="-","-",""))</f>
        <v>-</v>
      </c>
      <c r="DT122" s="2" t="str">
        <f aca="false">IF(AJ122="x","x",IF(AJ122="-","-",""))</f>
        <v>-</v>
      </c>
      <c r="DU122" s="2" t="str">
        <f aca="false">IF(AK122="x","x",IF(AK122="-","-",""))</f>
        <v>-</v>
      </c>
      <c r="DV122" s="2" t="str">
        <f aca="false">IF(AL122="x","x",IF(AL122="-","-",""))</f>
        <v>-</v>
      </c>
      <c r="DW122" s="2" t="str">
        <f aca="false">IF(AM122="x","x",IF(AM122="-","-",""))</f>
        <v>-</v>
      </c>
      <c r="DX122" s="2" t="str">
        <f aca="false">IF(AN122="x","x",IF(AN122="-","-",""))</f>
        <v>-</v>
      </c>
    </row>
    <row r="123" customFormat="false" ht="13.8" hidden="false" customHeight="false" outlineLevel="0" collapsed="false">
      <c r="A123" s="10" t="s">
        <v>73</v>
      </c>
      <c r="B123" s="2" t="n">
        <v>122</v>
      </c>
      <c r="C123" s="1" t="s">
        <v>77</v>
      </c>
      <c r="D123" s="10" t="s">
        <v>92</v>
      </c>
      <c r="E123" s="10" t="s">
        <v>127</v>
      </c>
      <c r="F123" s="10"/>
      <c r="G123" s="10" t="s">
        <v>77</v>
      </c>
      <c r="H123" s="10" t="s">
        <v>77</v>
      </c>
      <c r="I123" s="10" t="s">
        <v>77</v>
      </c>
      <c r="J123" s="10" t="s">
        <v>77</v>
      </c>
      <c r="K123" s="10" t="s">
        <v>77</v>
      </c>
      <c r="L123" s="10" t="s">
        <v>77</v>
      </c>
      <c r="M123" s="2" t="n">
        <v>20</v>
      </c>
      <c r="N123" s="10" t="s">
        <v>77</v>
      </c>
      <c r="O123" s="10"/>
      <c r="P123" s="10" t="s">
        <v>77</v>
      </c>
      <c r="Q123" s="10" t="s">
        <v>77</v>
      </c>
      <c r="R123" s="10" t="s">
        <v>77</v>
      </c>
      <c r="S123" s="10" t="s">
        <v>77</v>
      </c>
      <c r="T123" s="10" t="s">
        <v>77</v>
      </c>
      <c r="U123" s="10" t="s">
        <v>77</v>
      </c>
      <c r="V123" s="10" t="s">
        <v>77</v>
      </c>
      <c r="W123" s="10" t="s">
        <v>77</v>
      </c>
      <c r="X123" s="10" t="s">
        <v>77</v>
      </c>
      <c r="Y123" s="10" t="s">
        <v>77</v>
      </c>
      <c r="Z123" s="10" t="s">
        <v>77</v>
      </c>
      <c r="AA123" s="10" t="s">
        <v>77</v>
      </c>
      <c r="AB123" s="10"/>
      <c r="AC123" s="10" t="s">
        <v>77</v>
      </c>
      <c r="AD123" s="10" t="s">
        <v>77</v>
      </c>
      <c r="AE123" s="10" t="s">
        <v>77</v>
      </c>
      <c r="AF123" s="10" t="s">
        <v>77</v>
      </c>
      <c r="AG123" s="10" t="s">
        <v>77</v>
      </c>
      <c r="AH123" s="10" t="s">
        <v>77</v>
      </c>
      <c r="AI123" s="10" t="s">
        <v>77</v>
      </c>
      <c r="AJ123" s="10" t="s">
        <v>77</v>
      </c>
      <c r="AK123" s="10" t="s">
        <v>77</v>
      </c>
      <c r="AL123" s="10" t="s">
        <v>77</v>
      </c>
      <c r="AM123" s="10" t="s">
        <v>77</v>
      </c>
      <c r="AN123" s="10" t="s">
        <v>77</v>
      </c>
      <c r="AO123" s="10"/>
      <c r="AP123" s="10" t="s">
        <v>73</v>
      </c>
      <c r="AQ123" s="10" t="s">
        <v>73</v>
      </c>
      <c r="AS123" s="10" t="s">
        <v>77</v>
      </c>
      <c r="AT123" s="10" t="s">
        <v>77</v>
      </c>
      <c r="AU123" s="10" t="s">
        <v>77</v>
      </c>
      <c r="AV123" s="10" t="s">
        <v>77</v>
      </c>
      <c r="AW123" s="10" t="s">
        <v>77</v>
      </c>
      <c r="AX123" s="10" t="s">
        <v>77</v>
      </c>
      <c r="AY123" s="10" t="s">
        <v>77</v>
      </c>
      <c r="AZ123" s="10" t="s">
        <v>77</v>
      </c>
      <c r="BA123" s="10" t="s">
        <v>77</v>
      </c>
      <c r="BB123" s="10" t="s">
        <v>77</v>
      </c>
      <c r="BC123" s="10" t="s">
        <v>77</v>
      </c>
      <c r="BD123" s="10" t="s">
        <v>77</v>
      </c>
      <c r="BE123" s="10" t="s">
        <v>77</v>
      </c>
      <c r="BF123" s="10" t="s">
        <v>77</v>
      </c>
      <c r="BG123" s="10" t="s">
        <v>77</v>
      </c>
      <c r="BH123" s="10" t="s">
        <v>77</v>
      </c>
      <c r="BI123" s="10" t="s">
        <v>77</v>
      </c>
      <c r="BJ123" s="10" t="s">
        <v>77</v>
      </c>
      <c r="BK123" s="10" t="s">
        <v>77</v>
      </c>
      <c r="BL123" s="10" t="s">
        <v>77</v>
      </c>
      <c r="BM123" s="10" t="s">
        <v>77</v>
      </c>
      <c r="BN123" s="10" t="s">
        <v>77</v>
      </c>
      <c r="BO123" s="10" t="s">
        <v>77</v>
      </c>
      <c r="BP123" s="10" t="s">
        <v>77</v>
      </c>
      <c r="BR123" s="10" t="s">
        <v>77</v>
      </c>
      <c r="BS123" s="10" t="s">
        <v>77</v>
      </c>
      <c r="BT123" s="10" t="s">
        <v>77</v>
      </c>
      <c r="BU123" s="10" t="s">
        <v>77</v>
      </c>
      <c r="BV123" s="10" t="s">
        <v>77</v>
      </c>
      <c r="BW123" s="10" t="s">
        <v>77</v>
      </c>
      <c r="BX123" s="10" t="s">
        <v>77</v>
      </c>
      <c r="BY123" s="10" t="s">
        <v>77</v>
      </c>
      <c r="CA123" s="2" t="str">
        <f aca="false">IF(AS123="x","x",IF(AS123="-","-",""))</f>
        <v>-</v>
      </c>
      <c r="CB123" s="2" t="str">
        <f aca="false">IF(AT123="x","x",IF(AT123="-","-",""))</f>
        <v>-</v>
      </c>
      <c r="CC123" s="2" t="str">
        <f aca="false">IF(AU123="x","x",IF(AU123="-","-",""))</f>
        <v>-</v>
      </c>
      <c r="CD123" s="2" t="str">
        <f aca="false">IF(AV123="x","x",IF(AV123="-","-",""))</f>
        <v>-</v>
      </c>
      <c r="CE123" s="2" t="str">
        <f aca="false">IF(AW123="x","x",IF(AW123="-","-",""))</f>
        <v>-</v>
      </c>
      <c r="CF123" s="2" t="str">
        <f aca="false">IF(AX123="x","x",IF(AX123="-","-",""))</f>
        <v>-</v>
      </c>
      <c r="CG123" s="2" t="str">
        <f aca="false">IF(AY123="x","x",IF(AY123="-","-",""))</f>
        <v>-</v>
      </c>
      <c r="CH123" s="2" t="str">
        <f aca="false">IF(AZ123="x","x",IF(AZ123="-","-",""))</f>
        <v>-</v>
      </c>
      <c r="CI123" s="2" t="str">
        <f aca="false">IF(BA123="x","x",IF(BA123="-","-",""))</f>
        <v>-</v>
      </c>
      <c r="CJ123" s="2" t="str">
        <f aca="false">IF(BB123="x","x",IF(BB123="-","-",""))</f>
        <v>-</v>
      </c>
      <c r="CK123" s="2" t="str">
        <f aca="false">IF(BC123="x","x",IF(BC123="-","-",""))</f>
        <v>-</v>
      </c>
      <c r="CL123" s="2" t="str">
        <f aca="false">IF(BD123="x","x",IF(BD123="-","-",""))</f>
        <v>-</v>
      </c>
      <c r="CM123" s="2" t="str">
        <f aca="false">IF(BE123="x","x",IF(BE123="-","-",""))</f>
        <v>-</v>
      </c>
      <c r="CN123" s="2" t="str">
        <f aca="false">IF(BF123="x","x",IF(BF123="-","-",""))</f>
        <v>-</v>
      </c>
      <c r="CO123" s="2" t="str">
        <f aca="false">IF(BG123="x","x",IF(BG123="-","-",""))</f>
        <v>-</v>
      </c>
      <c r="CP123" s="2" t="str">
        <f aca="false">IF(BH123="x","x",IF(BH123="-","-",""))</f>
        <v>-</v>
      </c>
      <c r="CQ123" s="2" t="str">
        <f aca="false">IF(BI123="x","x",IF(BI123="-","-",""))</f>
        <v>-</v>
      </c>
      <c r="CR123" s="2" t="str">
        <f aca="false">IF(BJ123="x","x",IF(BJ123="-","-",""))</f>
        <v>-</v>
      </c>
      <c r="CS123" s="2" t="str">
        <f aca="false">IF(BK123="x","x",IF(BK123="-","-",""))</f>
        <v>-</v>
      </c>
      <c r="CT123" s="2" t="str">
        <f aca="false">IF(BL123="x","x",IF(BL123="-","-",""))</f>
        <v>-</v>
      </c>
      <c r="CU123" s="2" t="str">
        <f aca="false">IF(BM123="x","x",IF(BM123="-","-",""))</f>
        <v>-</v>
      </c>
      <c r="CV123" s="2" t="str">
        <f aca="false">IF(BN123="x","x",IF(BN123="-","-",""))</f>
        <v>-</v>
      </c>
      <c r="CW123" s="2" t="str">
        <f aca="false">IF(BO123="x","x",IF(BO123="-","-",""))</f>
        <v>-</v>
      </c>
      <c r="CX123" s="2" t="str">
        <f aca="false">IF(BP123="x","x",IF(BP123="-","-",""))</f>
        <v>-</v>
      </c>
      <c r="CZ123" s="2" t="str">
        <f aca="false">IF(P123="x","x",IF(P123="-","-",""))</f>
        <v>-</v>
      </c>
      <c r="DA123" s="2" t="str">
        <f aca="false">IF(Q123="x","x",IF(Q123="-","-",""))</f>
        <v>-</v>
      </c>
      <c r="DB123" s="2" t="str">
        <f aca="false">IF(R123="x","x",IF(R123="-","-",""))</f>
        <v>-</v>
      </c>
      <c r="DC123" s="2" t="str">
        <f aca="false">IF(S123="x","x",IF(S123="-","-",""))</f>
        <v>-</v>
      </c>
      <c r="DD123" s="2" t="str">
        <f aca="false">IF(T123="x","x",IF(T123="-","-",""))</f>
        <v>-</v>
      </c>
      <c r="DE123" s="2" t="str">
        <f aca="false">IF(U123="x","x",IF(U123="-","-",""))</f>
        <v>-</v>
      </c>
      <c r="DF123" s="2" t="str">
        <f aca="false">IF(V123="x","x",IF(V123="-","-",""))</f>
        <v>-</v>
      </c>
      <c r="DG123" s="2" t="str">
        <f aca="false">IF(W123="x","x",IF(W123="-","-",""))</f>
        <v>-</v>
      </c>
      <c r="DH123" s="2" t="str">
        <f aca="false">IF(X123="x","x",IF(X123="-","-",""))</f>
        <v>-</v>
      </c>
      <c r="DI123" s="2" t="str">
        <f aca="false">IF(Y123="x","x",IF(Y123="-","-",""))</f>
        <v>-</v>
      </c>
      <c r="DJ123" s="2" t="str">
        <f aca="false">IF(Z123="x","x",IF(Z123="-","-",""))</f>
        <v>-</v>
      </c>
      <c r="DK123" s="2" t="str">
        <f aca="false">IF(AA123="x","x",IF(AA123="-","-",""))</f>
        <v>-</v>
      </c>
      <c r="DL123" s="10"/>
      <c r="DM123" s="2" t="str">
        <f aca="false">IF(AC123="x","x",IF(AC123="-","-",""))</f>
        <v>-</v>
      </c>
      <c r="DN123" s="2" t="str">
        <f aca="false">IF(AD123="x","x",IF(AD123="-","-",""))</f>
        <v>-</v>
      </c>
      <c r="DO123" s="2" t="str">
        <f aca="false">IF(AE123="x","x",IF(AE123="-","-",""))</f>
        <v>-</v>
      </c>
      <c r="DP123" s="2" t="str">
        <f aca="false">IF(AF123="x","x",IF(AF123="-","-",""))</f>
        <v>-</v>
      </c>
      <c r="DQ123" s="2" t="str">
        <f aca="false">IF(AG123="x","x",IF(AG123="-","-",""))</f>
        <v>-</v>
      </c>
      <c r="DR123" s="2" t="str">
        <f aca="false">IF(AH123="x","x",IF(AH123="-","-",""))</f>
        <v>-</v>
      </c>
      <c r="DS123" s="2" t="str">
        <f aca="false">IF(AI123="x","x",IF(AI123="-","-",""))</f>
        <v>-</v>
      </c>
      <c r="DT123" s="2" t="str">
        <f aca="false">IF(AJ123="x","x",IF(AJ123="-","-",""))</f>
        <v>-</v>
      </c>
      <c r="DU123" s="2" t="str">
        <f aca="false">IF(AK123="x","x",IF(AK123="-","-",""))</f>
        <v>-</v>
      </c>
      <c r="DV123" s="2" t="str">
        <f aca="false">IF(AL123="x","x",IF(AL123="-","-",""))</f>
        <v>-</v>
      </c>
      <c r="DW123" s="2" t="str">
        <f aca="false">IF(AM123="x","x",IF(AM123="-","-",""))</f>
        <v>-</v>
      </c>
      <c r="DX123" s="2" t="str">
        <f aca="false">IF(AN123="x","x",IF(AN123="-","-",""))</f>
        <v>-</v>
      </c>
    </row>
    <row r="124" customFormat="false" ht="13.8" hidden="false" customHeight="false" outlineLevel="0" collapsed="false">
      <c r="A124" s="10" t="s">
        <v>73</v>
      </c>
      <c r="B124" s="2" t="n">
        <v>123</v>
      </c>
      <c r="C124" s="1" t="s">
        <v>77</v>
      </c>
      <c r="D124" s="10" t="s">
        <v>92</v>
      </c>
      <c r="E124" s="10" t="s">
        <v>127</v>
      </c>
      <c r="F124" s="10"/>
      <c r="G124" s="10" t="s">
        <v>77</v>
      </c>
      <c r="H124" s="10" t="s">
        <v>77</v>
      </c>
      <c r="I124" s="10" t="s">
        <v>77</v>
      </c>
      <c r="J124" s="10" t="s">
        <v>77</v>
      </c>
      <c r="K124" s="10" t="s">
        <v>77</v>
      </c>
      <c r="L124" s="10" t="s">
        <v>77</v>
      </c>
      <c r="M124" s="2" t="n">
        <v>20</v>
      </c>
      <c r="N124" s="10" t="s">
        <v>77</v>
      </c>
      <c r="O124" s="10"/>
      <c r="P124" s="10" t="s">
        <v>77</v>
      </c>
      <c r="Q124" s="10" t="s">
        <v>77</v>
      </c>
      <c r="R124" s="10" t="s">
        <v>77</v>
      </c>
      <c r="S124" s="10" t="s">
        <v>77</v>
      </c>
      <c r="T124" s="10" t="s">
        <v>77</v>
      </c>
      <c r="U124" s="10" t="s">
        <v>77</v>
      </c>
      <c r="V124" s="10" t="s">
        <v>77</v>
      </c>
      <c r="W124" s="10" t="s">
        <v>77</v>
      </c>
      <c r="X124" s="10" t="s">
        <v>77</v>
      </c>
      <c r="Y124" s="10" t="s">
        <v>77</v>
      </c>
      <c r="Z124" s="10" t="s">
        <v>77</v>
      </c>
      <c r="AA124" s="10" t="s">
        <v>77</v>
      </c>
      <c r="AB124" s="10"/>
      <c r="AC124" s="10" t="s">
        <v>77</v>
      </c>
      <c r="AD124" s="10" t="s">
        <v>77</v>
      </c>
      <c r="AE124" s="10" t="s">
        <v>77</v>
      </c>
      <c r="AF124" s="10" t="s">
        <v>77</v>
      </c>
      <c r="AG124" s="10" t="s">
        <v>77</v>
      </c>
      <c r="AH124" s="10" t="s">
        <v>77</v>
      </c>
      <c r="AI124" s="10" t="s">
        <v>77</v>
      </c>
      <c r="AJ124" s="10" t="s">
        <v>77</v>
      </c>
      <c r="AK124" s="10" t="s">
        <v>77</v>
      </c>
      <c r="AL124" s="10" t="s">
        <v>77</v>
      </c>
      <c r="AM124" s="10" t="s">
        <v>77</v>
      </c>
      <c r="AN124" s="10" t="s">
        <v>77</v>
      </c>
      <c r="AO124" s="10"/>
      <c r="AP124" s="10" t="s">
        <v>73</v>
      </c>
      <c r="AQ124" s="10" t="s">
        <v>73</v>
      </c>
      <c r="AS124" s="10" t="s">
        <v>77</v>
      </c>
      <c r="AT124" s="10" t="s">
        <v>77</v>
      </c>
      <c r="AU124" s="10" t="s">
        <v>77</v>
      </c>
      <c r="AV124" s="10" t="s">
        <v>77</v>
      </c>
      <c r="AW124" s="10" t="s">
        <v>77</v>
      </c>
      <c r="AX124" s="10" t="s">
        <v>77</v>
      </c>
      <c r="AY124" s="10" t="s">
        <v>77</v>
      </c>
      <c r="AZ124" s="10" t="s">
        <v>77</v>
      </c>
      <c r="BA124" s="10" t="s">
        <v>77</v>
      </c>
      <c r="BB124" s="10" t="s">
        <v>77</v>
      </c>
      <c r="BC124" s="10" t="s">
        <v>77</v>
      </c>
      <c r="BD124" s="10" t="s">
        <v>77</v>
      </c>
      <c r="BE124" s="10" t="s">
        <v>77</v>
      </c>
      <c r="BF124" s="10" t="s">
        <v>77</v>
      </c>
      <c r="BG124" s="10" t="s">
        <v>77</v>
      </c>
      <c r="BH124" s="10" t="s">
        <v>77</v>
      </c>
      <c r="BI124" s="10" t="s">
        <v>77</v>
      </c>
      <c r="BJ124" s="10" t="s">
        <v>77</v>
      </c>
      <c r="BK124" s="10" t="s">
        <v>77</v>
      </c>
      <c r="BL124" s="10" t="s">
        <v>77</v>
      </c>
      <c r="BM124" s="10" t="s">
        <v>77</v>
      </c>
      <c r="BN124" s="10" t="s">
        <v>77</v>
      </c>
      <c r="BO124" s="10" t="s">
        <v>77</v>
      </c>
      <c r="BP124" s="10" t="s">
        <v>77</v>
      </c>
      <c r="BR124" s="10" t="s">
        <v>77</v>
      </c>
      <c r="BS124" s="10" t="s">
        <v>77</v>
      </c>
      <c r="BT124" s="10" t="s">
        <v>77</v>
      </c>
      <c r="BU124" s="10" t="s">
        <v>77</v>
      </c>
      <c r="BV124" s="10" t="s">
        <v>77</v>
      </c>
      <c r="BW124" s="10" t="s">
        <v>77</v>
      </c>
      <c r="BX124" s="10" t="s">
        <v>77</v>
      </c>
      <c r="BY124" s="10" t="s">
        <v>77</v>
      </c>
      <c r="CA124" s="2" t="str">
        <f aca="false">IF(AS124="x","x",IF(AS124="-","-",""))</f>
        <v>-</v>
      </c>
      <c r="CB124" s="2" t="str">
        <f aca="false">IF(AT124="x","x",IF(AT124="-","-",""))</f>
        <v>-</v>
      </c>
      <c r="CC124" s="2" t="str">
        <f aca="false">IF(AU124="x","x",IF(AU124="-","-",""))</f>
        <v>-</v>
      </c>
      <c r="CD124" s="2" t="str">
        <f aca="false">IF(AV124="x","x",IF(AV124="-","-",""))</f>
        <v>-</v>
      </c>
      <c r="CE124" s="2" t="str">
        <f aca="false">IF(AW124="x","x",IF(AW124="-","-",""))</f>
        <v>-</v>
      </c>
      <c r="CF124" s="2" t="str">
        <f aca="false">IF(AX124="x","x",IF(AX124="-","-",""))</f>
        <v>-</v>
      </c>
      <c r="CG124" s="2" t="str">
        <f aca="false">IF(AY124="x","x",IF(AY124="-","-",""))</f>
        <v>-</v>
      </c>
      <c r="CH124" s="2" t="str">
        <f aca="false">IF(AZ124="x","x",IF(AZ124="-","-",""))</f>
        <v>-</v>
      </c>
      <c r="CI124" s="2" t="str">
        <f aca="false">IF(BA124="x","x",IF(BA124="-","-",""))</f>
        <v>-</v>
      </c>
      <c r="CJ124" s="2" t="str">
        <f aca="false">IF(BB124="x","x",IF(BB124="-","-",""))</f>
        <v>-</v>
      </c>
      <c r="CK124" s="2" t="str">
        <f aca="false">IF(BC124="x","x",IF(BC124="-","-",""))</f>
        <v>-</v>
      </c>
      <c r="CL124" s="2" t="str">
        <f aca="false">IF(BD124="x","x",IF(BD124="-","-",""))</f>
        <v>-</v>
      </c>
      <c r="CM124" s="2" t="str">
        <f aca="false">IF(BE124="x","x",IF(BE124="-","-",""))</f>
        <v>-</v>
      </c>
      <c r="CN124" s="2" t="str">
        <f aca="false">IF(BF124="x","x",IF(BF124="-","-",""))</f>
        <v>-</v>
      </c>
      <c r="CO124" s="2" t="str">
        <f aca="false">IF(BG124="x","x",IF(BG124="-","-",""))</f>
        <v>-</v>
      </c>
      <c r="CP124" s="2" t="str">
        <f aca="false">IF(BH124="x","x",IF(BH124="-","-",""))</f>
        <v>-</v>
      </c>
      <c r="CQ124" s="2" t="str">
        <f aca="false">IF(BI124="x","x",IF(BI124="-","-",""))</f>
        <v>-</v>
      </c>
      <c r="CR124" s="2" t="str">
        <f aca="false">IF(BJ124="x","x",IF(BJ124="-","-",""))</f>
        <v>-</v>
      </c>
      <c r="CS124" s="2" t="str">
        <f aca="false">IF(BK124="x","x",IF(BK124="-","-",""))</f>
        <v>-</v>
      </c>
      <c r="CT124" s="2" t="str">
        <f aca="false">IF(BL124="x","x",IF(BL124="-","-",""))</f>
        <v>-</v>
      </c>
      <c r="CU124" s="2" t="str">
        <f aca="false">IF(BM124="x","x",IF(BM124="-","-",""))</f>
        <v>-</v>
      </c>
      <c r="CV124" s="2" t="str">
        <f aca="false">IF(BN124="x","x",IF(BN124="-","-",""))</f>
        <v>-</v>
      </c>
      <c r="CW124" s="2" t="str">
        <f aca="false">IF(BO124="x","x",IF(BO124="-","-",""))</f>
        <v>-</v>
      </c>
      <c r="CX124" s="2" t="str">
        <f aca="false">IF(BP124="x","x",IF(BP124="-","-",""))</f>
        <v>-</v>
      </c>
      <c r="CZ124" s="2" t="str">
        <f aca="false">IF(P124="x","x",IF(P124="-","-",""))</f>
        <v>-</v>
      </c>
      <c r="DA124" s="2" t="str">
        <f aca="false">IF(Q124="x","x",IF(Q124="-","-",""))</f>
        <v>-</v>
      </c>
      <c r="DB124" s="2" t="str">
        <f aca="false">IF(R124="x","x",IF(R124="-","-",""))</f>
        <v>-</v>
      </c>
      <c r="DC124" s="2" t="str">
        <f aca="false">IF(S124="x","x",IF(S124="-","-",""))</f>
        <v>-</v>
      </c>
      <c r="DD124" s="2" t="str">
        <f aca="false">IF(T124="x","x",IF(T124="-","-",""))</f>
        <v>-</v>
      </c>
      <c r="DE124" s="2" t="str">
        <f aca="false">IF(U124="x","x",IF(U124="-","-",""))</f>
        <v>-</v>
      </c>
      <c r="DF124" s="2" t="str">
        <f aca="false">IF(V124="x","x",IF(V124="-","-",""))</f>
        <v>-</v>
      </c>
      <c r="DG124" s="2" t="str">
        <f aca="false">IF(W124="x","x",IF(W124="-","-",""))</f>
        <v>-</v>
      </c>
      <c r="DH124" s="2" t="str">
        <f aca="false">IF(X124="x","x",IF(X124="-","-",""))</f>
        <v>-</v>
      </c>
      <c r="DI124" s="2" t="str">
        <f aca="false">IF(Y124="x","x",IF(Y124="-","-",""))</f>
        <v>-</v>
      </c>
      <c r="DJ124" s="2" t="str">
        <f aca="false">IF(Z124="x","x",IF(Z124="-","-",""))</f>
        <v>-</v>
      </c>
      <c r="DK124" s="2" t="str">
        <f aca="false">IF(AA124="x","x",IF(AA124="-","-",""))</f>
        <v>-</v>
      </c>
      <c r="DL124" s="10"/>
      <c r="DM124" s="2" t="str">
        <f aca="false">IF(AC124="x","x",IF(AC124="-","-",""))</f>
        <v>-</v>
      </c>
      <c r="DN124" s="2" t="str">
        <f aca="false">IF(AD124="x","x",IF(AD124="-","-",""))</f>
        <v>-</v>
      </c>
      <c r="DO124" s="2" t="str">
        <f aca="false">IF(AE124="x","x",IF(AE124="-","-",""))</f>
        <v>-</v>
      </c>
      <c r="DP124" s="2" t="str">
        <f aca="false">IF(AF124="x","x",IF(AF124="-","-",""))</f>
        <v>-</v>
      </c>
      <c r="DQ124" s="2" t="str">
        <f aca="false">IF(AG124="x","x",IF(AG124="-","-",""))</f>
        <v>-</v>
      </c>
      <c r="DR124" s="2" t="str">
        <f aca="false">IF(AH124="x","x",IF(AH124="-","-",""))</f>
        <v>-</v>
      </c>
      <c r="DS124" s="2" t="str">
        <f aca="false">IF(AI124="x","x",IF(AI124="-","-",""))</f>
        <v>-</v>
      </c>
      <c r="DT124" s="2" t="str">
        <f aca="false">IF(AJ124="x","x",IF(AJ124="-","-",""))</f>
        <v>-</v>
      </c>
      <c r="DU124" s="2" t="str">
        <f aca="false">IF(AK124="x","x",IF(AK124="-","-",""))</f>
        <v>-</v>
      </c>
      <c r="DV124" s="2" t="str">
        <f aca="false">IF(AL124="x","x",IF(AL124="-","-",""))</f>
        <v>-</v>
      </c>
      <c r="DW124" s="2" t="str">
        <f aca="false">IF(AM124="x","x",IF(AM124="-","-",""))</f>
        <v>-</v>
      </c>
      <c r="DX124" s="2" t="str">
        <f aca="false">IF(AN124="x","x",IF(AN124="-","-",""))</f>
        <v>-</v>
      </c>
    </row>
    <row r="125" customFormat="false" ht="13.8" hidden="false" customHeight="false" outlineLevel="0" collapsed="false">
      <c r="A125" s="10" t="s">
        <v>73</v>
      </c>
      <c r="B125" s="2" t="n">
        <v>124</v>
      </c>
      <c r="C125" s="1" t="s">
        <v>77</v>
      </c>
      <c r="D125" s="10" t="s">
        <v>92</v>
      </c>
      <c r="E125" s="10" t="s">
        <v>127</v>
      </c>
      <c r="F125" s="10"/>
      <c r="G125" s="10" t="s">
        <v>77</v>
      </c>
      <c r="H125" s="10" t="s">
        <v>77</v>
      </c>
      <c r="I125" s="10" t="s">
        <v>77</v>
      </c>
      <c r="J125" s="10" t="s">
        <v>77</v>
      </c>
      <c r="K125" s="10" t="s">
        <v>77</v>
      </c>
      <c r="L125" s="10" t="s">
        <v>77</v>
      </c>
      <c r="M125" s="2" t="n">
        <v>20</v>
      </c>
      <c r="N125" s="10" t="s">
        <v>77</v>
      </c>
      <c r="O125" s="10"/>
      <c r="P125" s="10" t="s">
        <v>77</v>
      </c>
      <c r="Q125" s="10" t="s">
        <v>77</v>
      </c>
      <c r="R125" s="10" t="s">
        <v>77</v>
      </c>
      <c r="S125" s="10" t="s">
        <v>77</v>
      </c>
      <c r="T125" s="10" t="s">
        <v>77</v>
      </c>
      <c r="U125" s="10" t="s">
        <v>77</v>
      </c>
      <c r="V125" s="10" t="s">
        <v>77</v>
      </c>
      <c r="W125" s="10" t="s">
        <v>77</v>
      </c>
      <c r="X125" s="10" t="s">
        <v>77</v>
      </c>
      <c r="Y125" s="10" t="s">
        <v>77</v>
      </c>
      <c r="Z125" s="10" t="s">
        <v>77</v>
      </c>
      <c r="AA125" s="10" t="s">
        <v>77</v>
      </c>
      <c r="AB125" s="10"/>
      <c r="AC125" s="10" t="s">
        <v>77</v>
      </c>
      <c r="AD125" s="10" t="s">
        <v>77</v>
      </c>
      <c r="AE125" s="10" t="s">
        <v>77</v>
      </c>
      <c r="AF125" s="10" t="s">
        <v>77</v>
      </c>
      <c r="AG125" s="10" t="s">
        <v>77</v>
      </c>
      <c r="AH125" s="10" t="s">
        <v>77</v>
      </c>
      <c r="AI125" s="10" t="s">
        <v>77</v>
      </c>
      <c r="AJ125" s="10" t="s">
        <v>77</v>
      </c>
      <c r="AK125" s="10" t="s">
        <v>77</v>
      </c>
      <c r="AL125" s="10" t="s">
        <v>77</v>
      </c>
      <c r="AM125" s="10" t="s">
        <v>77</v>
      </c>
      <c r="AN125" s="10" t="s">
        <v>77</v>
      </c>
      <c r="AO125" s="10"/>
      <c r="AP125" s="10" t="s">
        <v>73</v>
      </c>
      <c r="AQ125" s="10" t="s">
        <v>73</v>
      </c>
      <c r="AS125" s="10" t="s">
        <v>77</v>
      </c>
      <c r="AT125" s="10" t="s">
        <v>77</v>
      </c>
      <c r="AU125" s="10" t="s">
        <v>77</v>
      </c>
      <c r="AV125" s="10" t="s">
        <v>77</v>
      </c>
      <c r="AW125" s="10" t="s">
        <v>77</v>
      </c>
      <c r="AX125" s="10" t="s">
        <v>77</v>
      </c>
      <c r="AY125" s="10" t="s">
        <v>77</v>
      </c>
      <c r="AZ125" s="10" t="s">
        <v>77</v>
      </c>
      <c r="BA125" s="10" t="s">
        <v>77</v>
      </c>
      <c r="BB125" s="10" t="s">
        <v>77</v>
      </c>
      <c r="BC125" s="10" t="s">
        <v>77</v>
      </c>
      <c r="BD125" s="10" t="s">
        <v>77</v>
      </c>
      <c r="BE125" s="10" t="s">
        <v>77</v>
      </c>
      <c r="BF125" s="10" t="s">
        <v>77</v>
      </c>
      <c r="BG125" s="10" t="s">
        <v>77</v>
      </c>
      <c r="BH125" s="10" t="s">
        <v>77</v>
      </c>
      <c r="BI125" s="10" t="s">
        <v>77</v>
      </c>
      <c r="BJ125" s="10" t="s">
        <v>77</v>
      </c>
      <c r="BK125" s="10" t="s">
        <v>77</v>
      </c>
      <c r="BL125" s="10" t="s">
        <v>77</v>
      </c>
      <c r="BM125" s="10" t="s">
        <v>77</v>
      </c>
      <c r="BN125" s="10" t="s">
        <v>77</v>
      </c>
      <c r="BO125" s="10" t="s">
        <v>77</v>
      </c>
      <c r="BP125" s="10" t="s">
        <v>77</v>
      </c>
      <c r="BR125" s="10" t="s">
        <v>77</v>
      </c>
      <c r="BS125" s="10" t="s">
        <v>77</v>
      </c>
      <c r="BT125" s="10" t="s">
        <v>77</v>
      </c>
      <c r="BU125" s="10" t="s">
        <v>77</v>
      </c>
      <c r="BV125" s="10" t="s">
        <v>77</v>
      </c>
      <c r="BW125" s="10" t="s">
        <v>77</v>
      </c>
      <c r="BX125" s="10" t="s">
        <v>77</v>
      </c>
      <c r="BY125" s="10" t="s">
        <v>77</v>
      </c>
      <c r="CA125" s="2" t="str">
        <f aca="false">IF(AS125="x","x",IF(AS125="-","-",""))</f>
        <v>-</v>
      </c>
      <c r="CB125" s="2" t="str">
        <f aca="false">IF(AT125="x","x",IF(AT125="-","-",""))</f>
        <v>-</v>
      </c>
      <c r="CC125" s="2" t="str">
        <f aca="false">IF(AU125="x","x",IF(AU125="-","-",""))</f>
        <v>-</v>
      </c>
      <c r="CD125" s="2" t="str">
        <f aca="false">IF(AV125="x","x",IF(AV125="-","-",""))</f>
        <v>-</v>
      </c>
      <c r="CE125" s="2" t="str">
        <f aca="false">IF(AW125="x","x",IF(AW125="-","-",""))</f>
        <v>-</v>
      </c>
      <c r="CF125" s="2" t="str">
        <f aca="false">IF(AX125="x","x",IF(AX125="-","-",""))</f>
        <v>-</v>
      </c>
      <c r="CG125" s="2" t="str">
        <f aca="false">IF(AY125="x","x",IF(AY125="-","-",""))</f>
        <v>-</v>
      </c>
      <c r="CH125" s="2" t="str">
        <f aca="false">IF(AZ125="x","x",IF(AZ125="-","-",""))</f>
        <v>-</v>
      </c>
      <c r="CI125" s="2" t="str">
        <f aca="false">IF(BA125="x","x",IF(BA125="-","-",""))</f>
        <v>-</v>
      </c>
      <c r="CJ125" s="2" t="str">
        <f aca="false">IF(BB125="x","x",IF(BB125="-","-",""))</f>
        <v>-</v>
      </c>
      <c r="CK125" s="2" t="str">
        <f aca="false">IF(BC125="x","x",IF(BC125="-","-",""))</f>
        <v>-</v>
      </c>
      <c r="CL125" s="2" t="str">
        <f aca="false">IF(BD125="x","x",IF(BD125="-","-",""))</f>
        <v>-</v>
      </c>
      <c r="CM125" s="2" t="str">
        <f aca="false">IF(BE125="x","x",IF(BE125="-","-",""))</f>
        <v>-</v>
      </c>
      <c r="CN125" s="2" t="str">
        <f aca="false">IF(BF125="x","x",IF(BF125="-","-",""))</f>
        <v>-</v>
      </c>
      <c r="CO125" s="2" t="str">
        <f aca="false">IF(BG125="x","x",IF(BG125="-","-",""))</f>
        <v>-</v>
      </c>
      <c r="CP125" s="2" t="str">
        <f aca="false">IF(BH125="x","x",IF(BH125="-","-",""))</f>
        <v>-</v>
      </c>
      <c r="CQ125" s="2" t="str">
        <f aca="false">IF(BI125="x","x",IF(BI125="-","-",""))</f>
        <v>-</v>
      </c>
      <c r="CR125" s="2" t="str">
        <f aca="false">IF(BJ125="x","x",IF(BJ125="-","-",""))</f>
        <v>-</v>
      </c>
      <c r="CS125" s="2" t="str">
        <f aca="false">IF(BK125="x","x",IF(BK125="-","-",""))</f>
        <v>-</v>
      </c>
      <c r="CT125" s="2" t="str">
        <f aca="false">IF(BL125="x","x",IF(BL125="-","-",""))</f>
        <v>-</v>
      </c>
      <c r="CU125" s="2" t="str">
        <f aca="false">IF(BM125="x","x",IF(BM125="-","-",""))</f>
        <v>-</v>
      </c>
      <c r="CV125" s="2" t="str">
        <f aca="false">IF(BN125="x","x",IF(BN125="-","-",""))</f>
        <v>-</v>
      </c>
      <c r="CW125" s="2" t="str">
        <f aca="false">IF(BO125="x","x",IF(BO125="-","-",""))</f>
        <v>-</v>
      </c>
      <c r="CX125" s="2" t="str">
        <f aca="false">IF(BP125="x","x",IF(BP125="-","-",""))</f>
        <v>-</v>
      </c>
      <c r="CZ125" s="2" t="str">
        <f aca="false">IF(P125="x","x",IF(P125="-","-",""))</f>
        <v>-</v>
      </c>
      <c r="DA125" s="2" t="str">
        <f aca="false">IF(Q125="x","x",IF(Q125="-","-",""))</f>
        <v>-</v>
      </c>
      <c r="DB125" s="2" t="str">
        <f aca="false">IF(R125="x","x",IF(R125="-","-",""))</f>
        <v>-</v>
      </c>
      <c r="DC125" s="2" t="str">
        <f aca="false">IF(S125="x","x",IF(S125="-","-",""))</f>
        <v>-</v>
      </c>
      <c r="DD125" s="2" t="str">
        <f aca="false">IF(T125="x","x",IF(T125="-","-",""))</f>
        <v>-</v>
      </c>
      <c r="DE125" s="2" t="str">
        <f aca="false">IF(U125="x","x",IF(U125="-","-",""))</f>
        <v>-</v>
      </c>
      <c r="DF125" s="2" t="str">
        <f aca="false">IF(V125="x","x",IF(V125="-","-",""))</f>
        <v>-</v>
      </c>
      <c r="DG125" s="2" t="str">
        <f aca="false">IF(W125="x","x",IF(W125="-","-",""))</f>
        <v>-</v>
      </c>
      <c r="DH125" s="2" t="str">
        <f aca="false">IF(X125="x","x",IF(X125="-","-",""))</f>
        <v>-</v>
      </c>
      <c r="DI125" s="2" t="str">
        <f aca="false">IF(Y125="x","x",IF(Y125="-","-",""))</f>
        <v>-</v>
      </c>
      <c r="DJ125" s="2" t="str">
        <f aca="false">IF(Z125="x","x",IF(Z125="-","-",""))</f>
        <v>-</v>
      </c>
      <c r="DK125" s="2" t="str">
        <f aca="false">IF(AA125="x","x",IF(AA125="-","-",""))</f>
        <v>-</v>
      </c>
      <c r="DL125" s="10"/>
      <c r="DM125" s="2" t="str">
        <f aca="false">IF(AC125="x","x",IF(AC125="-","-",""))</f>
        <v>-</v>
      </c>
      <c r="DN125" s="2" t="str">
        <f aca="false">IF(AD125="x","x",IF(AD125="-","-",""))</f>
        <v>-</v>
      </c>
      <c r="DO125" s="2" t="str">
        <f aca="false">IF(AE125="x","x",IF(AE125="-","-",""))</f>
        <v>-</v>
      </c>
      <c r="DP125" s="2" t="str">
        <f aca="false">IF(AF125="x","x",IF(AF125="-","-",""))</f>
        <v>-</v>
      </c>
      <c r="DQ125" s="2" t="str">
        <f aca="false">IF(AG125="x","x",IF(AG125="-","-",""))</f>
        <v>-</v>
      </c>
      <c r="DR125" s="2" t="str">
        <f aca="false">IF(AH125="x","x",IF(AH125="-","-",""))</f>
        <v>-</v>
      </c>
      <c r="DS125" s="2" t="str">
        <f aca="false">IF(AI125="x","x",IF(AI125="-","-",""))</f>
        <v>-</v>
      </c>
      <c r="DT125" s="2" t="str">
        <f aca="false">IF(AJ125="x","x",IF(AJ125="-","-",""))</f>
        <v>-</v>
      </c>
      <c r="DU125" s="2" t="str">
        <f aca="false">IF(AK125="x","x",IF(AK125="-","-",""))</f>
        <v>-</v>
      </c>
      <c r="DV125" s="2" t="str">
        <f aca="false">IF(AL125="x","x",IF(AL125="-","-",""))</f>
        <v>-</v>
      </c>
      <c r="DW125" s="2" t="str">
        <f aca="false">IF(AM125="x","x",IF(AM125="-","-",""))</f>
        <v>-</v>
      </c>
      <c r="DX125" s="2" t="str">
        <f aca="false">IF(AN125="x","x",IF(AN125="-","-",""))</f>
        <v>-</v>
      </c>
    </row>
    <row r="126" customFormat="false" ht="13.8" hidden="false" customHeight="false" outlineLevel="0" collapsed="false">
      <c r="A126" s="10" t="s">
        <v>73</v>
      </c>
      <c r="B126" s="2" t="n">
        <v>125</v>
      </c>
      <c r="C126" s="1" t="s">
        <v>77</v>
      </c>
      <c r="D126" s="10" t="s">
        <v>92</v>
      </c>
      <c r="E126" s="10" t="s">
        <v>127</v>
      </c>
      <c r="F126" s="10"/>
      <c r="G126" s="10" t="s">
        <v>77</v>
      </c>
      <c r="H126" s="10" t="s">
        <v>77</v>
      </c>
      <c r="I126" s="10" t="s">
        <v>77</v>
      </c>
      <c r="J126" s="10" t="s">
        <v>77</v>
      </c>
      <c r="K126" s="10" t="s">
        <v>77</v>
      </c>
      <c r="L126" s="10" t="s">
        <v>77</v>
      </c>
      <c r="M126" s="2" t="n">
        <v>20</v>
      </c>
      <c r="N126" s="10" t="s">
        <v>77</v>
      </c>
      <c r="O126" s="10"/>
      <c r="P126" s="10" t="s">
        <v>77</v>
      </c>
      <c r="Q126" s="10" t="s">
        <v>77</v>
      </c>
      <c r="R126" s="10" t="s">
        <v>77</v>
      </c>
      <c r="S126" s="10" t="s">
        <v>77</v>
      </c>
      <c r="T126" s="10" t="s">
        <v>77</v>
      </c>
      <c r="U126" s="10" t="s">
        <v>77</v>
      </c>
      <c r="V126" s="10" t="s">
        <v>77</v>
      </c>
      <c r="W126" s="10" t="s">
        <v>77</v>
      </c>
      <c r="X126" s="10" t="s">
        <v>77</v>
      </c>
      <c r="Y126" s="10" t="s">
        <v>77</v>
      </c>
      <c r="Z126" s="10" t="s">
        <v>77</v>
      </c>
      <c r="AA126" s="10" t="s">
        <v>77</v>
      </c>
      <c r="AB126" s="10"/>
      <c r="AC126" s="10" t="s">
        <v>77</v>
      </c>
      <c r="AD126" s="10" t="s">
        <v>77</v>
      </c>
      <c r="AE126" s="10" t="s">
        <v>77</v>
      </c>
      <c r="AF126" s="10" t="s">
        <v>77</v>
      </c>
      <c r="AG126" s="10" t="s">
        <v>77</v>
      </c>
      <c r="AH126" s="10" t="s">
        <v>77</v>
      </c>
      <c r="AI126" s="10" t="s">
        <v>77</v>
      </c>
      <c r="AJ126" s="10" t="s">
        <v>77</v>
      </c>
      <c r="AK126" s="10" t="s">
        <v>77</v>
      </c>
      <c r="AL126" s="10" t="s">
        <v>77</v>
      </c>
      <c r="AM126" s="10" t="s">
        <v>77</v>
      </c>
      <c r="AN126" s="10" t="s">
        <v>77</v>
      </c>
      <c r="AO126" s="10"/>
      <c r="AP126" s="10" t="s">
        <v>73</v>
      </c>
      <c r="AQ126" s="10" t="s">
        <v>73</v>
      </c>
      <c r="AS126" s="10" t="s">
        <v>77</v>
      </c>
      <c r="AT126" s="10" t="s">
        <v>77</v>
      </c>
      <c r="AU126" s="10" t="s">
        <v>77</v>
      </c>
      <c r="AV126" s="10" t="s">
        <v>77</v>
      </c>
      <c r="AW126" s="10" t="s">
        <v>77</v>
      </c>
      <c r="AX126" s="10" t="s">
        <v>77</v>
      </c>
      <c r="AY126" s="10" t="s">
        <v>77</v>
      </c>
      <c r="AZ126" s="10" t="s">
        <v>77</v>
      </c>
      <c r="BA126" s="10" t="s">
        <v>77</v>
      </c>
      <c r="BB126" s="10" t="s">
        <v>77</v>
      </c>
      <c r="BC126" s="10" t="s">
        <v>77</v>
      </c>
      <c r="BD126" s="10" t="s">
        <v>77</v>
      </c>
      <c r="BE126" s="10" t="s">
        <v>77</v>
      </c>
      <c r="BF126" s="10" t="s">
        <v>77</v>
      </c>
      <c r="BG126" s="10" t="s">
        <v>77</v>
      </c>
      <c r="BH126" s="10" t="s">
        <v>77</v>
      </c>
      <c r="BI126" s="10" t="s">
        <v>77</v>
      </c>
      <c r="BJ126" s="10" t="s">
        <v>77</v>
      </c>
      <c r="BK126" s="10" t="s">
        <v>77</v>
      </c>
      <c r="BL126" s="10" t="s">
        <v>77</v>
      </c>
      <c r="BM126" s="10" t="s">
        <v>77</v>
      </c>
      <c r="BN126" s="10" t="s">
        <v>77</v>
      </c>
      <c r="BO126" s="10" t="s">
        <v>77</v>
      </c>
      <c r="BP126" s="10" t="s">
        <v>77</v>
      </c>
      <c r="BR126" s="10" t="s">
        <v>77</v>
      </c>
      <c r="BS126" s="10" t="s">
        <v>77</v>
      </c>
      <c r="BT126" s="10" t="s">
        <v>77</v>
      </c>
      <c r="BU126" s="10" t="s">
        <v>77</v>
      </c>
      <c r="BV126" s="10" t="s">
        <v>77</v>
      </c>
      <c r="BW126" s="10" t="s">
        <v>77</v>
      </c>
      <c r="BX126" s="10" t="s">
        <v>77</v>
      </c>
      <c r="BY126" s="10" t="s">
        <v>77</v>
      </c>
      <c r="CA126" s="2" t="str">
        <f aca="false">IF(AS126="x","x",IF(AS126="-","-",""))</f>
        <v>-</v>
      </c>
      <c r="CB126" s="2" t="str">
        <f aca="false">IF(AT126="x","x",IF(AT126="-","-",""))</f>
        <v>-</v>
      </c>
      <c r="CC126" s="2" t="str">
        <f aca="false">IF(AU126="x","x",IF(AU126="-","-",""))</f>
        <v>-</v>
      </c>
      <c r="CD126" s="2" t="str">
        <f aca="false">IF(AV126="x","x",IF(AV126="-","-",""))</f>
        <v>-</v>
      </c>
      <c r="CE126" s="2" t="str">
        <f aca="false">IF(AW126="x","x",IF(AW126="-","-",""))</f>
        <v>-</v>
      </c>
      <c r="CF126" s="2" t="str">
        <f aca="false">IF(AX126="x","x",IF(AX126="-","-",""))</f>
        <v>-</v>
      </c>
      <c r="CG126" s="2" t="str">
        <f aca="false">IF(AY126="x","x",IF(AY126="-","-",""))</f>
        <v>-</v>
      </c>
      <c r="CH126" s="2" t="str">
        <f aca="false">IF(AZ126="x","x",IF(AZ126="-","-",""))</f>
        <v>-</v>
      </c>
      <c r="CI126" s="2" t="str">
        <f aca="false">IF(BA126="x","x",IF(BA126="-","-",""))</f>
        <v>-</v>
      </c>
      <c r="CJ126" s="2" t="str">
        <f aca="false">IF(BB126="x","x",IF(BB126="-","-",""))</f>
        <v>-</v>
      </c>
      <c r="CK126" s="2" t="str">
        <f aca="false">IF(BC126="x","x",IF(BC126="-","-",""))</f>
        <v>-</v>
      </c>
      <c r="CL126" s="2" t="str">
        <f aca="false">IF(BD126="x","x",IF(BD126="-","-",""))</f>
        <v>-</v>
      </c>
      <c r="CM126" s="2" t="str">
        <f aca="false">IF(BE126="x","x",IF(BE126="-","-",""))</f>
        <v>-</v>
      </c>
      <c r="CN126" s="2" t="str">
        <f aca="false">IF(BF126="x","x",IF(BF126="-","-",""))</f>
        <v>-</v>
      </c>
      <c r="CO126" s="2" t="str">
        <f aca="false">IF(BG126="x","x",IF(BG126="-","-",""))</f>
        <v>-</v>
      </c>
      <c r="CP126" s="2" t="str">
        <f aca="false">IF(BH126="x","x",IF(BH126="-","-",""))</f>
        <v>-</v>
      </c>
      <c r="CQ126" s="2" t="str">
        <f aca="false">IF(BI126="x","x",IF(BI126="-","-",""))</f>
        <v>-</v>
      </c>
      <c r="CR126" s="2" t="str">
        <f aca="false">IF(BJ126="x","x",IF(BJ126="-","-",""))</f>
        <v>-</v>
      </c>
      <c r="CS126" s="2" t="str">
        <f aca="false">IF(BK126="x","x",IF(BK126="-","-",""))</f>
        <v>-</v>
      </c>
      <c r="CT126" s="2" t="str">
        <f aca="false">IF(BL126="x","x",IF(BL126="-","-",""))</f>
        <v>-</v>
      </c>
      <c r="CU126" s="2" t="str">
        <f aca="false">IF(BM126="x","x",IF(BM126="-","-",""))</f>
        <v>-</v>
      </c>
      <c r="CV126" s="2" t="str">
        <f aca="false">IF(BN126="x","x",IF(BN126="-","-",""))</f>
        <v>-</v>
      </c>
      <c r="CW126" s="2" t="str">
        <f aca="false">IF(BO126="x","x",IF(BO126="-","-",""))</f>
        <v>-</v>
      </c>
      <c r="CX126" s="2" t="str">
        <f aca="false">IF(BP126="x","x",IF(BP126="-","-",""))</f>
        <v>-</v>
      </c>
      <c r="CZ126" s="2" t="str">
        <f aca="false">IF(P126="x","x",IF(P126="-","-",""))</f>
        <v>-</v>
      </c>
      <c r="DA126" s="2" t="str">
        <f aca="false">IF(Q126="x","x",IF(Q126="-","-",""))</f>
        <v>-</v>
      </c>
      <c r="DB126" s="2" t="str">
        <f aca="false">IF(R126="x","x",IF(R126="-","-",""))</f>
        <v>-</v>
      </c>
      <c r="DC126" s="2" t="str">
        <f aca="false">IF(S126="x","x",IF(S126="-","-",""))</f>
        <v>-</v>
      </c>
      <c r="DD126" s="2" t="str">
        <f aca="false">IF(T126="x","x",IF(T126="-","-",""))</f>
        <v>-</v>
      </c>
      <c r="DE126" s="2" t="str">
        <f aca="false">IF(U126="x","x",IF(U126="-","-",""))</f>
        <v>-</v>
      </c>
      <c r="DF126" s="2" t="str">
        <f aca="false">IF(V126="x","x",IF(V126="-","-",""))</f>
        <v>-</v>
      </c>
      <c r="DG126" s="2" t="str">
        <f aca="false">IF(W126="x","x",IF(W126="-","-",""))</f>
        <v>-</v>
      </c>
      <c r="DH126" s="2" t="str">
        <f aca="false">IF(X126="x","x",IF(X126="-","-",""))</f>
        <v>-</v>
      </c>
      <c r="DI126" s="2" t="str">
        <f aca="false">IF(Y126="x","x",IF(Y126="-","-",""))</f>
        <v>-</v>
      </c>
      <c r="DJ126" s="2" t="str">
        <f aca="false">IF(Z126="x","x",IF(Z126="-","-",""))</f>
        <v>-</v>
      </c>
      <c r="DK126" s="2" t="str">
        <f aca="false">IF(AA126="x","x",IF(AA126="-","-",""))</f>
        <v>-</v>
      </c>
      <c r="DL126" s="10"/>
      <c r="DM126" s="2" t="str">
        <f aca="false">IF(AC126="x","x",IF(AC126="-","-",""))</f>
        <v>-</v>
      </c>
      <c r="DN126" s="2" t="str">
        <f aca="false">IF(AD126="x","x",IF(AD126="-","-",""))</f>
        <v>-</v>
      </c>
      <c r="DO126" s="2" t="str">
        <f aca="false">IF(AE126="x","x",IF(AE126="-","-",""))</f>
        <v>-</v>
      </c>
      <c r="DP126" s="2" t="str">
        <f aca="false">IF(AF126="x","x",IF(AF126="-","-",""))</f>
        <v>-</v>
      </c>
      <c r="DQ126" s="2" t="str">
        <f aca="false">IF(AG126="x","x",IF(AG126="-","-",""))</f>
        <v>-</v>
      </c>
      <c r="DR126" s="2" t="str">
        <f aca="false">IF(AH126="x","x",IF(AH126="-","-",""))</f>
        <v>-</v>
      </c>
      <c r="DS126" s="2" t="str">
        <f aca="false">IF(AI126="x","x",IF(AI126="-","-",""))</f>
        <v>-</v>
      </c>
      <c r="DT126" s="2" t="str">
        <f aca="false">IF(AJ126="x","x",IF(AJ126="-","-",""))</f>
        <v>-</v>
      </c>
      <c r="DU126" s="2" t="str">
        <f aca="false">IF(AK126="x","x",IF(AK126="-","-",""))</f>
        <v>-</v>
      </c>
      <c r="DV126" s="2" t="str">
        <f aca="false">IF(AL126="x","x",IF(AL126="-","-",""))</f>
        <v>-</v>
      </c>
      <c r="DW126" s="2" t="str">
        <f aca="false">IF(AM126="x","x",IF(AM126="-","-",""))</f>
        <v>-</v>
      </c>
      <c r="DX126" s="2" t="str">
        <f aca="false">IF(AN126="x","x",IF(AN126="-","-",""))</f>
        <v>-</v>
      </c>
    </row>
    <row r="127" customFormat="false" ht="13.8" hidden="false" customHeight="false" outlineLevel="0" collapsed="false">
      <c r="A127" s="10" t="s">
        <v>73</v>
      </c>
      <c r="B127" s="2" t="n">
        <v>126</v>
      </c>
      <c r="C127" s="1" t="s">
        <v>77</v>
      </c>
      <c r="D127" s="10" t="s">
        <v>92</v>
      </c>
      <c r="E127" s="10" t="s">
        <v>127</v>
      </c>
      <c r="F127" s="10"/>
      <c r="G127" s="10" t="s">
        <v>77</v>
      </c>
      <c r="H127" s="10" t="s">
        <v>77</v>
      </c>
      <c r="I127" s="10" t="s">
        <v>77</v>
      </c>
      <c r="J127" s="10" t="s">
        <v>77</v>
      </c>
      <c r="K127" s="10" t="s">
        <v>77</v>
      </c>
      <c r="L127" s="10" t="s">
        <v>77</v>
      </c>
      <c r="M127" s="2" t="n">
        <v>20</v>
      </c>
      <c r="N127" s="10" t="s">
        <v>77</v>
      </c>
      <c r="O127" s="10"/>
      <c r="P127" s="10" t="s">
        <v>77</v>
      </c>
      <c r="Q127" s="10" t="s">
        <v>77</v>
      </c>
      <c r="R127" s="10" t="s">
        <v>77</v>
      </c>
      <c r="S127" s="10" t="s">
        <v>77</v>
      </c>
      <c r="T127" s="10" t="s">
        <v>77</v>
      </c>
      <c r="U127" s="10" t="s">
        <v>77</v>
      </c>
      <c r="V127" s="10" t="s">
        <v>77</v>
      </c>
      <c r="W127" s="10" t="s">
        <v>77</v>
      </c>
      <c r="X127" s="10" t="s">
        <v>77</v>
      </c>
      <c r="Y127" s="10" t="s">
        <v>77</v>
      </c>
      <c r="Z127" s="10" t="s">
        <v>77</v>
      </c>
      <c r="AA127" s="10" t="s">
        <v>77</v>
      </c>
      <c r="AB127" s="10"/>
      <c r="AC127" s="10" t="s">
        <v>77</v>
      </c>
      <c r="AD127" s="10" t="s">
        <v>77</v>
      </c>
      <c r="AE127" s="10" t="s">
        <v>77</v>
      </c>
      <c r="AF127" s="10" t="s">
        <v>77</v>
      </c>
      <c r="AG127" s="10" t="s">
        <v>77</v>
      </c>
      <c r="AH127" s="10" t="s">
        <v>77</v>
      </c>
      <c r="AI127" s="10" t="s">
        <v>77</v>
      </c>
      <c r="AJ127" s="10" t="s">
        <v>77</v>
      </c>
      <c r="AK127" s="10" t="s">
        <v>77</v>
      </c>
      <c r="AL127" s="10" t="s">
        <v>77</v>
      </c>
      <c r="AM127" s="10" t="s">
        <v>77</v>
      </c>
      <c r="AN127" s="10" t="s">
        <v>77</v>
      </c>
      <c r="AO127" s="10"/>
      <c r="AP127" s="10" t="s">
        <v>73</v>
      </c>
      <c r="AQ127" s="10" t="s">
        <v>73</v>
      </c>
      <c r="AS127" s="10" t="s">
        <v>77</v>
      </c>
      <c r="AT127" s="10" t="s">
        <v>77</v>
      </c>
      <c r="AU127" s="10" t="s">
        <v>77</v>
      </c>
      <c r="AV127" s="10" t="s">
        <v>77</v>
      </c>
      <c r="AW127" s="10" t="s">
        <v>77</v>
      </c>
      <c r="AX127" s="10" t="s">
        <v>77</v>
      </c>
      <c r="AY127" s="10" t="s">
        <v>77</v>
      </c>
      <c r="AZ127" s="10" t="s">
        <v>77</v>
      </c>
      <c r="BA127" s="10" t="s">
        <v>77</v>
      </c>
      <c r="BB127" s="10" t="s">
        <v>77</v>
      </c>
      <c r="BC127" s="10" t="s">
        <v>77</v>
      </c>
      <c r="BD127" s="10" t="s">
        <v>77</v>
      </c>
      <c r="BE127" s="10" t="s">
        <v>77</v>
      </c>
      <c r="BF127" s="10" t="s">
        <v>77</v>
      </c>
      <c r="BG127" s="10" t="s">
        <v>77</v>
      </c>
      <c r="BH127" s="10" t="s">
        <v>77</v>
      </c>
      <c r="BI127" s="10" t="s">
        <v>77</v>
      </c>
      <c r="BJ127" s="10" t="s">
        <v>77</v>
      </c>
      <c r="BK127" s="10" t="s">
        <v>77</v>
      </c>
      <c r="BL127" s="10" t="s">
        <v>77</v>
      </c>
      <c r="BM127" s="10" t="s">
        <v>77</v>
      </c>
      <c r="BN127" s="10" t="s">
        <v>77</v>
      </c>
      <c r="BO127" s="10" t="s">
        <v>77</v>
      </c>
      <c r="BP127" s="10" t="s">
        <v>77</v>
      </c>
      <c r="BR127" s="10" t="s">
        <v>77</v>
      </c>
      <c r="BS127" s="10" t="s">
        <v>77</v>
      </c>
      <c r="BT127" s="10" t="s">
        <v>77</v>
      </c>
      <c r="BU127" s="10" t="s">
        <v>77</v>
      </c>
      <c r="BV127" s="10" t="s">
        <v>77</v>
      </c>
      <c r="BW127" s="10" t="s">
        <v>77</v>
      </c>
      <c r="BX127" s="10" t="s">
        <v>77</v>
      </c>
      <c r="BY127" s="10" t="s">
        <v>77</v>
      </c>
      <c r="CA127" s="2" t="str">
        <f aca="false">IF(AS127="x","x",IF(AS127="-","-",""))</f>
        <v>-</v>
      </c>
      <c r="CB127" s="2" t="str">
        <f aca="false">IF(AT127="x","x",IF(AT127="-","-",""))</f>
        <v>-</v>
      </c>
      <c r="CC127" s="2" t="str">
        <f aca="false">IF(AU127="x","x",IF(AU127="-","-",""))</f>
        <v>-</v>
      </c>
      <c r="CD127" s="2" t="str">
        <f aca="false">IF(AV127="x","x",IF(AV127="-","-",""))</f>
        <v>-</v>
      </c>
      <c r="CE127" s="2" t="str">
        <f aca="false">IF(AW127="x","x",IF(AW127="-","-",""))</f>
        <v>-</v>
      </c>
      <c r="CF127" s="2" t="str">
        <f aca="false">IF(AX127="x","x",IF(AX127="-","-",""))</f>
        <v>-</v>
      </c>
      <c r="CG127" s="2" t="str">
        <f aca="false">IF(AY127="x","x",IF(AY127="-","-",""))</f>
        <v>-</v>
      </c>
      <c r="CH127" s="2" t="str">
        <f aca="false">IF(AZ127="x","x",IF(AZ127="-","-",""))</f>
        <v>-</v>
      </c>
      <c r="CI127" s="2" t="str">
        <f aca="false">IF(BA127="x","x",IF(BA127="-","-",""))</f>
        <v>-</v>
      </c>
      <c r="CJ127" s="2" t="str">
        <f aca="false">IF(BB127="x","x",IF(BB127="-","-",""))</f>
        <v>-</v>
      </c>
      <c r="CK127" s="2" t="str">
        <f aca="false">IF(BC127="x","x",IF(BC127="-","-",""))</f>
        <v>-</v>
      </c>
      <c r="CL127" s="2" t="str">
        <f aca="false">IF(BD127="x","x",IF(BD127="-","-",""))</f>
        <v>-</v>
      </c>
      <c r="CM127" s="2" t="str">
        <f aca="false">IF(BE127="x","x",IF(BE127="-","-",""))</f>
        <v>-</v>
      </c>
      <c r="CN127" s="2" t="str">
        <f aca="false">IF(BF127="x","x",IF(BF127="-","-",""))</f>
        <v>-</v>
      </c>
      <c r="CO127" s="2" t="str">
        <f aca="false">IF(BG127="x","x",IF(BG127="-","-",""))</f>
        <v>-</v>
      </c>
      <c r="CP127" s="2" t="str">
        <f aca="false">IF(BH127="x","x",IF(BH127="-","-",""))</f>
        <v>-</v>
      </c>
      <c r="CQ127" s="2" t="str">
        <f aca="false">IF(BI127="x","x",IF(BI127="-","-",""))</f>
        <v>-</v>
      </c>
      <c r="CR127" s="2" t="str">
        <f aca="false">IF(BJ127="x","x",IF(BJ127="-","-",""))</f>
        <v>-</v>
      </c>
      <c r="CS127" s="2" t="str">
        <f aca="false">IF(BK127="x","x",IF(BK127="-","-",""))</f>
        <v>-</v>
      </c>
      <c r="CT127" s="2" t="str">
        <f aca="false">IF(BL127="x","x",IF(BL127="-","-",""))</f>
        <v>-</v>
      </c>
      <c r="CU127" s="2" t="str">
        <f aca="false">IF(BM127="x","x",IF(BM127="-","-",""))</f>
        <v>-</v>
      </c>
      <c r="CV127" s="2" t="str">
        <f aca="false">IF(BN127="x","x",IF(BN127="-","-",""))</f>
        <v>-</v>
      </c>
      <c r="CW127" s="2" t="str">
        <f aca="false">IF(BO127="x","x",IF(BO127="-","-",""))</f>
        <v>-</v>
      </c>
      <c r="CX127" s="2" t="str">
        <f aca="false">IF(BP127="x","x",IF(BP127="-","-",""))</f>
        <v>-</v>
      </c>
      <c r="CZ127" s="2" t="str">
        <f aca="false">IF(P127="x","x",IF(P127="-","-",""))</f>
        <v>-</v>
      </c>
      <c r="DA127" s="2" t="str">
        <f aca="false">IF(Q127="x","x",IF(Q127="-","-",""))</f>
        <v>-</v>
      </c>
      <c r="DB127" s="2" t="str">
        <f aca="false">IF(R127="x","x",IF(R127="-","-",""))</f>
        <v>-</v>
      </c>
      <c r="DC127" s="2" t="str">
        <f aca="false">IF(S127="x","x",IF(S127="-","-",""))</f>
        <v>-</v>
      </c>
      <c r="DD127" s="2" t="str">
        <f aca="false">IF(T127="x","x",IF(T127="-","-",""))</f>
        <v>-</v>
      </c>
      <c r="DE127" s="2" t="str">
        <f aca="false">IF(U127="x","x",IF(U127="-","-",""))</f>
        <v>-</v>
      </c>
      <c r="DF127" s="2" t="str">
        <f aca="false">IF(V127="x","x",IF(V127="-","-",""))</f>
        <v>-</v>
      </c>
      <c r="DG127" s="2" t="str">
        <f aca="false">IF(W127="x","x",IF(W127="-","-",""))</f>
        <v>-</v>
      </c>
      <c r="DH127" s="2" t="str">
        <f aca="false">IF(X127="x","x",IF(X127="-","-",""))</f>
        <v>-</v>
      </c>
      <c r="DI127" s="2" t="str">
        <f aca="false">IF(Y127="x","x",IF(Y127="-","-",""))</f>
        <v>-</v>
      </c>
      <c r="DJ127" s="2" t="str">
        <f aca="false">IF(Z127="x","x",IF(Z127="-","-",""))</f>
        <v>-</v>
      </c>
      <c r="DK127" s="2" t="str">
        <f aca="false">IF(AA127="x","x",IF(AA127="-","-",""))</f>
        <v>-</v>
      </c>
      <c r="DL127" s="10"/>
      <c r="DM127" s="2" t="str">
        <f aca="false">IF(AC127="x","x",IF(AC127="-","-",""))</f>
        <v>-</v>
      </c>
      <c r="DN127" s="2" t="str">
        <f aca="false">IF(AD127="x","x",IF(AD127="-","-",""))</f>
        <v>-</v>
      </c>
      <c r="DO127" s="2" t="str">
        <f aca="false">IF(AE127="x","x",IF(AE127="-","-",""))</f>
        <v>-</v>
      </c>
      <c r="DP127" s="2" t="str">
        <f aca="false">IF(AF127="x","x",IF(AF127="-","-",""))</f>
        <v>-</v>
      </c>
      <c r="DQ127" s="2" t="str">
        <f aca="false">IF(AG127="x","x",IF(AG127="-","-",""))</f>
        <v>-</v>
      </c>
      <c r="DR127" s="2" t="str">
        <f aca="false">IF(AH127="x","x",IF(AH127="-","-",""))</f>
        <v>-</v>
      </c>
      <c r="DS127" s="2" t="str">
        <f aca="false">IF(AI127="x","x",IF(AI127="-","-",""))</f>
        <v>-</v>
      </c>
      <c r="DT127" s="2" t="str">
        <f aca="false">IF(AJ127="x","x",IF(AJ127="-","-",""))</f>
        <v>-</v>
      </c>
      <c r="DU127" s="2" t="str">
        <f aca="false">IF(AK127="x","x",IF(AK127="-","-",""))</f>
        <v>-</v>
      </c>
      <c r="DV127" s="2" t="str">
        <f aca="false">IF(AL127="x","x",IF(AL127="-","-",""))</f>
        <v>-</v>
      </c>
      <c r="DW127" s="2" t="str">
        <f aca="false">IF(AM127="x","x",IF(AM127="-","-",""))</f>
        <v>-</v>
      </c>
      <c r="DX127" s="2" t="str">
        <f aca="false">IF(AN127="x","x",IF(AN127="-","-",""))</f>
        <v>-</v>
      </c>
    </row>
    <row r="128" customFormat="false" ht="13.8" hidden="false" customHeight="false" outlineLevel="0" collapsed="false">
      <c r="A128" s="10" t="s">
        <v>73</v>
      </c>
      <c r="B128" s="2" t="n">
        <v>127</v>
      </c>
      <c r="C128" s="1" t="s">
        <v>77</v>
      </c>
      <c r="D128" s="10" t="s">
        <v>92</v>
      </c>
      <c r="E128" s="10" t="s">
        <v>127</v>
      </c>
      <c r="F128" s="10"/>
      <c r="G128" s="10" t="s">
        <v>77</v>
      </c>
      <c r="H128" s="10" t="s">
        <v>77</v>
      </c>
      <c r="I128" s="10" t="s">
        <v>77</v>
      </c>
      <c r="J128" s="10" t="s">
        <v>77</v>
      </c>
      <c r="K128" s="10" t="s">
        <v>77</v>
      </c>
      <c r="L128" s="10" t="s">
        <v>77</v>
      </c>
      <c r="M128" s="2" t="n">
        <v>20</v>
      </c>
      <c r="N128" s="10" t="s">
        <v>77</v>
      </c>
      <c r="O128" s="10"/>
      <c r="P128" s="10" t="s">
        <v>77</v>
      </c>
      <c r="Q128" s="10" t="s">
        <v>77</v>
      </c>
      <c r="R128" s="10" t="s">
        <v>77</v>
      </c>
      <c r="S128" s="10" t="s">
        <v>77</v>
      </c>
      <c r="T128" s="10" t="s">
        <v>77</v>
      </c>
      <c r="U128" s="10" t="s">
        <v>77</v>
      </c>
      <c r="V128" s="10" t="s">
        <v>77</v>
      </c>
      <c r="W128" s="10" t="s">
        <v>77</v>
      </c>
      <c r="X128" s="10" t="s">
        <v>77</v>
      </c>
      <c r="Y128" s="10" t="s">
        <v>77</v>
      </c>
      <c r="Z128" s="10" t="s">
        <v>77</v>
      </c>
      <c r="AA128" s="10" t="s">
        <v>77</v>
      </c>
      <c r="AB128" s="10"/>
      <c r="AC128" s="10" t="s">
        <v>77</v>
      </c>
      <c r="AD128" s="10" t="s">
        <v>77</v>
      </c>
      <c r="AE128" s="10" t="s">
        <v>77</v>
      </c>
      <c r="AF128" s="10" t="s">
        <v>77</v>
      </c>
      <c r="AG128" s="10" t="s">
        <v>77</v>
      </c>
      <c r="AH128" s="10" t="s">
        <v>77</v>
      </c>
      <c r="AI128" s="10" t="s">
        <v>77</v>
      </c>
      <c r="AJ128" s="10" t="s">
        <v>77</v>
      </c>
      <c r="AK128" s="10" t="s">
        <v>77</v>
      </c>
      <c r="AL128" s="10" t="s">
        <v>77</v>
      </c>
      <c r="AM128" s="10" t="s">
        <v>77</v>
      </c>
      <c r="AN128" s="10" t="s">
        <v>77</v>
      </c>
      <c r="AO128" s="10"/>
      <c r="AP128" s="10" t="s">
        <v>73</v>
      </c>
      <c r="AQ128" s="10" t="s">
        <v>73</v>
      </c>
      <c r="AS128" s="10" t="s">
        <v>77</v>
      </c>
      <c r="AT128" s="10" t="s">
        <v>77</v>
      </c>
      <c r="AU128" s="10" t="s">
        <v>77</v>
      </c>
      <c r="AV128" s="10" t="s">
        <v>77</v>
      </c>
      <c r="AW128" s="10" t="s">
        <v>77</v>
      </c>
      <c r="AX128" s="10" t="s">
        <v>77</v>
      </c>
      <c r="AY128" s="10" t="s">
        <v>77</v>
      </c>
      <c r="AZ128" s="10" t="s">
        <v>77</v>
      </c>
      <c r="BA128" s="10" t="s">
        <v>77</v>
      </c>
      <c r="BB128" s="10" t="s">
        <v>77</v>
      </c>
      <c r="BC128" s="10" t="s">
        <v>77</v>
      </c>
      <c r="BD128" s="10" t="s">
        <v>77</v>
      </c>
      <c r="BE128" s="10" t="s">
        <v>77</v>
      </c>
      <c r="BF128" s="10" t="s">
        <v>77</v>
      </c>
      <c r="BG128" s="10" t="s">
        <v>77</v>
      </c>
      <c r="BH128" s="10" t="s">
        <v>77</v>
      </c>
      <c r="BI128" s="10" t="s">
        <v>77</v>
      </c>
      <c r="BJ128" s="10" t="s">
        <v>77</v>
      </c>
      <c r="BK128" s="10" t="s">
        <v>77</v>
      </c>
      <c r="BL128" s="10" t="s">
        <v>77</v>
      </c>
      <c r="BM128" s="10" t="s">
        <v>77</v>
      </c>
      <c r="BN128" s="10" t="s">
        <v>77</v>
      </c>
      <c r="BO128" s="10" t="s">
        <v>77</v>
      </c>
      <c r="BP128" s="10" t="s">
        <v>77</v>
      </c>
      <c r="BR128" s="10" t="s">
        <v>77</v>
      </c>
      <c r="BS128" s="10" t="s">
        <v>77</v>
      </c>
      <c r="BT128" s="10" t="s">
        <v>77</v>
      </c>
      <c r="BU128" s="10" t="s">
        <v>77</v>
      </c>
      <c r="BV128" s="10" t="s">
        <v>77</v>
      </c>
      <c r="BW128" s="10" t="s">
        <v>77</v>
      </c>
      <c r="BX128" s="10" t="s">
        <v>77</v>
      </c>
      <c r="BY128" s="10" t="s">
        <v>77</v>
      </c>
      <c r="CA128" s="2" t="str">
        <f aca="false">IF(AS128="x","x",IF(AS128="-","-",""))</f>
        <v>-</v>
      </c>
      <c r="CB128" s="2" t="str">
        <f aca="false">IF(AT128="x","x",IF(AT128="-","-",""))</f>
        <v>-</v>
      </c>
      <c r="CC128" s="2" t="str">
        <f aca="false">IF(AU128="x","x",IF(AU128="-","-",""))</f>
        <v>-</v>
      </c>
      <c r="CD128" s="2" t="str">
        <f aca="false">IF(AV128="x","x",IF(AV128="-","-",""))</f>
        <v>-</v>
      </c>
      <c r="CE128" s="2" t="str">
        <f aca="false">IF(AW128="x","x",IF(AW128="-","-",""))</f>
        <v>-</v>
      </c>
      <c r="CF128" s="2" t="str">
        <f aca="false">IF(AX128="x","x",IF(AX128="-","-",""))</f>
        <v>-</v>
      </c>
      <c r="CG128" s="2" t="str">
        <f aca="false">IF(AY128="x","x",IF(AY128="-","-",""))</f>
        <v>-</v>
      </c>
      <c r="CH128" s="2" t="str">
        <f aca="false">IF(AZ128="x","x",IF(AZ128="-","-",""))</f>
        <v>-</v>
      </c>
      <c r="CI128" s="2" t="str">
        <f aca="false">IF(BA128="x","x",IF(BA128="-","-",""))</f>
        <v>-</v>
      </c>
      <c r="CJ128" s="2" t="str">
        <f aca="false">IF(BB128="x","x",IF(BB128="-","-",""))</f>
        <v>-</v>
      </c>
      <c r="CK128" s="2" t="str">
        <f aca="false">IF(BC128="x","x",IF(BC128="-","-",""))</f>
        <v>-</v>
      </c>
      <c r="CL128" s="2" t="str">
        <f aca="false">IF(BD128="x","x",IF(BD128="-","-",""))</f>
        <v>-</v>
      </c>
      <c r="CM128" s="2" t="str">
        <f aca="false">IF(BE128="x","x",IF(BE128="-","-",""))</f>
        <v>-</v>
      </c>
      <c r="CN128" s="2" t="str">
        <f aca="false">IF(BF128="x","x",IF(BF128="-","-",""))</f>
        <v>-</v>
      </c>
      <c r="CO128" s="2" t="str">
        <f aca="false">IF(BG128="x","x",IF(BG128="-","-",""))</f>
        <v>-</v>
      </c>
      <c r="CP128" s="2" t="str">
        <f aca="false">IF(BH128="x","x",IF(BH128="-","-",""))</f>
        <v>-</v>
      </c>
      <c r="CQ128" s="2" t="str">
        <f aca="false">IF(BI128="x","x",IF(BI128="-","-",""))</f>
        <v>-</v>
      </c>
      <c r="CR128" s="2" t="str">
        <f aca="false">IF(BJ128="x","x",IF(BJ128="-","-",""))</f>
        <v>-</v>
      </c>
      <c r="CS128" s="2" t="str">
        <f aca="false">IF(BK128="x","x",IF(BK128="-","-",""))</f>
        <v>-</v>
      </c>
      <c r="CT128" s="2" t="str">
        <f aca="false">IF(BL128="x","x",IF(BL128="-","-",""))</f>
        <v>-</v>
      </c>
      <c r="CU128" s="2" t="str">
        <f aca="false">IF(BM128="x","x",IF(BM128="-","-",""))</f>
        <v>-</v>
      </c>
      <c r="CV128" s="2" t="str">
        <f aca="false">IF(BN128="x","x",IF(BN128="-","-",""))</f>
        <v>-</v>
      </c>
      <c r="CW128" s="2" t="str">
        <f aca="false">IF(BO128="x","x",IF(BO128="-","-",""))</f>
        <v>-</v>
      </c>
      <c r="CX128" s="2" t="str">
        <f aca="false">IF(BP128="x","x",IF(BP128="-","-",""))</f>
        <v>-</v>
      </c>
      <c r="CZ128" s="2" t="str">
        <f aca="false">IF(P128="x","x",IF(P128="-","-",""))</f>
        <v>-</v>
      </c>
      <c r="DA128" s="2" t="str">
        <f aca="false">IF(Q128="x","x",IF(Q128="-","-",""))</f>
        <v>-</v>
      </c>
      <c r="DB128" s="2" t="str">
        <f aca="false">IF(R128="x","x",IF(R128="-","-",""))</f>
        <v>-</v>
      </c>
      <c r="DC128" s="2" t="str">
        <f aca="false">IF(S128="x","x",IF(S128="-","-",""))</f>
        <v>-</v>
      </c>
      <c r="DD128" s="2" t="str">
        <f aca="false">IF(T128="x","x",IF(T128="-","-",""))</f>
        <v>-</v>
      </c>
      <c r="DE128" s="2" t="str">
        <f aca="false">IF(U128="x","x",IF(U128="-","-",""))</f>
        <v>-</v>
      </c>
      <c r="DF128" s="2" t="str">
        <f aca="false">IF(V128="x","x",IF(V128="-","-",""))</f>
        <v>-</v>
      </c>
      <c r="DG128" s="2" t="str">
        <f aca="false">IF(W128="x","x",IF(W128="-","-",""))</f>
        <v>-</v>
      </c>
      <c r="DH128" s="2" t="str">
        <f aca="false">IF(X128="x","x",IF(X128="-","-",""))</f>
        <v>-</v>
      </c>
      <c r="DI128" s="2" t="str">
        <f aca="false">IF(Y128="x","x",IF(Y128="-","-",""))</f>
        <v>-</v>
      </c>
      <c r="DJ128" s="2" t="str">
        <f aca="false">IF(Z128="x","x",IF(Z128="-","-",""))</f>
        <v>-</v>
      </c>
      <c r="DK128" s="2" t="str">
        <f aca="false">IF(AA128="x","x",IF(AA128="-","-",""))</f>
        <v>-</v>
      </c>
      <c r="DL128" s="10"/>
      <c r="DM128" s="2" t="str">
        <f aca="false">IF(AC128="x","x",IF(AC128="-","-",""))</f>
        <v>-</v>
      </c>
      <c r="DN128" s="2" t="str">
        <f aca="false">IF(AD128="x","x",IF(AD128="-","-",""))</f>
        <v>-</v>
      </c>
      <c r="DO128" s="2" t="str">
        <f aca="false">IF(AE128="x","x",IF(AE128="-","-",""))</f>
        <v>-</v>
      </c>
      <c r="DP128" s="2" t="str">
        <f aca="false">IF(AF128="x","x",IF(AF128="-","-",""))</f>
        <v>-</v>
      </c>
      <c r="DQ128" s="2" t="str">
        <f aca="false">IF(AG128="x","x",IF(AG128="-","-",""))</f>
        <v>-</v>
      </c>
      <c r="DR128" s="2" t="str">
        <f aca="false">IF(AH128="x","x",IF(AH128="-","-",""))</f>
        <v>-</v>
      </c>
      <c r="DS128" s="2" t="str">
        <f aca="false">IF(AI128="x","x",IF(AI128="-","-",""))</f>
        <v>-</v>
      </c>
      <c r="DT128" s="2" t="str">
        <f aca="false">IF(AJ128="x","x",IF(AJ128="-","-",""))</f>
        <v>-</v>
      </c>
      <c r="DU128" s="2" t="str">
        <f aca="false">IF(AK128="x","x",IF(AK128="-","-",""))</f>
        <v>-</v>
      </c>
      <c r="DV128" s="2" t="str">
        <f aca="false">IF(AL128="x","x",IF(AL128="-","-",""))</f>
        <v>-</v>
      </c>
      <c r="DW128" s="2" t="str">
        <f aca="false">IF(AM128="x","x",IF(AM128="-","-",""))</f>
        <v>-</v>
      </c>
      <c r="DX128" s="2" t="str">
        <f aca="false">IF(AN128="x","x",IF(AN128="-","-",""))</f>
        <v>-</v>
      </c>
    </row>
    <row r="129" customFormat="false" ht="13.8" hidden="false" customHeight="false" outlineLevel="0" collapsed="false">
      <c r="A129" s="10" t="s">
        <v>73</v>
      </c>
      <c r="B129" s="2" t="n">
        <v>128</v>
      </c>
      <c r="C129" s="1" t="s">
        <v>77</v>
      </c>
      <c r="D129" s="10" t="s">
        <v>92</v>
      </c>
      <c r="E129" s="10" t="s">
        <v>127</v>
      </c>
      <c r="F129" s="10"/>
      <c r="G129" s="10" t="s">
        <v>77</v>
      </c>
      <c r="H129" s="10" t="s">
        <v>77</v>
      </c>
      <c r="I129" s="10" t="s">
        <v>77</v>
      </c>
      <c r="J129" s="10" t="s">
        <v>77</v>
      </c>
      <c r="K129" s="10" t="s">
        <v>77</v>
      </c>
      <c r="L129" s="10" t="s">
        <v>77</v>
      </c>
      <c r="M129" s="2" t="n">
        <v>20</v>
      </c>
      <c r="N129" s="10" t="s">
        <v>77</v>
      </c>
      <c r="O129" s="10"/>
      <c r="P129" s="10" t="s">
        <v>77</v>
      </c>
      <c r="Q129" s="10" t="s">
        <v>77</v>
      </c>
      <c r="R129" s="10" t="s">
        <v>77</v>
      </c>
      <c r="S129" s="10" t="s">
        <v>77</v>
      </c>
      <c r="T129" s="10" t="s">
        <v>77</v>
      </c>
      <c r="U129" s="10" t="s">
        <v>77</v>
      </c>
      <c r="V129" s="10" t="s">
        <v>77</v>
      </c>
      <c r="W129" s="10" t="s">
        <v>77</v>
      </c>
      <c r="X129" s="10" t="s">
        <v>77</v>
      </c>
      <c r="Y129" s="10" t="s">
        <v>77</v>
      </c>
      <c r="Z129" s="10" t="s">
        <v>77</v>
      </c>
      <c r="AA129" s="10" t="s">
        <v>77</v>
      </c>
      <c r="AB129" s="10"/>
      <c r="AC129" s="10" t="s">
        <v>77</v>
      </c>
      <c r="AD129" s="10" t="s">
        <v>77</v>
      </c>
      <c r="AE129" s="10" t="s">
        <v>77</v>
      </c>
      <c r="AF129" s="10" t="s">
        <v>77</v>
      </c>
      <c r="AG129" s="10" t="s">
        <v>77</v>
      </c>
      <c r="AH129" s="10" t="s">
        <v>77</v>
      </c>
      <c r="AI129" s="10" t="s">
        <v>77</v>
      </c>
      <c r="AJ129" s="10" t="s">
        <v>77</v>
      </c>
      <c r="AK129" s="10" t="s">
        <v>77</v>
      </c>
      <c r="AL129" s="10" t="s">
        <v>77</v>
      </c>
      <c r="AM129" s="10" t="s">
        <v>77</v>
      </c>
      <c r="AN129" s="10" t="s">
        <v>77</v>
      </c>
      <c r="AO129" s="10"/>
      <c r="AP129" s="10" t="s">
        <v>73</v>
      </c>
      <c r="AQ129" s="10" t="s">
        <v>73</v>
      </c>
      <c r="AS129" s="10" t="s">
        <v>77</v>
      </c>
      <c r="AT129" s="10" t="s">
        <v>77</v>
      </c>
      <c r="AU129" s="10" t="s">
        <v>77</v>
      </c>
      <c r="AV129" s="10" t="s">
        <v>77</v>
      </c>
      <c r="AW129" s="10" t="s">
        <v>77</v>
      </c>
      <c r="AX129" s="10" t="s">
        <v>77</v>
      </c>
      <c r="AY129" s="10" t="s">
        <v>77</v>
      </c>
      <c r="AZ129" s="10" t="s">
        <v>77</v>
      </c>
      <c r="BA129" s="10" t="s">
        <v>77</v>
      </c>
      <c r="BB129" s="10" t="s">
        <v>77</v>
      </c>
      <c r="BC129" s="10" t="s">
        <v>77</v>
      </c>
      <c r="BD129" s="10" t="s">
        <v>77</v>
      </c>
      <c r="BE129" s="10" t="s">
        <v>77</v>
      </c>
      <c r="BF129" s="10" t="s">
        <v>77</v>
      </c>
      <c r="BG129" s="10" t="s">
        <v>77</v>
      </c>
      <c r="BH129" s="10" t="s">
        <v>77</v>
      </c>
      <c r="BI129" s="10" t="s">
        <v>77</v>
      </c>
      <c r="BJ129" s="10" t="s">
        <v>77</v>
      </c>
      <c r="BK129" s="10" t="s">
        <v>77</v>
      </c>
      <c r="BL129" s="10" t="s">
        <v>77</v>
      </c>
      <c r="BM129" s="10" t="s">
        <v>77</v>
      </c>
      <c r="BN129" s="10" t="s">
        <v>77</v>
      </c>
      <c r="BO129" s="10" t="s">
        <v>77</v>
      </c>
      <c r="BP129" s="10" t="s">
        <v>77</v>
      </c>
      <c r="BR129" s="10" t="s">
        <v>77</v>
      </c>
      <c r="BS129" s="10" t="s">
        <v>77</v>
      </c>
      <c r="BT129" s="10" t="s">
        <v>77</v>
      </c>
      <c r="BU129" s="10" t="s">
        <v>77</v>
      </c>
      <c r="BV129" s="10" t="s">
        <v>77</v>
      </c>
      <c r="BW129" s="10" t="s">
        <v>77</v>
      </c>
      <c r="BX129" s="10" t="s">
        <v>77</v>
      </c>
      <c r="BY129" s="10" t="s">
        <v>77</v>
      </c>
      <c r="CA129" s="2" t="str">
        <f aca="false">IF(AS129="x","x",IF(AS129="-","-",""))</f>
        <v>-</v>
      </c>
      <c r="CB129" s="2" t="str">
        <f aca="false">IF(AT129="x","x",IF(AT129="-","-",""))</f>
        <v>-</v>
      </c>
      <c r="CC129" s="2" t="str">
        <f aca="false">IF(AU129="x","x",IF(AU129="-","-",""))</f>
        <v>-</v>
      </c>
      <c r="CD129" s="2" t="str">
        <f aca="false">IF(AV129="x","x",IF(AV129="-","-",""))</f>
        <v>-</v>
      </c>
      <c r="CE129" s="2" t="str">
        <f aca="false">IF(AW129="x","x",IF(AW129="-","-",""))</f>
        <v>-</v>
      </c>
      <c r="CF129" s="2" t="str">
        <f aca="false">IF(AX129="x","x",IF(AX129="-","-",""))</f>
        <v>-</v>
      </c>
      <c r="CG129" s="2" t="str">
        <f aca="false">IF(AY129="x","x",IF(AY129="-","-",""))</f>
        <v>-</v>
      </c>
      <c r="CH129" s="2" t="str">
        <f aca="false">IF(AZ129="x","x",IF(AZ129="-","-",""))</f>
        <v>-</v>
      </c>
      <c r="CI129" s="2" t="str">
        <f aca="false">IF(BA129="x","x",IF(BA129="-","-",""))</f>
        <v>-</v>
      </c>
      <c r="CJ129" s="2" t="str">
        <f aca="false">IF(BB129="x","x",IF(BB129="-","-",""))</f>
        <v>-</v>
      </c>
      <c r="CK129" s="2" t="str">
        <f aca="false">IF(BC129="x","x",IF(BC129="-","-",""))</f>
        <v>-</v>
      </c>
      <c r="CL129" s="2" t="str">
        <f aca="false">IF(BD129="x","x",IF(BD129="-","-",""))</f>
        <v>-</v>
      </c>
      <c r="CM129" s="2" t="str">
        <f aca="false">IF(BE129="x","x",IF(BE129="-","-",""))</f>
        <v>-</v>
      </c>
      <c r="CN129" s="2" t="str">
        <f aca="false">IF(BF129="x","x",IF(BF129="-","-",""))</f>
        <v>-</v>
      </c>
      <c r="CO129" s="2" t="str">
        <f aca="false">IF(BG129="x","x",IF(BG129="-","-",""))</f>
        <v>-</v>
      </c>
      <c r="CP129" s="2" t="str">
        <f aca="false">IF(BH129="x","x",IF(BH129="-","-",""))</f>
        <v>-</v>
      </c>
      <c r="CQ129" s="2" t="str">
        <f aca="false">IF(BI129="x","x",IF(BI129="-","-",""))</f>
        <v>-</v>
      </c>
      <c r="CR129" s="2" t="str">
        <f aca="false">IF(BJ129="x","x",IF(BJ129="-","-",""))</f>
        <v>-</v>
      </c>
      <c r="CS129" s="2" t="str">
        <f aca="false">IF(BK129="x","x",IF(BK129="-","-",""))</f>
        <v>-</v>
      </c>
      <c r="CT129" s="2" t="str">
        <f aca="false">IF(BL129="x","x",IF(BL129="-","-",""))</f>
        <v>-</v>
      </c>
      <c r="CU129" s="2" t="str">
        <f aca="false">IF(BM129="x","x",IF(BM129="-","-",""))</f>
        <v>-</v>
      </c>
      <c r="CV129" s="2" t="str">
        <f aca="false">IF(BN129="x","x",IF(BN129="-","-",""))</f>
        <v>-</v>
      </c>
      <c r="CW129" s="2" t="str">
        <f aca="false">IF(BO129="x","x",IF(BO129="-","-",""))</f>
        <v>-</v>
      </c>
      <c r="CX129" s="2" t="str">
        <f aca="false">IF(BP129="x","x",IF(BP129="-","-",""))</f>
        <v>-</v>
      </c>
      <c r="CZ129" s="2" t="str">
        <f aca="false">IF(P129="x","x",IF(P129="-","-",""))</f>
        <v>-</v>
      </c>
      <c r="DA129" s="2" t="str">
        <f aca="false">IF(Q129="x","x",IF(Q129="-","-",""))</f>
        <v>-</v>
      </c>
      <c r="DB129" s="2" t="str">
        <f aca="false">IF(R129="x","x",IF(R129="-","-",""))</f>
        <v>-</v>
      </c>
      <c r="DC129" s="2" t="str">
        <f aca="false">IF(S129="x","x",IF(S129="-","-",""))</f>
        <v>-</v>
      </c>
      <c r="DD129" s="2" t="str">
        <f aca="false">IF(T129="x","x",IF(T129="-","-",""))</f>
        <v>-</v>
      </c>
      <c r="DE129" s="2" t="str">
        <f aca="false">IF(U129="x","x",IF(U129="-","-",""))</f>
        <v>-</v>
      </c>
      <c r="DF129" s="2" t="str">
        <f aca="false">IF(V129="x","x",IF(V129="-","-",""))</f>
        <v>-</v>
      </c>
      <c r="DG129" s="2" t="str">
        <f aca="false">IF(W129="x","x",IF(W129="-","-",""))</f>
        <v>-</v>
      </c>
      <c r="DH129" s="2" t="str">
        <f aca="false">IF(X129="x","x",IF(X129="-","-",""))</f>
        <v>-</v>
      </c>
      <c r="DI129" s="2" t="str">
        <f aca="false">IF(Y129="x","x",IF(Y129="-","-",""))</f>
        <v>-</v>
      </c>
      <c r="DJ129" s="2" t="str">
        <f aca="false">IF(Z129="x","x",IF(Z129="-","-",""))</f>
        <v>-</v>
      </c>
      <c r="DK129" s="2" t="str">
        <f aca="false">IF(AA129="x","x",IF(AA129="-","-",""))</f>
        <v>-</v>
      </c>
      <c r="DL129" s="10"/>
      <c r="DM129" s="2" t="str">
        <f aca="false">IF(AC129="x","x",IF(AC129="-","-",""))</f>
        <v>-</v>
      </c>
      <c r="DN129" s="2" t="str">
        <f aca="false">IF(AD129="x","x",IF(AD129="-","-",""))</f>
        <v>-</v>
      </c>
      <c r="DO129" s="2" t="str">
        <f aca="false">IF(AE129="x","x",IF(AE129="-","-",""))</f>
        <v>-</v>
      </c>
      <c r="DP129" s="2" t="str">
        <f aca="false">IF(AF129="x","x",IF(AF129="-","-",""))</f>
        <v>-</v>
      </c>
      <c r="DQ129" s="2" t="str">
        <f aca="false">IF(AG129="x","x",IF(AG129="-","-",""))</f>
        <v>-</v>
      </c>
      <c r="DR129" s="2" t="str">
        <f aca="false">IF(AH129="x","x",IF(AH129="-","-",""))</f>
        <v>-</v>
      </c>
      <c r="DS129" s="2" t="str">
        <f aca="false">IF(AI129="x","x",IF(AI129="-","-",""))</f>
        <v>-</v>
      </c>
      <c r="DT129" s="2" t="str">
        <f aca="false">IF(AJ129="x","x",IF(AJ129="-","-",""))</f>
        <v>-</v>
      </c>
      <c r="DU129" s="2" t="str">
        <f aca="false">IF(AK129="x","x",IF(AK129="-","-",""))</f>
        <v>-</v>
      </c>
      <c r="DV129" s="2" t="str">
        <f aca="false">IF(AL129="x","x",IF(AL129="-","-",""))</f>
        <v>-</v>
      </c>
      <c r="DW129" s="2" t="str">
        <f aca="false">IF(AM129="x","x",IF(AM129="-","-",""))</f>
        <v>-</v>
      </c>
      <c r="DX129" s="2" t="str">
        <f aca="false">IF(AN129="x","x",IF(AN129="-","-",""))</f>
        <v>-</v>
      </c>
    </row>
    <row r="130" customFormat="false" ht="13.8" hidden="false" customHeight="false" outlineLevel="0" collapsed="false">
      <c r="B130" s="2"/>
      <c r="K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</row>
    <row r="131" customFormat="false" ht="13.8" hidden="false" customHeight="false" outlineLevel="0" collapsed="false">
      <c r="B131" s="2"/>
      <c r="K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</row>
    <row r="132" customFormat="false" ht="13.8" hidden="false" customHeight="true" outlineLevel="0" collapsed="false"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</row>
    <row r="133" customFormat="false" ht="13.8" hidden="false" customHeight="false" outlineLevel="0" collapsed="false">
      <c r="C133" s="12"/>
      <c r="E133" s="1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</row>
    <row r="134" customFormat="false" ht="13.8" hidden="false" customHeight="true" outlineLevel="0" collapsed="false"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</row>
    <row r="135" customFormat="false" ht="13.8" hidden="false" customHeight="true" outlineLevel="0" collapsed="false"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</row>
    <row r="136" customFormat="false" ht="13.8" hidden="false" customHeight="true" outlineLevel="0" collapsed="false"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</row>
    <row r="137" customFormat="false" ht="13.8" hidden="false" customHeight="true" outlineLevel="0" collapsed="false"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</row>
    <row r="138" customFormat="false" ht="13.8" hidden="false" customHeight="true" outlineLevel="0" collapsed="false"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</row>
    <row r="139" customFormat="false" ht="13.8" hidden="false" customHeight="true" outlineLevel="0" collapsed="false"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</row>
    <row r="140" customFormat="false" ht="13.8" hidden="false" customHeight="true" outlineLevel="0" collapsed="false"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</row>
    <row r="141" customFormat="false" ht="13.8" hidden="false" customHeight="true" outlineLevel="0" collapsed="false"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</row>
    <row r="142" customFormat="false" ht="13.8" hidden="false" customHeight="true" outlineLevel="0" collapsed="false"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</row>
    <row r="143" customFormat="false" ht="13.8" hidden="false" customHeight="true" outlineLevel="0" collapsed="false"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</row>
    <row r="144" customFormat="false" ht="13.8" hidden="false" customHeight="true" outlineLevel="0" collapsed="false"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</row>
    <row r="145" customFormat="false" ht="13.8" hidden="false" customHeight="true" outlineLevel="0" collapsed="false"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</row>
    <row r="146" customFormat="false" ht="13.8" hidden="false" customHeight="true" outlineLevel="0" collapsed="false"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</row>
    <row r="147" customFormat="false" ht="13.8" hidden="false" customHeight="true" outlineLevel="0" collapsed="false"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</row>
    <row r="148" customFormat="false" ht="13.8" hidden="false" customHeight="true" outlineLevel="0" collapsed="false"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</row>
    <row r="149" customFormat="false" ht="13.8" hidden="false" customHeight="true" outlineLevel="0" collapsed="false"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</row>
    <row r="150" customFormat="false" ht="13.8" hidden="false" customHeight="true" outlineLevel="0" collapsed="false"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</row>
    <row r="151" customFormat="false" ht="13.8" hidden="false" customHeight="true" outlineLevel="0" collapsed="false"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</row>
    <row r="152" customFormat="false" ht="13.8" hidden="false" customHeight="true" outlineLevel="0" collapsed="false"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</row>
    <row r="153" customFormat="false" ht="13.8" hidden="false" customHeight="true" outlineLevel="0" collapsed="false"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</row>
    <row r="154" customFormat="false" ht="13.8" hidden="false" customHeight="true" outlineLevel="0" collapsed="false"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</row>
  </sheetData>
  <conditionalFormatting sqref="AP1:AP1048576 AQ2:AQ129 G1:I1 H130:I1048576 G29:G1048576 D134:F1048576 D133 F133 A2:A129 D1:F132">
    <cfRule type="cellIs" priority="2" operator="equal" aboveAverage="0" equalAverage="0" bottom="0" percent="0" rank="0" text="" dxfId="0">
      <formula>"purple"</formula>
    </cfRule>
    <cfRule type="cellIs" priority="3" operator="equal" aboveAverage="0" equalAverage="0" bottom="0" percent="0" rank="0" text="" dxfId="1">
      <formula>"light blue"</formula>
    </cfRule>
    <cfRule type="cellIs" priority="4" operator="equal" aboveAverage="0" equalAverage="0" bottom="0" percent="0" rank="0" text="" dxfId="2">
      <formula>"green"</formula>
    </cfRule>
    <cfRule type="cellIs" priority="5" operator="equal" aboveAverage="0" equalAverage="0" bottom="0" percent="0" rank="0" text="" dxfId="3">
      <formula>"red"</formula>
    </cfRule>
    <cfRule type="cellIs" priority="6" operator="equal" aboveAverage="0" equalAverage="0" bottom="0" percent="0" rank="0" text="" dxfId="4">
      <formula>"black"</formula>
    </cfRule>
    <cfRule type="cellIs" priority="7" operator="equal" aboveAverage="0" equalAverage="0" bottom="0" percent="0" rank="0" text="" dxfId="5">
      <formula>"yellow"</formula>
    </cfRule>
    <cfRule type="cellIs" priority="8" operator="equal" aboveAverage="0" equalAverage="0" bottom="0" percent="0" rank="0" text="" dxfId="6">
      <formula>"blue"</formula>
    </cfRule>
  </conditionalFormatting>
  <dataValidations count="12">
    <dataValidation allowBlank="true" errorStyle="stop" operator="equal" showDropDown="false" showErrorMessage="true" showInputMessage="false" sqref="D2:D129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K130:K131" type="list">
      <formula1>"+10,+5,0,-5,-10,-15,-20,-25,-30,-35,-40,-45,-inf"</formula1>
      <formula2>0</formula2>
    </dataValidation>
    <dataValidation allowBlank="true" errorStyle="stop" operator="equal" showDropDown="false" showErrorMessage="true" showInputMessage="false" sqref="K2:K129" type="list">
      <formula1>"-,+10,+5,0,-5,-10,-15,-20,-25,-30,-35,-40,-45,-99"</formula1>
      <formula2>0</formula2>
    </dataValidation>
    <dataValidation allowBlank="true" errorStyle="stop" operator="equal" showDropDown="false" showErrorMessage="true" showInputMessage="false" sqref="J2:J129 L2:L129 N2:O129 AB2:AB129 AO2:AO129 DL2:DL129" type="list">
      <formula1>"-,yes,no"</formula1>
      <formula2>0</formula2>
    </dataValidation>
    <dataValidation allowBlank="true" errorStyle="stop" operator="equal" showDropDown="false" showErrorMessage="true" showInputMessage="false" sqref="A2:A129 AP2:AQ129" type="list">
      <formula1>"yes,no"</formula1>
      <formula2>0</formula2>
    </dataValidation>
    <dataValidation allowBlank="true" errorStyle="stop" operator="between" showDropDown="false" showErrorMessage="true" showInputMessage="false" sqref="M2:M129" type="none">
      <formula1>20</formula1>
      <formula2>2000</formula2>
    </dataValidation>
    <dataValidation allowBlank="true" errorStyle="stop" operator="equal" showDropDown="false" showErrorMessage="true" showInputMessage="false" sqref="P2:AA154 AC2:AN129 AS2:BP129 BR2:BY129 CZ130:DK154" type="none">
      <formula1>0</formula1>
      <formula2>0</formula2>
    </dataValidation>
    <dataValidation allowBlank="true" errorStyle="stop" operator="equal" showDropDown="false" showErrorMessage="true" showInputMessage="false" sqref="F2:F129" type="none">
      <formula1>0</formula1>
      <formula2>0</formula2>
    </dataValidation>
    <dataValidation allowBlank="true" errorStyle="stop" operator="equal" showDropDown="false" showErrorMessage="true" showInputMessage="false" sqref="G2:G27 G29:G129" type="list">
      <formula1>"-,+5,+10,+15,+20,+25,+30,+35,+40,+45,+50,+55,+60,"</formula1>
      <formula2>0</formula2>
    </dataValidation>
    <dataValidation allowBlank="true" errorStyle="stop" operator="equal" showDropDown="false" showErrorMessage="true" showInputMessage="false" sqref="H2:H27 H29:H129" type="list">
      <formula1>"-,yes,no"</formula1>
      <formula2>0</formula2>
    </dataValidation>
    <dataValidation allowBlank="true" errorStyle="stop" operator="equal" showDropDown="false" showErrorMessage="true" showInputMessage="false" sqref="I2:I27 I29:I129" type="list">
      <formula1>"-,yes,no"</formula1>
      <formula2>0</formula2>
    </dataValidation>
    <dataValidation allowBlank="true" errorStyle="stop" operator="equal" showDropDown="false" showErrorMessage="true" showInputMessage="false" sqref="E2:E129" type="list">
      <formula1>"Unassigned,MixRack,Surface,Surface DX 5/6,IO 4,IO 5,USB,MixRack DX 1/2,MixRack DX 3/4,IO 1,IO 2,IO 3,SigGen"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C2" activeCellId="0" sqref="C2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24"/>
    <col collapsed="false" customWidth="true" hidden="false" outlineLevel="0" max="2" min="2" style="2" width="14.14"/>
    <col collapsed="false" customWidth="true" hidden="false" outlineLevel="0" max="4" min="3" style="2" width="4.42"/>
    <col collapsed="false" customWidth="true" hidden="false" outlineLevel="0" max="12" min="5" style="2" width="3.86"/>
    <col collapsed="false" customWidth="true" hidden="false" outlineLevel="0" max="16" min="13" style="2" width="3.57"/>
    <col collapsed="false" customWidth="true" hidden="false" outlineLevel="0" max="17" min="17" style="2" width="3.86"/>
    <col collapsed="false" customWidth="true" hidden="false" outlineLevel="0" max="19" min="18" style="3" width="3.86"/>
    <col collapsed="false" customWidth="true" hidden="false" outlineLevel="0" max="21" min="20" style="3" width="3.57"/>
  </cols>
  <sheetData>
    <row r="1" customFormat="false" ht="73.5" hidden="false" customHeight="true" outlineLevel="0" collapsed="false">
      <c r="A1" s="14" t="s">
        <v>128</v>
      </c>
      <c r="B1" s="15" t="s">
        <v>129</v>
      </c>
      <c r="C1" s="16" t="s">
        <v>130</v>
      </c>
      <c r="D1" s="16" t="s">
        <v>131</v>
      </c>
      <c r="E1" s="16" t="s">
        <v>132</v>
      </c>
      <c r="F1" s="17"/>
      <c r="G1" s="18" t="s">
        <v>133</v>
      </c>
      <c r="H1" s="18" t="s">
        <v>134</v>
      </c>
      <c r="I1" s="18" t="s">
        <v>135</v>
      </c>
      <c r="J1" s="17"/>
      <c r="K1" s="19" t="s">
        <v>136</v>
      </c>
      <c r="L1" s="19" t="s">
        <v>137</v>
      </c>
      <c r="M1" s="19" t="s">
        <v>138</v>
      </c>
      <c r="N1" s="17"/>
      <c r="O1" s="20" t="s">
        <v>139</v>
      </c>
      <c r="P1" s="20" t="s">
        <v>140</v>
      </c>
      <c r="Q1" s="20" t="s">
        <v>141</v>
      </c>
    </row>
    <row r="2" customFormat="false" ht="15" hidden="false" customHeight="false" outlineLevel="0" collapsed="false">
      <c r="B2" s="2" t="n">
        <v>1</v>
      </c>
      <c r="C2" s="10" t="s">
        <v>77</v>
      </c>
      <c r="D2" s="10" t="s">
        <v>77</v>
      </c>
      <c r="E2" s="10" t="s">
        <v>77</v>
      </c>
      <c r="G2" s="10" t="s">
        <v>77</v>
      </c>
      <c r="H2" s="10" t="s">
        <v>77</v>
      </c>
      <c r="I2" s="10" t="s">
        <v>77</v>
      </c>
      <c r="K2" s="10" t="s">
        <v>77</v>
      </c>
      <c r="L2" s="10" t="s">
        <v>77</v>
      </c>
      <c r="M2" s="10" t="s">
        <v>77</v>
      </c>
      <c r="O2" s="10" t="s">
        <v>77</v>
      </c>
      <c r="P2" s="10" t="s">
        <v>77</v>
      </c>
      <c r="Q2" s="10" t="s">
        <v>77</v>
      </c>
    </row>
    <row r="3" customFormat="false" ht="15" hidden="false" customHeight="false" outlineLevel="0" collapsed="false">
      <c r="B3" s="2" t="n">
        <v>2</v>
      </c>
      <c r="C3" s="10" t="s">
        <v>77</v>
      </c>
      <c r="D3" s="10" t="s">
        <v>77</v>
      </c>
      <c r="E3" s="10" t="s">
        <v>77</v>
      </c>
      <c r="G3" s="10" t="s">
        <v>77</v>
      </c>
      <c r="H3" s="10" t="s">
        <v>77</v>
      </c>
      <c r="I3" s="10" t="s">
        <v>77</v>
      </c>
      <c r="K3" s="10" t="s">
        <v>77</v>
      </c>
      <c r="L3" s="10" t="s">
        <v>77</v>
      </c>
      <c r="M3" s="10" t="s">
        <v>77</v>
      </c>
      <c r="O3" s="10" t="s">
        <v>77</v>
      </c>
      <c r="P3" s="10" t="s">
        <v>77</v>
      </c>
      <c r="Q3" s="10" t="s">
        <v>77</v>
      </c>
    </row>
    <row r="4" customFormat="false" ht="15" hidden="false" customHeight="false" outlineLevel="0" collapsed="false">
      <c r="B4" s="2" t="n">
        <v>3</v>
      </c>
      <c r="C4" s="10" t="s">
        <v>77</v>
      </c>
      <c r="D4" s="10" t="s">
        <v>77</v>
      </c>
      <c r="E4" s="10" t="s">
        <v>77</v>
      </c>
      <c r="G4" s="10" t="s">
        <v>77</v>
      </c>
      <c r="H4" s="10" t="s">
        <v>77</v>
      </c>
      <c r="I4" s="10" t="s">
        <v>77</v>
      </c>
      <c r="K4" s="10" t="s">
        <v>77</v>
      </c>
      <c r="L4" s="10" t="s">
        <v>77</v>
      </c>
      <c r="M4" s="10" t="s">
        <v>77</v>
      </c>
      <c r="O4" s="10" t="s">
        <v>77</v>
      </c>
      <c r="P4" s="10" t="s">
        <v>77</v>
      </c>
      <c r="Q4" s="10" t="s">
        <v>77</v>
      </c>
    </row>
    <row r="5" customFormat="false" ht="15" hidden="false" customHeight="false" outlineLevel="0" collapsed="false">
      <c r="B5" s="2" t="n">
        <v>4</v>
      </c>
      <c r="C5" s="10" t="s">
        <v>77</v>
      </c>
      <c r="D5" s="10" t="s">
        <v>77</v>
      </c>
      <c r="E5" s="10" t="s">
        <v>77</v>
      </c>
      <c r="G5" s="10" t="s">
        <v>77</v>
      </c>
      <c r="H5" s="10" t="s">
        <v>77</v>
      </c>
      <c r="I5" s="10" t="s">
        <v>77</v>
      </c>
      <c r="K5" s="10" t="s">
        <v>77</v>
      </c>
      <c r="L5" s="10" t="s">
        <v>77</v>
      </c>
      <c r="M5" s="10" t="s">
        <v>77</v>
      </c>
      <c r="O5" s="10" t="s">
        <v>77</v>
      </c>
      <c r="P5" s="10" t="s">
        <v>77</v>
      </c>
      <c r="Q5" s="10" t="s">
        <v>77</v>
      </c>
    </row>
    <row r="6" customFormat="false" ht="15" hidden="false" customHeight="false" outlineLevel="0" collapsed="false">
      <c r="B6" s="2" t="n">
        <v>5</v>
      </c>
      <c r="C6" s="10" t="s">
        <v>77</v>
      </c>
      <c r="D6" s="10" t="s">
        <v>77</v>
      </c>
      <c r="E6" s="10" t="s">
        <v>77</v>
      </c>
      <c r="G6" s="10" t="s">
        <v>77</v>
      </c>
      <c r="H6" s="10" t="s">
        <v>77</v>
      </c>
      <c r="I6" s="10" t="s">
        <v>77</v>
      </c>
      <c r="K6" s="10" t="s">
        <v>77</v>
      </c>
      <c r="L6" s="10" t="s">
        <v>77</v>
      </c>
      <c r="M6" s="10" t="s">
        <v>77</v>
      </c>
      <c r="O6" s="10" t="s">
        <v>77</v>
      </c>
      <c r="P6" s="10" t="s">
        <v>77</v>
      </c>
      <c r="Q6" s="10" t="s">
        <v>77</v>
      </c>
    </row>
    <row r="7" customFormat="false" ht="15" hidden="false" customHeight="false" outlineLevel="0" collapsed="false">
      <c r="B7" s="2" t="n">
        <v>6</v>
      </c>
      <c r="C7" s="10" t="s">
        <v>77</v>
      </c>
      <c r="D7" s="10" t="s">
        <v>77</v>
      </c>
      <c r="E7" s="10" t="s">
        <v>77</v>
      </c>
      <c r="G7" s="10" t="s">
        <v>77</v>
      </c>
      <c r="H7" s="10" t="s">
        <v>77</v>
      </c>
      <c r="I7" s="10" t="s">
        <v>77</v>
      </c>
      <c r="K7" s="10" t="s">
        <v>77</v>
      </c>
      <c r="L7" s="10" t="s">
        <v>77</v>
      </c>
      <c r="M7" s="10" t="s">
        <v>77</v>
      </c>
      <c r="O7" s="10" t="s">
        <v>77</v>
      </c>
      <c r="P7" s="10" t="s">
        <v>77</v>
      </c>
      <c r="Q7" s="10" t="s">
        <v>77</v>
      </c>
    </row>
    <row r="8" customFormat="false" ht="15" hidden="false" customHeight="false" outlineLevel="0" collapsed="false">
      <c r="B8" s="2" t="n">
        <v>7</v>
      </c>
      <c r="C8" s="10" t="s">
        <v>77</v>
      </c>
      <c r="D8" s="10" t="s">
        <v>77</v>
      </c>
      <c r="E8" s="10" t="s">
        <v>77</v>
      </c>
      <c r="G8" s="10" t="s">
        <v>77</v>
      </c>
      <c r="H8" s="10" t="s">
        <v>77</v>
      </c>
      <c r="I8" s="10" t="s">
        <v>77</v>
      </c>
      <c r="K8" s="10" t="s">
        <v>77</v>
      </c>
      <c r="L8" s="10" t="s">
        <v>77</v>
      </c>
      <c r="M8" s="10" t="s">
        <v>77</v>
      </c>
      <c r="O8" s="10" t="s">
        <v>77</v>
      </c>
      <c r="P8" s="10" t="s">
        <v>77</v>
      </c>
      <c r="Q8" s="10" t="s">
        <v>77</v>
      </c>
    </row>
    <row r="9" customFormat="false" ht="15" hidden="false" customHeight="false" outlineLevel="0" collapsed="false">
      <c r="B9" s="2" t="n">
        <v>8</v>
      </c>
      <c r="C9" s="10" t="s">
        <v>77</v>
      </c>
      <c r="D9" s="10" t="s">
        <v>77</v>
      </c>
      <c r="E9" s="10" t="s">
        <v>77</v>
      </c>
      <c r="G9" s="10" t="s">
        <v>77</v>
      </c>
      <c r="H9" s="10" t="s">
        <v>77</v>
      </c>
      <c r="I9" s="10" t="s">
        <v>77</v>
      </c>
      <c r="K9" s="10" t="s">
        <v>77</v>
      </c>
      <c r="L9" s="10" t="s">
        <v>77</v>
      </c>
      <c r="M9" s="10" t="s">
        <v>77</v>
      </c>
      <c r="O9" s="10" t="s">
        <v>77</v>
      </c>
      <c r="P9" s="10" t="s">
        <v>77</v>
      </c>
      <c r="Q9" s="10" t="s">
        <v>77</v>
      </c>
    </row>
    <row r="10" customFormat="false" ht="15" hidden="false" customHeight="false" outlineLevel="0" collapsed="false">
      <c r="B10" s="2" t="n">
        <v>9</v>
      </c>
      <c r="C10" s="10" t="s">
        <v>77</v>
      </c>
      <c r="D10" s="10" t="s">
        <v>77</v>
      </c>
      <c r="E10" s="10" t="s">
        <v>77</v>
      </c>
      <c r="G10" s="10" t="s">
        <v>77</v>
      </c>
      <c r="H10" s="10" t="s">
        <v>77</v>
      </c>
      <c r="I10" s="10" t="s">
        <v>77</v>
      </c>
      <c r="K10" s="10" t="s">
        <v>77</v>
      </c>
      <c r="L10" s="10" t="s">
        <v>77</v>
      </c>
      <c r="M10" s="10" t="s">
        <v>77</v>
      </c>
      <c r="O10" s="10" t="s">
        <v>77</v>
      </c>
      <c r="P10" s="10" t="s">
        <v>77</v>
      </c>
      <c r="Q10" s="10" t="s">
        <v>77</v>
      </c>
    </row>
    <row r="11" customFormat="false" ht="15" hidden="false" customHeight="false" outlineLevel="0" collapsed="false">
      <c r="B11" s="2" t="n">
        <v>10</v>
      </c>
      <c r="C11" s="10" t="s">
        <v>77</v>
      </c>
      <c r="D11" s="10" t="s">
        <v>77</v>
      </c>
      <c r="E11" s="10" t="s">
        <v>77</v>
      </c>
      <c r="G11" s="10" t="s">
        <v>77</v>
      </c>
      <c r="H11" s="10" t="s">
        <v>77</v>
      </c>
      <c r="I11" s="10" t="s">
        <v>77</v>
      </c>
      <c r="K11" s="10" t="s">
        <v>77</v>
      </c>
      <c r="L11" s="10" t="s">
        <v>77</v>
      </c>
      <c r="M11" s="10" t="s">
        <v>77</v>
      </c>
      <c r="O11" s="10" t="s">
        <v>77</v>
      </c>
      <c r="P11" s="10" t="s">
        <v>77</v>
      </c>
      <c r="Q11" s="10" t="s">
        <v>77</v>
      </c>
    </row>
    <row r="12" customFormat="false" ht="15" hidden="false" customHeight="false" outlineLevel="0" collapsed="false">
      <c r="B12" s="2" t="n">
        <v>11</v>
      </c>
      <c r="C12" s="10" t="s">
        <v>77</v>
      </c>
      <c r="D12" s="10" t="s">
        <v>77</v>
      </c>
      <c r="E12" s="10" t="s">
        <v>77</v>
      </c>
      <c r="G12" s="10" t="s">
        <v>77</v>
      </c>
      <c r="H12" s="10" t="s">
        <v>77</v>
      </c>
      <c r="I12" s="10" t="s">
        <v>77</v>
      </c>
      <c r="K12" s="10" t="s">
        <v>77</v>
      </c>
      <c r="L12" s="10" t="s">
        <v>77</v>
      </c>
      <c r="M12" s="10" t="s">
        <v>77</v>
      </c>
      <c r="O12" s="10" t="s">
        <v>77</v>
      </c>
      <c r="P12" s="10" t="s">
        <v>77</v>
      </c>
      <c r="Q12" s="10" t="s">
        <v>77</v>
      </c>
    </row>
    <row r="13" customFormat="false" ht="15" hidden="false" customHeight="false" outlineLevel="0" collapsed="false">
      <c r="A13" s="3" t="s">
        <v>142</v>
      </c>
      <c r="B13" s="2" t="n">
        <v>12</v>
      </c>
      <c r="C13" s="10" t="s">
        <v>77</v>
      </c>
      <c r="D13" s="10" t="s">
        <v>77</v>
      </c>
      <c r="E13" s="10" t="s">
        <v>77</v>
      </c>
      <c r="G13" s="10" t="s">
        <v>77</v>
      </c>
      <c r="H13" s="10" t="s">
        <v>77</v>
      </c>
      <c r="I13" s="10" t="s">
        <v>77</v>
      </c>
      <c r="K13" s="10" t="s">
        <v>77</v>
      </c>
      <c r="L13" s="10" t="s">
        <v>77</v>
      </c>
      <c r="M13" s="10" t="s">
        <v>77</v>
      </c>
      <c r="O13" s="10" t="s">
        <v>77</v>
      </c>
      <c r="P13" s="10" t="s">
        <v>77</v>
      </c>
      <c r="Q13" s="10" t="s">
        <v>77</v>
      </c>
    </row>
    <row r="14" customFormat="false" ht="15" hidden="false" customHeight="false" outlineLevel="0" collapsed="false">
      <c r="B14" s="2" t="n">
        <v>13</v>
      </c>
      <c r="C14" s="10" t="s">
        <v>77</v>
      </c>
      <c r="D14" s="10" t="s">
        <v>77</v>
      </c>
      <c r="E14" s="10" t="s">
        <v>77</v>
      </c>
      <c r="G14" s="10" t="s">
        <v>77</v>
      </c>
      <c r="H14" s="10" t="s">
        <v>77</v>
      </c>
      <c r="I14" s="10" t="s">
        <v>77</v>
      </c>
      <c r="K14" s="10" t="s">
        <v>77</v>
      </c>
      <c r="L14" s="10" t="s">
        <v>77</v>
      </c>
      <c r="M14" s="10" t="s">
        <v>77</v>
      </c>
      <c r="O14" s="10" t="s">
        <v>77</v>
      </c>
      <c r="P14" s="10" t="s">
        <v>77</v>
      </c>
      <c r="Q14" s="10" t="s">
        <v>77</v>
      </c>
    </row>
    <row r="15" customFormat="false" ht="15" hidden="false" customHeight="false" outlineLevel="0" collapsed="false">
      <c r="B15" s="2" t="n">
        <v>14</v>
      </c>
      <c r="C15" s="10" t="s">
        <v>77</v>
      </c>
      <c r="D15" s="10" t="s">
        <v>77</v>
      </c>
      <c r="E15" s="10" t="s">
        <v>77</v>
      </c>
      <c r="G15" s="10" t="s">
        <v>77</v>
      </c>
      <c r="H15" s="10" t="s">
        <v>77</v>
      </c>
      <c r="I15" s="10" t="s">
        <v>77</v>
      </c>
      <c r="K15" s="10" t="s">
        <v>77</v>
      </c>
      <c r="L15" s="10" t="s">
        <v>77</v>
      </c>
      <c r="M15" s="10" t="s">
        <v>77</v>
      </c>
      <c r="O15" s="10" t="s">
        <v>77</v>
      </c>
      <c r="P15" s="10" t="s">
        <v>77</v>
      </c>
      <c r="Q15" s="10" t="s">
        <v>77</v>
      </c>
    </row>
    <row r="16" customFormat="false" ht="15" hidden="false" customHeight="false" outlineLevel="0" collapsed="false">
      <c r="B16" s="2" t="n">
        <v>15</v>
      </c>
      <c r="C16" s="10" t="s">
        <v>77</v>
      </c>
      <c r="D16" s="10" t="s">
        <v>77</v>
      </c>
      <c r="E16" s="10" t="s">
        <v>77</v>
      </c>
      <c r="G16" s="10" t="s">
        <v>77</v>
      </c>
      <c r="H16" s="10" t="s">
        <v>77</v>
      </c>
      <c r="I16" s="10" t="s">
        <v>77</v>
      </c>
      <c r="K16" s="10" t="s">
        <v>77</v>
      </c>
      <c r="L16" s="10" t="s">
        <v>77</v>
      </c>
      <c r="M16" s="10" t="s">
        <v>77</v>
      </c>
      <c r="O16" s="10" t="s">
        <v>77</v>
      </c>
      <c r="P16" s="10" t="s">
        <v>77</v>
      </c>
      <c r="Q16" s="10" t="s">
        <v>77</v>
      </c>
    </row>
    <row r="17" customFormat="false" ht="15" hidden="false" customHeight="false" outlineLevel="0" collapsed="false">
      <c r="B17" s="2" t="n">
        <v>16</v>
      </c>
      <c r="C17" s="10" t="s">
        <v>77</v>
      </c>
      <c r="D17" s="10" t="s">
        <v>77</v>
      </c>
      <c r="E17" s="10" t="s">
        <v>77</v>
      </c>
      <c r="G17" s="10" t="s">
        <v>77</v>
      </c>
      <c r="H17" s="10" t="s">
        <v>77</v>
      </c>
      <c r="I17" s="10" t="s">
        <v>77</v>
      </c>
      <c r="K17" s="10" t="s">
        <v>77</v>
      </c>
      <c r="L17" s="10" t="s">
        <v>77</v>
      </c>
      <c r="M17" s="10" t="s">
        <v>77</v>
      </c>
      <c r="O17" s="10" t="s">
        <v>77</v>
      </c>
      <c r="P17" s="10" t="s">
        <v>77</v>
      </c>
      <c r="Q17" s="10" t="s">
        <v>77</v>
      </c>
    </row>
    <row r="18" customFormat="false" ht="15" hidden="false" customHeight="false" outlineLevel="0" collapsed="false">
      <c r="B18" s="2" t="n">
        <v>17</v>
      </c>
      <c r="C18" s="10" t="s">
        <v>77</v>
      </c>
      <c r="D18" s="10" t="s">
        <v>77</v>
      </c>
      <c r="E18" s="10" t="s">
        <v>77</v>
      </c>
      <c r="G18" s="10" t="s">
        <v>77</v>
      </c>
      <c r="H18" s="10" t="s">
        <v>77</v>
      </c>
      <c r="I18" s="10" t="s">
        <v>77</v>
      </c>
      <c r="K18" s="10" t="s">
        <v>77</v>
      </c>
      <c r="L18" s="10" t="s">
        <v>77</v>
      </c>
      <c r="M18" s="10" t="s">
        <v>77</v>
      </c>
      <c r="O18" s="10" t="s">
        <v>77</v>
      </c>
      <c r="P18" s="10" t="s">
        <v>77</v>
      </c>
      <c r="Q18" s="10" t="s">
        <v>77</v>
      </c>
    </row>
    <row r="19" customFormat="false" ht="15" hidden="false" customHeight="false" outlineLevel="0" collapsed="false">
      <c r="B19" s="2" t="n">
        <v>18</v>
      </c>
      <c r="C19" s="10" t="s">
        <v>77</v>
      </c>
      <c r="D19" s="10" t="s">
        <v>77</v>
      </c>
      <c r="E19" s="10" t="s">
        <v>77</v>
      </c>
      <c r="G19" s="10" t="s">
        <v>77</v>
      </c>
      <c r="H19" s="10" t="s">
        <v>77</v>
      </c>
      <c r="I19" s="10" t="s">
        <v>77</v>
      </c>
      <c r="K19" s="10" t="s">
        <v>77</v>
      </c>
      <c r="L19" s="10" t="s">
        <v>77</v>
      </c>
      <c r="M19" s="10" t="s">
        <v>77</v>
      </c>
      <c r="O19" s="10" t="s">
        <v>77</v>
      </c>
      <c r="P19" s="10" t="s">
        <v>77</v>
      </c>
      <c r="Q19" s="10" t="s">
        <v>77</v>
      </c>
    </row>
    <row r="20" customFormat="false" ht="15" hidden="false" customHeight="false" outlineLevel="0" collapsed="false">
      <c r="B20" s="2" t="n">
        <v>19</v>
      </c>
      <c r="C20" s="10" t="s">
        <v>77</v>
      </c>
      <c r="D20" s="10" t="s">
        <v>77</v>
      </c>
      <c r="E20" s="10" t="s">
        <v>77</v>
      </c>
      <c r="G20" s="10" t="s">
        <v>77</v>
      </c>
      <c r="H20" s="10" t="s">
        <v>77</v>
      </c>
      <c r="I20" s="10" t="s">
        <v>77</v>
      </c>
      <c r="K20" s="10" t="s">
        <v>77</v>
      </c>
      <c r="L20" s="10" t="s">
        <v>77</v>
      </c>
      <c r="M20" s="10" t="s">
        <v>77</v>
      </c>
      <c r="O20" s="10" t="s">
        <v>77</v>
      </c>
      <c r="P20" s="10" t="s">
        <v>77</v>
      </c>
      <c r="Q20" s="10" t="s">
        <v>77</v>
      </c>
    </row>
    <row r="21" customFormat="false" ht="15" hidden="false" customHeight="false" outlineLevel="0" collapsed="false">
      <c r="B21" s="2" t="n">
        <v>20</v>
      </c>
      <c r="C21" s="10" t="s">
        <v>77</v>
      </c>
      <c r="D21" s="10" t="s">
        <v>77</v>
      </c>
      <c r="E21" s="10" t="s">
        <v>77</v>
      </c>
      <c r="G21" s="10" t="s">
        <v>77</v>
      </c>
      <c r="H21" s="10" t="s">
        <v>77</v>
      </c>
      <c r="I21" s="10" t="s">
        <v>77</v>
      </c>
      <c r="K21" s="10" t="s">
        <v>77</v>
      </c>
      <c r="L21" s="10" t="s">
        <v>77</v>
      </c>
      <c r="M21" s="10" t="s">
        <v>77</v>
      </c>
      <c r="O21" s="10" t="s">
        <v>77</v>
      </c>
      <c r="P21" s="10" t="s">
        <v>77</v>
      </c>
      <c r="Q21" s="10" t="s">
        <v>77</v>
      </c>
    </row>
    <row r="22" customFormat="false" ht="15" hidden="false" customHeight="false" outlineLevel="0" collapsed="false">
      <c r="B22" s="2" t="n">
        <v>21</v>
      </c>
      <c r="C22" s="10" t="s">
        <v>77</v>
      </c>
      <c r="D22" s="10" t="s">
        <v>77</v>
      </c>
      <c r="E22" s="10" t="s">
        <v>77</v>
      </c>
      <c r="G22" s="10" t="s">
        <v>77</v>
      </c>
      <c r="H22" s="10" t="s">
        <v>77</v>
      </c>
      <c r="I22" s="10" t="s">
        <v>77</v>
      </c>
      <c r="K22" s="10" t="s">
        <v>77</v>
      </c>
      <c r="L22" s="10" t="s">
        <v>77</v>
      </c>
      <c r="M22" s="10" t="s">
        <v>77</v>
      </c>
      <c r="O22" s="10" t="s">
        <v>77</v>
      </c>
      <c r="P22" s="10" t="s">
        <v>77</v>
      </c>
      <c r="Q22" s="10" t="s">
        <v>77</v>
      </c>
    </row>
    <row r="23" customFormat="false" ht="15" hidden="false" customHeight="false" outlineLevel="0" collapsed="false">
      <c r="B23" s="2" t="n">
        <v>22</v>
      </c>
      <c r="C23" s="10" t="s">
        <v>77</v>
      </c>
      <c r="D23" s="10" t="s">
        <v>77</v>
      </c>
      <c r="E23" s="10" t="s">
        <v>77</v>
      </c>
      <c r="G23" s="10" t="s">
        <v>77</v>
      </c>
      <c r="H23" s="10" t="s">
        <v>77</v>
      </c>
      <c r="I23" s="10" t="s">
        <v>77</v>
      </c>
      <c r="K23" s="10" t="s">
        <v>77</v>
      </c>
      <c r="L23" s="10" t="s">
        <v>77</v>
      </c>
      <c r="M23" s="10" t="s">
        <v>77</v>
      </c>
      <c r="O23" s="10" t="s">
        <v>77</v>
      </c>
      <c r="P23" s="10" t="s">
        <v>77</v>
      </c>
      <c r="Q23" s="10" t="s">
        <v>77</v>
      </c>
    </row>
    <row r="24" customFormat="false" ht="15" hidden="false" customHeight="false" outlineLevel="0" collapsed="false">
      <c r="B24" s="2" t="n">
        <v>23</v>
      </c>
      <c r="C24" s="10" t="s">
        <v>77</v>
      </c>
      <c r="D24" s="10" t="s">
        <v>77</v>
      </c>
      <c r="E24" s="10" t="s">
        <v>77</v>
      </c>
      <c r="G24" s="10" t="s">
        <v>77</v>
      </c>
      <c r="H24" s="10" t="s">
        <v>77</v>
      </c>
      <c r="I24" s="10" t="s">
        <v>77</v>
      </c>
      <c r="K24" s="10" t="s">
        <v>77</v>
      </c>
      <c r="L24" s="10" t="s">
        <v>77</v>
      </c>
      <c r="M24" s="10" t="s">
        <v>77</v>
      </c>
      <c r="O24" s="10" t="s">
        <v>77</v>
      </c>
      <c r="P24" s="10" t="s">
        <v>77</v>
      </c>
      <c r="Q24" s="10" t="s">
        <v>77</v>
      </c>
    </row>
    <row r="25" customFormat="false" ht="15" hidden="false" customHeight="false" outlineLevel="0" collapsed="false">
      <c r="B25" s="2" t="n">
        <v>24</v>
      </c>
      <c r="C25" s="10" t="s">
        <v>77</v>
      </c>
      <c r="D25" s="10" t="s">
        <v>77</v>
      </c>
      <c r="E25" s="10" t="s">
        <v>77</v>
      </c>
      <c r="G25" s="10" t="s">
        <v>77</v>
      </c>
      <c r="H25" s="10" t="s">
        <v>77</v>
      </c>
      <c r="I25" s="10" t="s">
        <v>77</v>
      </c>
      <c r="K25" s="10" t="s">
        <v>77</v>
      </c>
      <c r="L25" s="10" t="s">
        <v>77</v>
      </c>
      <c r="M25" s="10" t="s">
        <v>77</v>
      </c>
      <c r="O25" s="10" t="s">
        <v>77</v>
      </c>
      <c r="P25" s="10" t="s">
        <v>77</v>
      </c>
      <c r="Q25" s="10" t="s">
        <v>77</v>
      </c>
    </row>
    <row r="26" customFormat="false" ht="15" hidden="false" customHeight="false" outlineLevel="0" collapsed="false">
      <c r="B26" s="2" t="n">
        <v>25</v>
      </c>
      <c r="C26" s="10" t="s">
        <v>77</v>
      </c>
      <c r="D26" s="10" t="s">
        <v>77</v>
      </c>
      <c r="E26" s="10" t="s">
        <v>77</v>
      </c>
      <c r="G26" s="10" t="s">
        <v>77</v>
      </c>
      <c r="H26" s="10" t="s">
        <v>77</v>
      </c>
      <c r="I26" s="10" t="s">
        <v>77</v>
      </c>
      <c r="K26" s="10" t="s">
        <v>77</v>
      </c>
      <c r="L26" s="10" t="s">
        <v>77</v>
      </c>
      <c r="M26" s="10" t="s">
        <v>77</v>
      </c>
      <c r="O26" s="10" t="s">
        <v>77</v>
      </c>
      <c r="P26" s="10" t="s">
        <v>77</v>
      </c>
      <c r="Q26" s="10" t="s">
        <v>77</v>
      </c>
    </row>
    <row r="27" customFormat="false" ht="15" hidden="false" customHeight="false" outlineLevel="0" collapsed="false">
      <c r="B27" s="2" t="n">
        <v>26</v>
      </c>
      <c r="C27" s="10" t="s">
        <v>77</v>
      </c>
      <c r="D27" s="10" t="s">
        <v>77</v>
      </c>
      <c r="E27" s="10" t="s">
        <v>77</v>
      </c>
      <c r="G27" s="10" t="s">
        <v>77</v>
      </c>
      <c r="H27" s="10" t="s">
        <v>77</v>
      </c>
      <c r="I27" s="10" t="s">
        <v>77</v>
      </c>
      <c r="K27" s="10" t="s">
        <v>77</v>
      </c>
      <c r="L27" s="10" t="s">
        <v>77</v>
      </c>
      <c r="M27" s="10" t="s">
        <v>77</v>
      </c>
      <c r="O27" s="10" t="s">
        <v>77</v>
      </c>
      <c r="P27" s="10" t="s">
        <v>77</v>
      </c>
      <c r="Q27" s="10" t="s">
        <v>77</v>
      </c>
    </row>
    <row r="28" customFormat="false" ht="15" hidden="false" customHeight="false" outlineLevel="0" collapsed="false">
      <c r="B28" s="2" t="n">
        <v>27</v>
      </c>
      <c r="C28" s="10" t="s">
        <v>77</v>
      </c>
      <c r="D28" s="10" t="s">
        <v>77</v>
      </c>
      <c r="E28" s="10" t="s">
        <v>77</v>
      </c>
      <c r="G28" s="10" t="s">
        <v>77</v>
      </c>
      <c r="H28" s="10" t="s">
        <v>77</v>
      </c>
      <c r="I28" s="10" t="s">
        <v>77</v>
      </c>
      <c r="K28" s="10" t="s">
        <v>77</v>
      </c>
      <c r="L28" s="10" t="s">
        <v>77</v>
      </c>
      <c r="M28" s="10" t="s">
        <v>77</v>
      </c>
      <c r="O28" s="10" t="s">
        <v>77</v>
      </c>
      <c r="P28" s="10" t="s">
        <v>77</v>
      </c>
      <c r="Q28" s="10" t="s">
        <v>77</v>
      </c>
    </row>
    <row r="29" customFormat="false" ht="15" hidden="false" customHeight="false" outlineLevel="0" collapsed="false">
      <c r="B29" s="2" t="n">
        <v>28</v>
      </c>
      <c r="C29" s="10" t="s">
        <v>77</v>
      </c>
      <c r="D29" s="10" t="s">
        <v>77</v>
      </c>
      <c r="E29" s="10" t="s">
        <v>77</v>
      </c>
      <c r="G29" s="10" t="s">
        <v>77</v>
      </c>
      <c r="H29" s="10" t="s">
        <v>77</v>
      </c>
      <c r="I29" s="10" t="s">
        <v>77</v>
      </c>
      <c r="K29" s="10" t="s">
        <v>77</v>
      </c>
      <c r="L29" s="10" t="s">
        <v>77</v>
      </c>
      <c r="M29" s="10" t="s">
        <v>77</v>
      </c>
      <c r="O29" s="10" t="s">
        <v>77</v>
      </c>
      <c r="P29" s="10" t="s">
        <v>77</v>
      </c>
      <c r="Q29" s="10" t="s">
        <v>77</v>
      </c>
    </row>
    <row r="30" customFormat="false" ht="15" hidden="false" customHeight="false" outlineLevel="0" collapsed="false">
      <c r="B30" s="2" t="n">
        <v>29</v>
      </c>
      <c r="C30" s="10" t="s">
        <v>77</v>
      </c>
      <c r="D30" s="10" t="s">
        <v>77</v>
      </c>
      <c r="E30" s="10" t="s">
        <v>77</v>
      </c>
      <c r="G30" s="10" t="s">
        <v>77</v>
      </c>
      <c r="H30" s="10" t="s">
        <v>77</v>
      </c>
      <c r="I30" s="10" t="s">
        <v>77</v>
      </c>
      <c r="K30" s="10" t="s">
        <v>77</v>
      </c>
      <c r="L30" s="10" t="s">
        <v>77</v>
      </c>
      <c r="M30" s="10" t="s">
        <v>77</v>
      </c>
      <c r="O30" s="10" t="s">
        <v>77</v>
      </c>
      <c r="P30" s="10" t="s">
        <v>77</v>
      </c>
      <c r="Q30" s="10" t="s">
        <v>77</v>
      </c>
    </row>
    <row r="31" customFormat="false" ht="15" hidden="false" customHeight="false" outlineLevel="0" collapsed="false">
      <c r="B31" s="2" t="n">
        <v>30</v>
      </c>
      <c r="C31" s="10" t="s">
        <v>77</v>
      </c>
      <c r="D31" s="10" t="s">
        <v>77</v>
      </c>
      <c r="E31" s="10" t="s">
        <v>77</v>
      </c>
      <c r="G31" s="10" t="s">
        <v>77</v>
      </c>
      <c r="H31" s="10" t="s">
        <v>77</v>
      </c>
      <c r="I31" s="10" t="s">
        <v>77</v>
      </c>
      <c r="K31" s="10" t="s">
        <v>77</v>
      </c>
      <c r="L31" s="10" t="s">
        <v>77</v>
      </c>
      <c r="M31" s="10" t="s">
        <v>77</v>
      </c>
      <c r="O31" s="10" t="s">
        <v>77</v>
      </c>
      <c r="P31" s="10" t="s">
        <v>77</v>
      </c>
      <c r="Q31" s="10" t="s">
        <v>77</v>
      </c>
    </row>
    <row r="32" customFormat="false" ht="15" hidden="false" customHeight="false" outlineLevel="0" collapsed="false">
      <c r="B32" s="2" t="n">
        <v>31</v>
      </c>
      <c r="C32" s="10" t="s">
        <v>77</v>
      </c>
      <c r="D32" s="10" t="s">
        <v>77</v>
      </c>
      <c r="E32" s="10" t="s">
        <v>77</v>
      </c>
      <c r="G32" s="10" t="s">
        <v>77</v>
      </c>
      <c r="H32" s="10" t="s">
        <v>77</v>
      </c>
      <c r="I32" s="10" t="s">
        <v>77</v>
      </c>
      <c r="K32" s="10" t="s">
        <v>77</v>
      </c>
      <c r="L32" s="10" t="s">
        <v>77</v>
      </c>
      <c r="M32" s="10" t="s">
        <v>77</v>
      </c>
      <c r="O32" s="10" t="s">
        <v>77</v>
      </c>
      <c r="P32" s="10" t="s">
        <v>77</v>
      </c>
      <c r="Q32" s="10" t="s">
        <v>77</v>
      </c>
    </row>
    <row r="33" customFormat="false" ht="15" hidden="false" customHeight="false" outlineLevel="0" collapsed="false">
      <c r="A33" s="3" t="s">
        <v>143</v>
      </c>
      <c r="B33" s="2" t="n">
        <v>32</v>
      </c>
      <c r="C33" s="10" t="s">
        <v>77</v>
      </c>
      <c r="D33" s="10" t="s">
        <v>77</v>
      </c>
      <c r="E33" s="10" t="s">
        <v>77</v>
      </c>
      <c r="G33" s="10" t="s">
        <v>77</v>
      </c>
      <c r="H33" s="10" t="s">
        <v>77</v>
      </c>
      <c r="I33" s="10" t="s">
        <v>77</v>
      </c>
      <c r="K33" s="10" t="s">
        <v>77</v>
      </c>
      <c r="L33" s="10" t="s">
        <v>77</v>
      </c>
      <c r="M33" s="10" t="s">
        <v>77</v>
      </c>
      <c r="O33" s="10" t="s">
        <v>77</v>
      </c>
      <c r="P33" s="10" t="s">
        <v>77</v>
      </c>
      <c r="Q33" s="10" t="s">
        <v>77</v>
      </c>
    </row>
    <row r="34" customFormat="false" ht="15" hidden="false" customHeight="false" outlineLevel="0" collapsed="false">
      <c r="B34" s="2" t="n">
        <v>33</v>
      </c>
      <c r="C34" s="10" t="s">
        <v>77</v>
      </c>
      <c r="D34" s="10" t="s">
        <v>77</v>
      </c>
      <c r="E34" s="10" t="s">
        <v>77</v>
      </c>
      <c r="O34" s="10" t="s">
        <v>77</v>
      </c>
      <c r="P34" s="10" t="s">
        <v>77</v>
      </c>
      <c r="Q34" s="10" t="s">
        <v>77</v>
      </c>
    </row>
    <row r="35" customFormat="false" ht="15" hidden="false" customHeight="false" outlineLevel="0" collapsed="false">
      <c r="B35" s="2" t="n">
        <v>34</v>
      </c>
      <c r="C35" s="10" t="s">
        <v>77</v>
      </c>
      <c r="D35" s="10" t="s">
        <v>77</v>
      </c>
      <c r="E35" s="10" t="s">
        <v>77</v>
      </c>
      <c r="O35" s="10" t="s">
        <v>77</v>
      </c>
      <c r="P35" s="10" t="s">
        <v>77</v>
      </c>
      <c r="Q35" s="10" t="s">
        <v>77</v>
      </c>
    </row>
    <row r="36" customFormat="false" ht="15" hidden="false" customHeight="false" outlineLevel="0" collapsed="false">
      <c r="B36" s="2" t="n">
        <v>35</v>
      </c>
      <c r="C36" s="10" t="s">
        <v>77</v>
      </c>
      <c r="D36" s="10" t="s">
        <v>77</v>
      </c>
      <c r="E36" s="10" t="s">
        <v>77</v>
      </c>
      <c r="O36" s="10" t="s">
        <v>77</v>
      </c>
      <c r="P36" s="10" t="s">
        <v>77</v>
      </c>
      <c r="Q36" s="10" t="s">
        <v>77</v>
      </c>
    </row>
    <row r="37" customFormat="false" ht="15" hidden="false" customHeight="false" outlineLevel="0" collapsed="false">
      <c r="B37" s="2" t="n">
        <v>36</v>
      </c>
      <c r="C37" s="10" t="s">
        <v>77</v>
      </c>
      <c r="D37" s="10" t="s">
        <v>77</v>
      </c>
      <c r="E37" s="10" t="s">
        <v>77</v>
      </c>
      <c r="O37" s="10" t="s">
        <v>77</v>
      </c>
      <c r="P37" s="10" t="s">
        <v>77</v>
      </c>
      <c r="Q37" s="10" t="s">
        <v>77</v>
      </c>
    </row>
    <row r="38" customFormat="false" ht="15" hidden="false" customHeight="false" outlineLevel="0" collapsed="false">
      <c r="B38" s="2" t="n">
        <v>37</v>
      </c>
      <c r="C38" s="10" t="s">
        <v>77</v>
      </c>
      <c r="D38" s="10" t="s">
        <v>77</v>
      </c>
      <c r="E38" s="10" t="s">
        <v>77</v>
      </c>
      <c r="O38" s="10" t="s">
        <v>77</v>
      </c>
      <c r="P38" s="10" t="s">
        <v>77</v>
      </c>
      <c r="Q38" s="10" t="s">
        <v>77</v>
      </c>
    </row>
    <row r="39" customFormat="false" ht="15" hidden="false" customHeight="false" outlineLevel="0" collapsed="false">
      <c r="B39" s="2" t="n">
        <v>38</v>
      </c>
      <c r="C39" s="10" t="s">
        <v>77</v>
      </c>
      <c r="D39" s="10" t="s">
        <v>77</v>
      </c>
      <c r="E39" s="10" t="s">
        <v>77</v>
      </c>
      <c r="O39" s="10" t="s">
        <v>77</v>
      </c>
      <c r="P39" s="10" t="s">
        <v>77</v>
      </c>
      <c r="Q39" s="10" t="s">
        <v>77</v>
      </c>
    </row>
    <row r="40" customFormat="false" ht="15" hidden="false" customHeight="false" outlineLevel="0" collapsed="false">
      <c r="B40" s="2" t="n">
        <v>39</v>
      </c>
      <c r="C40" s="10" t="s">
        <v>77</v>
      </c>
      <c r="D40" s="10" t="s">
        <v>77</v>
      </c>
      <c r="E40" s="10" t="s">
        <v>77</v>
      </c>
      <c r="O40" s="10" t="s">
        <v>77</v>
      </c>
      <c r="P40" s="10" t="s">
        <v>77</v>
      </c>
      <c r="Q40" s="10" t="s">
        <v>77</v>
      </c>
    </row>
    <row r="41" customFormat="false" ht="15" hidden="false" customHeight="false" outlineLevel="0" collapsed="false">
      <c r="B41" s="2" t="n">
        <v>40</v>
      </c>
      <c r="C41" s="10" t="s">
        <v>77</v>
      </c>
      <c r="D41" s="10" t="s">
        <v>77</v>
      </c>
      <c r="E41" s="10" t="s">
        <v>77</v>
      </c>
      <c r="O41" s="10" t="s">
        <v>77</v>
      </c>
      <c r="P41" s="10" t="s">
        <v>77</v>
      </c>
      <c r="Q41" s="10" t="s">
        <v>77</v>
      </c>
    </row>
    <row r="42" customFormat="false" ht="15" hidden="false" customHeight="false" outlineLevel="0" collapsed="false">
      <c r="B42" s="2" t="n">
        <v>41</v>
      </c>
      <c r="C42" s="10" t="s">
        <v>77</v>
      </c>
      <c r="D42" s="10" t="s">
        <v>77</v>
      </c>
      <c r="E42" s="10" t="s">
        <v>77</v>
      </c>
      <c r="O42" s="10" t="s">
        <v>77</v>
      </c>
      <c r="P42" s="10" t="s">
        <v>77</v>
      </c>
      <c r="Q42" s="10" t="s">
        <v>77</v>
      </c>
    </row>
    <row r="43" customFormat="false" ht="15" hidden="false" customHeight="false" outlineLevel="0" collapsed="false">
      <c r="B43" s="2" t="n">
        <v>42</v>
      </c>
      <c r="C43" s="10" t="s">
        <v>77</v>
      </c>
      <c r="D43" s="10" t="s">
        <v>77</v>
      </c>
      <c r="E43" s="10" t="s">
        <v>77</v>
      </c>
      <c r="O43" s="10" t="s">
        <v>77</v>
      </c>
      <c r="P43" s="10" t="s">
        <v>77</v>
      </c>
      <c r="Q43" s="10" t="s">
        <v>77</v>
      </c>
    </row>
    <row r="44" customFormat="false" ht="15" hidden="false" customHeight="false" outlineLevel="0" collapsed="false">
      <c r="B44" s="2" t="n">
        <v>43</v>
      </c>
      <c r="C44" s="10" t="s">
        <v>77</v>
      </c>
      <c r="D44" s="10" t="s">
        <v>77</v>
      </c>
      <c r="E44" s="10" t="s">
        <v>77</v>
      </c>
      <c r="O44" s="10" t="s">
        <v>77</v>
      </c>
      <c r="P44" s="10" t="s">
        <v>77</v>
      </c>
      <c r="Q44" s="10" t="s">
        <v>77</v>
      </c>
    </row>
    <row r="45" customFormat="false" ht="15" hidden="false" customHeight="false" outlineLevel="0" collapsed="false">
      <c r="B45" s="2" t="n">
        <v>44</v>
      </c>
      <c r="C45" s="10" t="s">
        <v>77</v>
      </c>
      <c r="D45" s="10" t="s">
        <v>77</v>
      </c>
      <c r="E45" s="10" t="s">
        <v>77</v>
      </c>
      <c r="O45" s="10" t="s">
        <v>77</v>
      </c>
      <c r="P45" s="10" t="s">
        <v>77</v>
      </c>
      <c r="Q45" s="10" t="s">
        <v>77</v>
      </c>
    </row>
    <row r="46" customFormat="false" ht="15" hidden="false" customHeight="false" outlineLevel="0" collapsed="false">
      <c r="B46" s="2" t="n">
        <v>45</v>
      </c>
      <c r="C46" s="10" t="s">
        <v>77</v>
      </c>
      <c r="D46" s="10" t="s">
        <v>77</v>
      </c>
      <c r="E46" s="10" t="s">
        <v>77</v>
      </c>
      <c r="O46" s="10" t="s">
        <v>77</v>
      </c>
      <c r="P46" s="10" t="s">
        <v>77</v>
      </c>
      <c r="Q46" s="10" t="s">
        <v>77</v>
      </c>
    </row>
    <row r="47" customFormat="false" ht="15" hidden="false" customHeight="false" outlineLevel="0" collapsed="false">
      <c r="B47" s="2" t="n">
        <v>46</v>
      </c>
      <c r="C47" s="10" t="s">
        <v>77</v>
      </c>
      <c r="D47" s="10" t="s">
        <v>77</v>
      </c>
      <c r="E47" s="10" t="s">
        <v>77</v>
      </c>
      <c r="O47" s="10" t="s">
        <v>77</v>
      </c>
      <c r="P47" s="10" t="s">
        <v>77</v>
      </c>
      <c r="Q47" s="10" t="s">
        <v>77</v>
      </c>
    </row>
    <row r="48" customFormat="false" ht="15" hidden="false" customHeight="false" outlineLevel="0" collapsed="false">
      <c r="B48" s="2" t="n">
        <v>47</v>
      </c>
      <c r="C48" s="10" t="s">
        <v>77</v>
      </c>
      <c r="D48" s="10" t="s">
        <v>77</v>
      </c>
      <c r="E48" s="10" t="s">
        <v>77</v>
      </c>
      <c r="O48" s="10" t="s">
        <v>77</v>
      </c>
      <c r="P48" s="10" t="s">
        <v>77</v>
      </c>
      <c r="Q48" s="10" t="s">
        <v>77</v>
      </c>
    </row>
    <row r="49" customFormat="false" ht="15" hidden="false" customHeight="false" outlineLevel="0" collapsed="false">
      <c r="A49" s="3" t="s">
        <v>144</v>
      </c>
      <c r="B49" s="2" t="n">
        <v>48</v>
      </c>
      <c r="C49" s="10" t="s">
        <v>77</v>
      </c>
      <c r="D49" s="10" t="s">
        <v>77</v>
      </c>
      <c r="E49" s="10" t="s">
        <v>77</v>
      </c>
      <c r="O49" s="10" t="s">
        <v>77</v>
      </c>
      <c r="P49" s="10" t="s">
        <v>77</v>
      </c>
      <c r="Q49" s="10" t="s">
        <v>77</v>
      </c>
    </row>
    <row r="50" customFormat="false" ht="15" hidden="false" customHeight="false" outlineLevel="0" collapsed="false">
      <c r="B50" s="2" t="n">
        <v>49</v>
      </c>
      <c r="C50" s="10" t="s">
        <v>77</v>
      </c>
      <c r="D50" s="10" t="s">
        <v>77</v>
      </c>
      <c r="E50" s="10" t="s">
        <v>77</v>
      </c>
      <c r="O50" s="10" t="s">
        <v>77</v>
      </c>
      <c r="P50" s="10" t="s">
        <v>77</v>
      </c>
      <c r="Q50" s="10" t="s">
        <v>77</v>
      </c>
    </row>
    <row r="51" customFormat="false" ht="15" hidden="false" customHeight="false" outlineLevel="0" collapsed="false">
      <c r="B51" s="2" t="n">
        <v>50</v>
      </c>
      <c r="C51" s="10" t="s">
        <v>77</v>
      </c>
      <c r="D51" s="10" t="s">
        <v>77</v>
      </c>
      <c r="E51" s="10" t="s">
        <v>77</v>
      </c>
      <c r="O51" s="10" t="s">
        <v>77</v>
      </c>
      <c r="P51" s="10" t="s">
        <v>77</v>
      </c>
      <c r="Q51" s="10" t="s">
        <v>77</v>
      </c>
    </row>
    <row r="52" customFormat="false" ht="15" hidden="false" customHeight="false" outlineLevel="0" collapsed="false">
      <c r="B52" s="2" t="n">
        <v>51</v>
      </c>
      <c r="C52" s="10" t="s">
        <v>77</v>
      </c>
      <c r="D52" s="10" t="s">
        <v>77</v>
      </c>
      <c r="E52" s="10" t="s">
        <v>77</v>
      </c>
      <c r="O52" s="10" t="s">
        <v>77</v>
      </c>
      <c r="P52" s="10" t="s">
        <v>77</v>
      </c>
      <c r="Q52" s="10" t="s">
        <v>77</v>
      </c>
    </row>
    <row r="53" customFormat="false" ht="15" hidden="false" customHeight="false" outlineLevel="0" collapsed="false">
      <c r="B53" s="2" t="n">
        <v>52</v>
      </c>
      <c r="C53" s="10" t="s">
        <v>77</v>
      </c>
      <c r="D53" s="10" t="s">
        <v>77</v>
      </c>
      <c r="E53" s="10" t="s">
        <v>77</v>
      </c>
      <c r="O53" s="10" t="s">
        <v>77</v>
      </c>
      <c r="P53" s="10" t="s">
        <v>77</v>
      </c>
      <c r="Q53" s="10" t="s">
        <v>77</v>
      </c>
    </row>
    <row r="54" customFormat="false" ht="15" hidden="false" customHeight="false" outlineLevel="0" collapsed="false">
      <c r="B54" s="2" t="n">
        <v>53</v>
      </c>
      <c r="C54" s="10" t="s">
        <v>77</v>
      </c>
      <c r="D54" s="10" t="s">
        <v>77</v>
      </c>
      <c r="E54" s="10" t="s">
        <v>77</v>
      </c>
      <c r="O54" s="10" t="s">
        <v>77</v>
      </c>
      <c r="P54" s="10" t="s">
        <v>77</v>
      </c>
      <c r="Q54" s="10" t="s">
        <v>77</v>
      </c>
    </row>
    <row r="55" customFormat="false" ht="15" hidden="false" customHeight="false" outlineLevel="0" collapsed="false">
      <c r="B55" s="2" t="n">
        <v>54</v>
      </c>
      <c r="C55" s="10" t="s">
        <v>77</v>
      </c>
      <c r="D55" s="10" t="s">
        <v>77</v>
      </c>
      <c r="E55" s="10" t="s">
        <v>77</v>
      </c>
      <c r="O55" s="10" t="s">
        <v>77</v>
      </c>
      <c r="P55" s="10" t="s">
        <v>77</v>
      </c>
      <c r="Q55" s="10" t="s">
        <v>77</v>
      </c>
    </row>
    <row r="56" customFormat="false" ht="15" hidden="false" customHeight="false" outlineLevel="0" collapsed="false">
      <c r="B56" s="2" t="n">
        <v>55</v>
      </c>
      <c r="C56" s="10" t="s">
        <v>77</v>
      </c>
      <c r="D56" s="10" t="s">
        <v>77</v>
      </c>
      <c r="E56" s="10" t="s">
        <v>77</v>
      </c>
      <c r="O56" s="10" t="s">
        <v>77</v>
      </c>
      <c r="P56" s="10" t="s">
        <v>77</v>
      </c>
      <c r="Q56" s="10" t="s">
        <v>77</v>
      </c>
    </row>
    <row r="57" customFormat="false" ht="15" hidden="false" customHeight="false" outlineLevel="0" collapsed="false">
      <c r="B57" s="2" t="n">
        <v>56</v>
      </c>
      <c r="C57" s="10" t="s">
        <v>77</v>
      </c>
      <c r="D57" s="10" t="s">
        <v>77</v>
      </c>
      <c r="E57" s="10" t="s">
        <v>77</v>
      </c>
      <c r="O57" s="10" t="s">
        <v>77</v>
      </c>
      <c r="P57" s="10" t="s">
        <v>77</v>
      </c>
      <c r="Q57" s="10" t="s">
        <v>77</v>
      </c>
    </row>
    <row r="58" customFormat="false" ht="15" hidden="false" customHeight="false" outlineLevel="0" collapsed="false">
      <c r="B58" s="2" t="n">
        <v>57</v>
      </c>
      <c r="C58" s="10" t="s">
        <v>77</v>
      </c>
      <c r="D58" s="10" t="s">
        <v>77</v>
      </c>
      <c r="E58" s="10" t="s">
        <v>77</v>
      </c>
      <c r="O58" s="10" t="s">
        <v>77</v>
      </c>
      <c r="P58" s="10" t="s">
        <v>77</v>
      </c>
      <c r="Q58" s="10" t="s">
        <v>77</v>
      </c>
    </row>
    <row r="59" customFormat="false" ht="15" hidden="false" customHeight="false" outlineLevel="0" collapsed="false">
      <c r="B59" s="2" t="n">
        <v>58</v>
      </c>
      <c r="C59" s="10" t="s">
        <v>77</v>
      </c>
      <c r="D59" s="10" t="s">
        <v>77</v>
      </c>
      <c r="E59" s="10" t="s">
        <v>77</v>
      </c>
      <c r="O59" s="10" t="s">
        <v>77</v>
      </c>
      <c r="P59" s="10" t="s">
        <v>77</v>
      </c>
      <c r="Q59" s="10" t="s">
        <v>77</v>
      </c>
    </row>
    <row r="60" customFormat="false" ht="15" hidden="false" customHeight="false" outlineLevel="0" collapsed="false">
      <c r="B60" s="2" t="n">
        <v>59</v>
      </c>
      <c r="C60" s="10" t="s">
        <v>77</v>
      </c>
      <c r="D60" s="10" t="s">
        <v>77</v>
      </c>
      <c r="E60" s="10" t="s">
        <v>77</v>
      </c>
      <c r="O60" s="10" t="s">
        <v>77</v>
      </c>
      <c r="P60" s="10" t="s">
        <v>77</v>
      </c>
      <c r="Q60" s="10" t="s">
        <v>77</v>
      </c>
    </row>
    <row r="61" customFormat="false" ht="15" hidden="false" customHeight="false" outlineLevel="0" collapsed="false">
      <c r="B61" s="2" t="n">
        <v>60</v>
      </c>
      <c r="C61" s="10" t="s">
        <v>77</v>
      </c>
      <c r="D61" s="10" t="s">
        <v>77</v>
      </c>
      <c r="E61" s="10" t="s">
        <v>77</v>
      </c>
      <c r="O61" s="10" t="s">
        <v>77</v>
      </c>
      <c r="P61" s="10" t="s">
        <v>77</v>
      </c>
      <c r="Q61" s="10" t="s">
        <v>77</v>
      </c>
    </row>
    <row r="62" customFormat="false" ht="15" hidden="false" customHeight="false" outlineLevel="0" collapsed="false">
      <c r="B62" s="2" t="n">
        <v>61</v>
      </c>
      <c r="C62" s="10" t="s">
        <v>77</v>
      </c>
      <c r="D62" s="10" t="s">
        <v>77</v>
      </c>
      <c r="E62" s="10" t="s">
        <v>77</v>
      </c>
      <c r="O62" s="10" t="s">
        <v>77</v>
      </c>
      <c r="P62" s="10" t="s">
        <v>77</v>
      </c>
      <c r="Q62" s="10" t="s">
        <v>77</v>
      </c>
    </row>
    <row r="63" customFormat="false" ht="15" hidden="false" customHeight="false" outlineLevel="0" collapsed="false">
      <c r="B63" s="2" t="n">
        <v>62</v>
      </c>
      <c r="C63" s="10" t="s">
        <v>77</v>
      </c>
      <c r="D63" s="10" t="s">
        <v>77</v>
      </c>
      <c r="E63" s="10" t="s">
        <v>77</v>
      </c>
      <c r="O63" s="10" t="s">
        <v>77</v>
      </c>
      <c r="P63" s="10" t="s">
        <v>77</v>
      </c>
      <c r="Q63" s="10" t="s">
        <v>77</v>
      </c>
    </row>
    <row r="64" customFormat="false" ht="15" hidden="false" customHeight="false" outlineLevel="0" collapsed="false">
      <c r="B64" s="2" t="n">
        <v>63</v>
      </c>
      <c r="C64" s="10" t="s">
        <v>77</v>
      </c>
      <c r="D64" s="10" t="s">
        <v>77</v>
      </c>
      <c r="E64" s="10" t="s">
        <v>77</v>
      </c>
      <c r="O64" s="10" t="s">
        <v>77</v>
      </c>
      <c r="P64" s="10" t="s">
        <v>77</v>
      </c>
      <c r="Q64" s="10" t="s">
        <v>77</v>
      </c>
    </row>
    <row r="65" customFormat="false" ht="15" hidden="false" customHeight="false" outlineLevel="0" collapsed="false">
      <c r="A65" s="3" t="s">
        <v>145</v>
      </c>
      <c r="B65" s="2" t="n">
        <v>64</v>
      </c>
      <c r="C65" s="10" t="s">
        <v>77</v>
      </c>
      <c r="D65" s="10" t="s">
        <v>77</v>
      </c>
      <c r="E65" s="10" t="s">
        <v>77</v>
      </c>
      <c r="O65" s="10" t="s">
        <v>77</v>
      </c>
      <c r="P65" s="10" t="s">
        <v>77</v>
      </c>
      <c r="Q65" s="10" t="s">
        <v>77</v>
      </c>
    </row>
    <row r="66" customFormat="false" ht="15" hidden="false" customHeight="false" outlineLevel="0" collapsed="false">
      <c r="A66" s="3" t="s">
        <v>146</v>
      </c>
      <c r="B66" s="2" t="n">
        <v>65</v>
      </c>
      <c r="O66" s="10" t="s">
        <v>77</v>
      </c>
      <c r="P66" s="10" t="s">
        <v>77</v>
      </c>
      <c r="Q66" s="10" t="s">
        <v>77</v>
      </c>
    </row>
    <row r="67" customFormat="false" ht="15" hidden="false" customHeight="false" outlineLevel="0" collapsed="false">
      <c r="B67" s="2" t="n">
        <v>66</v>
      </c>
      <c r="O67" s="10" t="s">
        <v>77</v>
      </c>
      <c r="P67" s="10" t="s">
        <v>77</v>
      </c>
      <c r="Q67" s="10" t="s">
        <v>77</v>
      </c>
    </row>
    <row r="68" customFormat="false" ht="15" hidden="false" customHeight="false" outlineLevel="0" collapsed="false">
      <c r="B68" s="2" t="n">
        <v>67</v>
      </c>
      <c r="O68" s="10" t="s">
        <v>77</v>
      </c>
      <c r="P68" s="10" t="s">
        <v>77</v>
      </c>
      <c r="Q68" s="10" t="s">
        <v>77</v>
      </c>
    </row>
    <row r="69" customFormat="false" ht="15" hidden="false" customHeight="false" outlineLevel="0" collapsed="false">
      <c r="B69" s="2" t="n">
        <v>68</v>
      </c>
      <c r="O69" s="10" t="s">
        <v>77</v>
      </c>
      <c r="P69" s="10" t="s">
        <v>77</v>
      </c>
      <c r="Q69" s="10" t="s">
        <v>77</v>
      </c>
    </row>
    <row r="70" customFormat="false" ht="15" hidden="false" customHeight="false" outlineLevel="0" collapsed="false">
      <c r="B70" s="2" t="n">
        <v>69</v>
      </c>
      <c r="O70" s="10" t="s">
        <v>77</v>
      </c>
      <c r="P70" s="10" t="s">
        <v>77</v>
      </c>
      <c r="Q70" s="10" t="s">
        <v>77</v>
      </c>
    </row>
    <row r="71" customFormat="false" ht="15" hidden="false" customHeight="false" outlineLevel="0" collapsed="false">
      <c r="B71" s="2" t="n">
        <v>70</v>
      </c>
      <c r="O71" s="10" t="s">
        <v>77</v>
      </c>
      <c r="P71" s="10" t="s">
        <v>77</v>
      </c>
      <c r="Q71" s="10" t="s">
        <v>77</v>
      </c>
    </row>
    <row r="72" customFormat="false" ht="15" hidden="false" customHeight="false" outlineLevel="0" collapsed="false">
      <c r="B72" s="2" t="n">
        <v>71</v>
      </c>
      <c r="O72" s="10" t="s">
        <v>77</v>
      </c>
      <c r="P72" s="10" t="s">
        <v>77</v>
      </c>
      <c r="Q72" s="10" t="s">
        <v>77</v>
      </c>
    </row>
    <row r="73" customFormat="false" ht="15" hidden="false" customHeight="false" outlineLevel="0" collapsed="false">
      <c r="B73" s="2" t="n">
        <v>72</v>
      </c>
      <c r="O73" s="10" t="s">
        <v>77</v>
      </c>
      <c r="P73" s="10" t="s">
        <v>77</v>
      </c>
      <c r="Q73" s="10" t="s">
        <v>77</v>
      </c>
    </row>
    <row r="74" customFormat="false" ht="15" hidden="false" customHeight="false" outlineLevel="0" collapsed="false">
      <c r="B74" s="2" t="n">
        <v>73</v>
      </c>
      <c r="O74" s="10" t="s">
        <v>77</v>
      </c>
      <c r="P74" s="10" t="s">
        <v>77</v>
      </c>
      <c r="Q74" s="10" t="s">
        <v>77</v>
      </c>
    </row>
    <row r="75" customFormat="false" ht="15" hidden="false" customHeight="false" outlineLevel="0" collapsed="false">
      <c r="B75" s="2" t="n">
        <v>74</v>
      </c>
      <c r="O75" s="10" t="s">
        <v>77</v>
      </c>
      <c r="P75" s="10" t="s">
        <v>77</v>
      </c>
      <c r="Q75" s="10" t="s">
        <v>77</v>
      </c>
    </row>
    <row r="76" customFormat="false" ht="15" hidden="false" customHeight="false" outlineLevel="0" collapsed="false">
      <c r="B76" s="2" t="n">
        <v>75</v>
      </c>
      <c r="O76" s="10" t="s">
        <v>77</v>
      </c>
      <c r="P76" s="10" t="s">
        <v>77</v>
      </c>
      <c r="Q76" s="10" t="s">
        <v>77</v>
      </c>
    </row>
    <row r="77" customFormat="false" ht="15" hidden="false" customHeight="false" outlineLevel="0" collapsed="false">
      <c r="B77" s="2" t="n">
        <v>76</v>
      </c>
      <c r="O77" s="10" t="s">
        <v>77</v>
      </c>
      <c r="P77" s="10" t="s">
        <v>77</v>
      </c>
      <c r="Q77" s="10" t="s">
        <v>77</v>
      </c>
    </row>
    <row r="78" customFormat="false" ht="15" hidden="false" customHeight="false" outlineLevel="0" collapsed="false">
      <c r="B78" s="2" t="n">
        <v>77</v>
      </c>
      <c r="O78" s="10" t="s">
        <v>77</v>
      </c>
      <c r="P78" s="10" t="s">
        <v>77</v>
      </c>
      <c r="Q78" s="10" t="s">
        <v>77</v>
      </c>
    </row>
    <row r="79" customFormat="false" ht="15" hidden="false" customHeight="false" outlineLevel="0" collapsed="false">
      <c r="B79" s="2" t="n">
        <v>78</v>
      </c>
      <c r="O79" s="10" t="s">
        <v>77</v>
      </c>
      <c r="P79" s="10" t="s">
        <v>77</v>
      </c>
      <c r="Q79" s="10" t="s">
        <v>77</v>
      </c>
    </row>
    <row r="80" customFormat="false" ht="15" hidden="false" customHeight="false" outlineLevel="0" collapsed="false">
      <c r="B80" s="2" t="n">
        <v>79</v>
      </c>
      <c r="O80" s="10" t="s">
        <v>77</v>
      </c>
      <c r="P80" s="10" t="s">
        <v>77</v>
      </c>
      <c r="Q80" s="10" t="s">
        <v>77</v>
      </c>
    </row>
    <row r="81" customFormat="false" ht="15" hidden="false" customHeight="false" outlineLevel="0" collapsed="false">
      <c r="B81" s="2" t="n">
        <v>80</v>
      </c>
      <c r="O81" s="10" t="s">
        <v>77</v>
      </c>
      <c r="P81" s="10" t="s">
        <v>77</v>
      </c>
      <c r="Q81" s="10" t="s">
        <v>77</v>
      </c>
    </row>
    <row r="82" customFormat="false" ht="15" hidden="false" customHeight="false" outlineLevel="0" collapsed="false">
      <c r="B82" s="2" t="n">
        <v>81</v>
      </c>
      <c r="O82" s="10" t="s">
        <v>77</v>
      </c>
      <c r="P82" s="10" t="s">
        <v>77</v>
      </c>
      <c r="Q82" s="10" t="s">
        <v>77</v>
      </c>
    </row>
    <row r="83" customFormat="false" ht="15" hidden="false" customHeight="false" outlineLevel="0" collapsed="false">
      <c r="B83" s="2" t="n">
        <v>82</v>
      </c>
      <c r="O83" s="10" t="s">
        <v>77</v>
      </c>
      <c r="P83" s="10" t="s">
        <v>77</v>
      </c>
      <c r="Q83" s="10" t="s">
        <v>77</v>
      </c>
    </row>
    <row r="84" customFormat="false" ht="15" hidden="false" customHeight="false" outlineLevel="0" collapsed="false">
      <c r="B84" s="2" t="n">
        <v>83</v>
      </c>
      <c r="O84" s="10" t="s">
        <v>77</v>
      </c>
      <c r="P84" s="10" t="s">
        <v>77</v>
      </c>
      <c r="Q84" s="10" t="s">
        <v>77</v>
      </c>
    </row>
    <row r="85" customFormat="false" ht="15" hidden="false" customHeight="false" outlineLevel="0" collapsed="false">
      <c r="B85" s="2" t="n">
        <v>84</v>
      </c>
      <c r="O85" s="10" t="s">
        <v>77</v>
      </c>
      <c r="P85" s="10" t="s">
        <v>77</v>
      </c>
      <c r="Q85" s="10" t="s">
        <v>77</v>
      </c>
    </row>
    <row r="86" customFormat="false" ht="15" hidden="false" customHeight="false" outlineLevel="0" collapsed="false">
      <c r="B86" s="2" t="n">
        <v>85</v>
      </c>
      <c r="O86" s="10" t="s">
        <v>77</v>
      </c>
      <c r="P86" s="10" t="s">
        <v>77</v>
      </c>
      <c r="Q86" s="10" t="s">
        <v>77</v>
      </c>
    </row>
    <row r="87" customFormat="false" ht="15" hidden="false" customHeight="false" outlineLevel="0" collapsed="false">
      <c r="B87" s="2" t="n">
        <v>86</v>
      </c>
      <c r="O87" s="10" t="s">
        <v>77</v>
      </c>
      <c r="P87" s="10" t="s">
        <v>77</v>
      </c>
      <c r="Q87" s="10" t="s">
        <v>77</v>
      </c>
    </row>
    <row r="88" customFormat="false" ht="15" hidden="false" customHeight="false" outlineLevel="0" collapsed="false">
      <c r="B88" s="2" t="n">
        <v>87</v>
      </c>
      <c r="O88" s="10" t="s">
        <v>77</v>
      </c>
      <c r="P88" s="10" t="s">
        <v>77</v>
      </c>
      <c r="Q88" s="10" t="s">
        <v>77</v>
      </c>
    </row>
    <row r="89" customFormat="false" ht="15" hidden="false" customHeight="false" outlineLevel="0" collapsed="false">
      <c r="B89" s="2" t="n">
        <v>88</v>
      </c>
      <c r="O89" s="10" t="s">
        <v>77</v>
      </c>
      <c r="P89" s="10" t="s">
        <v>77</v>
      </c>
      <c r="Q89" s="10" t="s">
        <v>77</v>
      </c>
    </row>
    <row r="90" customFormat="false" ht="15" hidden="false" customHeight="false" outlineLevel="0" collapsed="false">
      <c r="B90" s="2" t="n">
        <v>89</v>
      </c>
      <c r="O90" s="10" t="s">
        <v>77</v>
      </c>
      <c r="P90" s="10" t="s">
        <v>77</v>
      </c>
      <c r="Q90" s="10" t="s">
        <v>77</v>
      </c>
    </row>
    <row r="91" customFormat="false" ht="15" hidden="false" customHeight="false" outlineLevel="0" collapsed="false">
      <c r="B91" s="2" t="n">
        <v>90</v>
      </c>
      <c r="O91" s="10" t="s">
        <v>77</v>
      </c>
      <c r="P91" s="10" t="s">
        <v>77</v>
      </c>
      <c r="Q91" s="10" t="s">
        <v>77</v>
      </c>
    </row>
    <row r="92" customFormat="false" ht="15" hidden="false" customHeight="false" outlineLevel="0" collapsed="false">
      <c r="B92" s="2" t="n">
        <v>91</v>
      </c>
      <c r="O92" s="10" t="s">
        <v>77</v>
      </c>
      <c r="P92" s="10" t="s">
        <v>77</v>
      </c>
      <c r="Q92" s="10" t="s">
        <v>77</v>
      </c>
    </row>
    <row r="93" customFormat="false" ht="15" hidden="false" customHeight="false" outlineLevel="0" collapsed="false">
      <c r="B93" s="2" t="n">
        <v>92</v>
      </c>
      <c r="O93" s="10" t="s">
        <v>77</v>
      </c>
      <c r="P93" s="10" t="s">
        <v>77</v>
      </c>
      <c r="Q93" s="10" t="s">
        <v>77</v>
      </c>
    </row>
    <row r="94" customFormat="false" ht="15" hidden="false" customHeight="false" outlineLevel="0" collapsed="false">
      <c r="B94" s="2" t="n">
        <v>93</v>
      </c>
      <c r="O94" s="10" t="s">
        <v>77</v>
      </c>
      <c r="P94" s="10" t="s">
        <v>77</v>
      </c>
      <c r="Q94" s="10" t="s">
        <v>77</v>
      </c>
    </row>
    <row r="95" customFormat="false" ht="15" hidden="false" customHeight="false" outlineLevel="0" collapsed="false">
      <c r="B95" s="2" t="n">
        <v>94</v>
      </c>
      <c r="O95" s="10" t="s">
        <v>77</v>
      </c>
      <c r="P95" s="10" t="s">
        <v>77</v>
      </c>
      <c r="Q95" s="10" t="s">
        <v>77</v>
      </c>
    </row>
    <row r="96" customFormat="false" ht="15" hidden="false" customHeight="false" outlineLevel="0" collapsed="false">
      <c r="A96" s="21" t="s">
        <v>147</v>
      </c>
      <c r="B96" s="2" t="n">
        <v>95</v>
      </c>
      <c r="O96" s="10" t="s">
        <v>77</v>
      </c>
      <c r="P96" s="10" t="s">
        <v>77</v>
      </c>
      <c r="Q96" s="10" t="s">
        <v>77</v>
      </c>
    </row>
    <row r="97" customFormat="false" ht="15" hidden="false" customHeight="false" outlineLevel="0" collapsed="false">
      <c r="A97" s="21" t="s">
        <v>148</v>
      </c>
      <c r="B97" s="2" t="n">
        <v>96</v>
      </c>
      <c r="O97" s="10" t="s">
        <v>77</v>
      </c>
      <c r="P97" s="10" t="s">
        <v>77</v>
      </c>
      <c r="Q97" s="10" t="s">
        <v>77</v>
      </c>
    </row>
    <row r="98" customFormat="false" ht="15" hidden="false" customHeight="false" outlineLevel="0" collapsed="false">
      <c r="B98" s="2" t="n">
        <v>97</v>
      </c>
      <c r="O98" s="10" t="s">
        <v>77</v>
      </c>
      <c r="P98" s="10" t="s">
        <v>77</v>
      </c>
      <c r="Q98" s="10" t="s">
        <v>77</v>
      </c>
    </row>
    <row r="99" customFormat="false" ht="15" hidden="false" customHeight="false" outlineLevel="0" collapsed="false">
      <c r="B99" s="2" t="n">
        <v>98</v>
      </c>
      <c r="O99" s="10" t="s">
        <v>77</v>
      </c>
      <c r="P99" s="10" t="s">
        <v>77</v>
      </c>
      <c r="Q99" s="10" t="s">
        <v>77</v>
      </c>
    </row>
    <row r="100" customFormat="false" ht="15" hidden="false" customHeight="false" outlineLevel="0" collapsed="false">
      <c r="B100" s="2" t="n">
        <v>99</v>
      </c>
      <c r="O100" s="10" t="s">
        <v>77</v>
      </c>
      <c r="P100" s="10" t="s">
        <v>77</v>
      </c>
      <c r="Q100" s="10" t="s">
        <v>77</v>
      </c>
    </row>
    <row r="101" customFormat="false" ht="15" hidden="false" customHeight="false" outlineLevel="0" collapsed="false">
      <c r="B101" s="2" t="n">
        <v>100</v>
      </c>
      <c r="O101" s="10" t="s">
        <v>77</v>
      </c>
      <c r="P101" s="10" t="s">
        <v>77</v>
      </c>
      <c r="Q101" s="10" t="s">
        <v>77</v>
      </c>
    </row>
    <row r="102" customFormat="false" ht="15" hidden="false" customHeight="false" outlineLevel="0" collapsed="false">
      <c r="B102" s="2" t="n">
        <v>101</v>
      </c>
      <c r="O102" s="10" t="s">
        <v>77</v>
      </c>
      <c r="P102" s="10" t="s">
        <v>77</v>
      </c>
      <c r="Q102" s="10" t="s">
        <v>77</v>
      </c>
    </row>
    <row r="103" customFormat="false" ht="15" hidden="false" customHeight="false" outlineLevel="0" collapsed="false">
      <c r="B103" s="2" t="n">
        <v>102</v>
      </c>
      <c r="O103" s="10" t="s">
        <v>77</v>
      </c>
      <c r="P103" s="10" t="s">
        <v>77</v>
      </c>
      <c r="Q103" s="10" t="s">
        <v>77</v>
      </c>
    </row>
    <row r="104" customFormat="false" ht="15" hidden="false" customHeight="false" outlineLevel="0" collapsed="false">
      <c r="B104" s="2" t="n">
        <v>103</v>
      </c>
      <c r="O104" s="10" t="s">
        <v>77</v>
      </c>
      <c r="P104" s="10" t="s">
        <v>77</v>
      </c>
      <c r="Q104" s="10" t="s">
        <v>77</v>
      </c>
    </row>
    <row r="105" customFormat="false" ht="15" hidden="false" customHeight="false" outlineLevel="0" collapsed="false">
      <c r="B105" s="2" t="n">
        <v>104</v>
      </c>
      <c r="O105" s="10" t="s">
        <v>77</v>
      </c>
      <c r="P105" s="10" t="s">
        <v>77</v>
      </c>
      <c r="Q105" s="10" t="s">
        <v>77</v>
      </c>
    </row>
    <row r="106" customFormat="false" ht="15" hidden="false" customHeight="false" outlineLevel="0" collapsed="false">
      <c r="B106" s="2" t="n">
        <v>105</v>
      </c>
      <c r="O106" s="10" t="s">
        <v>77</v>
      </c>
      <c r="P106" s="10" t="s">
        <v>77</v>
      </c>
      <c r="Q106" s="10" t="s">
        <v>77</v>
      </c>
    </row>
    <row r="107" customFormat="false" ht="15" hidden="false" customHeight="false" outlineLevel="0" collapsed="false">
      <c r="B107" s="2" t="n">
        <v>106</v>
      </c>
      <c r="O107" s="10" t="s">
        <v>77</v>
      </c>
      <c r="P107" s="10" t="s">
        <v>77</v>
      </c>
      <c r="Q107" s="10" t="s">
        <v>77</v>
      </c>
    </row>
    <row r="108" customFormat="false" ht="15" hidden="false" customHeight="false" outlineLevel="0" collapsed="false">
      <c r="B108" s="2" t="n">
        <v>107</v>
      </c>
      <c r="O108" s="10" t="s">
        <v>77</v>
      </c>
      <c r="P108" s="10" t="s">
        <v>77</v>
      </c>
      <c r="Q108" s="10" t="s">
        <v>77</v>
      </c>
    </row>
    <row r="109" customFormat="false" ht="15" hidden="false" customHeight="false" outlineLevel="0" collapsed="false">
      <c r="B109" s="2" t="n">
        <v>108</v>
      </c>
      <c r="O109" s="10" t="s">
        <v>77</v>
      </c>
      <c r="P109" s="10" t="s">
        <v>77</v>
      </c>
      <c r="Q109" s="10" t="s">
        <v>77</v>
      </c>
    </row>
    <row r="110" customFormat="false" ht="15" hidden="false" customHeight="false" outlineLevel="0" collapsed="false">
      <c r="B110" s="2" t="n">
        <v>109</v>
      </c>
      <c r="O110" s="10" t="s">
        <v>77</v>
      </c>
      <c r="P110" s="10" t="s">
        <v>77</v>
      </c>
      <c r="Q110" s="10" t="s">
        <v>77</v>
      </c>
    </row>
    <row r="111" customFormat="false" ht="15" hidden="false" customHeight="false" outlineLevel="0" collapsed="false">
      <c r="B111" s="2" t="n">
        <v>110</v>
      </c>
      <c r="O111" s="10" t="s">
        <v>77</v>
      </c>
      <c r="P111" s="10" t="s">
        <v>77</v>
      </c>
      <c r="Q111" s="10" t="s">
        <v>77</v>
      </c>
    </row>
    <row r="112" customFormat="false" ht="15" hidden="false" customHeight="false" outlineLevel="0" collapsed="false">
      <c r="B112" s="2" t="n">
        <v>111</v>
      </c>
      <c r="O112" s="10" t="s">
        <v>77</v>
      </c>
      <c r="P112" s="10" t="s">
        <v>77</v>
      </c>
      <c r="Q112" s="10" t="s">
        <v>77</v>
      </c>
    </row>
    <row r="113" customFormat="false" ht="15" hidden="false" customHeight="false" outlineLevel="0" collapsed="false">
      <c r="B113" s="2" t="n">
        <v>112</v>
      </c>
      <c r="O113" s="10" t="s">
        <v>77</v>
      </c>
      <c r="P113" s="10" t="s">
        <v>77</v>
      </c>
      <c r="Q113" s="10" t="s">
        <v>77</v>
      </c>
    </row>
    <row r="114" customFormat="false" ht="15" hidden="false" customHeight="false" outlineLevel="0" collapsed="false">
      <c r="B114" s="2" t="n">
        <v>113</v>
      </c>
      <c r="O114" s="10" t="s">
        <v>77</v>
      </c>
      <c r="P114" s="10" t="s">
        <v>77</v>
      </c>
      <c r="Q114" s="10" t="s">
        <v>77</v>
      </c>
    </row>
    <row r="115" customFormat="false" ht="15" hidden="false" customHeight="false" outlineLevel="0" collapsed="false">
      <c r="B115" s="2" t="n">
        <v>114</v>
      </c>
      <c r="O115" s="10" t="s">
        <v>77</v>
      </c>
      <c r="P115" s="10" t="s">
        <v>77</v>
      </c>
      <c r="Q115" s="10" t="s">
        <v>77</v>
      </c>
    </row>
    <row r="116" customFormat="false" ht="15" hidden="false" customHeight="false" outlineLevel="0" collapsed="false">
      <c r="B116" s="2" t="n">
        <v>115</v>
      </c>
      <c r="O116" s="10" t="s">
        <v>77</v>
      </c>
      <c r="P116" s="10" t="s">
        <v>77</v>
      </c>
      <c r="Q116" s="10" t="s">
        <v>77</v>
      </c>
    </row>
    <row r="117" customFormat="false" ht="15" hidden="false" customHeight="false" outlineLevel="0" collapsed="false">
      <c r="B117" s="2" t="n">
        <v>116</v>
      </c>
      <c r="O117" s="10" t="s">
        <v>77</v>
      </c>
      <c r="P117" s="10" t="s">
        <v>77</v>
      </c>
      <c r="Q117" s="10" t="s">
        <v>77</v>
      </c>
    </row>
    <row r="118" customFormat="false" ht="15" hidden="false" customHeight="false" outlineLevel="0" collapsed="false">
      <c r="B118" s="2" t="n">
        <v>117</v>
      </c>
      <c r="O118" s="10" t="s">
        <v>77</v>
      </c>
      <c r="P118" s="10" t="s">
        <v>77</v>
      </c>
      <c r="Q118" s="10" t="s">
        <v>77</v>
      </c>
    </row>
    <row r="119" customFormat="false" ht="15" hidden="false" customHeight="false" outlineLevel="0" collapsed="false">
      <c r="B119" s="2" t="n">
        <v>118</v>
      </c>
      <c r="O119" s="10" t="s">
        <v>77</v>
      </c>
      <c r="P119" s="10" t="s">
        <v>77</v>
      </c>
      <c r="Q119" s="10" t="s">
        <v>77</v>
      </c>
    </row>
    <row r="120" customFormat="false" ht="15" hidden="false" customHeight="false" outlineLevel="0" collapsed="false">
      <c r="B120" s="2" t="n">
        <v>119</v>
      </c>
      <c r="O120" s="10" t="s">
        <v>77</v>
      </c>
      <c r="P120" s="10" t="s">
        <v>77</v>
      </c>
      <c r="Q120" s="10" t="s">
        <v>77</v>
      </c>
    </row>
    <row r="121" customFormat="false" ht="15" hidden="false" customHeight="false" outlineLevel="0" collapsed="false">
      <c r="B121" s="2" t="n">
        <v>120</v>
      </c>
      <c r="O121" s="10" t="s">
        <v>77</v>
      </c>
      <c r="P121" s="10" t="s">
        <v>77</v>
      </c>
      <c r="Q121" s="10" t="s">
        <v>77</v>
      </c>
    </row>
    <row r="122" customFormat="false" ht="15" hidden="false" customHeight="false" outlineLevel="0" collapsed="false">
      <c r="B122" s="2" t="n">
        <v>121</v>
      </c>
      <c r="O122" s="10" t="s">
        <v>77</v>
      </c>
      <c r="P122" s="10" t="s">
        <v>77</v>
      </c>
      <c r="Q122" s="10" t="s">
        <v>77</v>
      </c>
    </row>
    <row r="123" customFormat="false" ht="15" hidden="false" customHeight="false" outlineLevel="0" collapsed="false">
      <c r="B123" s="2" t="n">
        <v>122</v>
      </c>
      <c r="O123" s="10" t="s">
        <v>77</v>
      </c>
      <c r="P123" s="10" t="s">
        <v>77</v>
      </c>
      <c r="Q123" s="10" t="s">
        <v>77</v>
      </c>
    </row>
    <row r="124" customFormat="false" ht="15" hidden="false" customHeight="false" outlineLevel="0" collapsed="false">
      <c r="B124" s="2" t="n">
        <v>123</v>
      </c>
      <c r="O124" s="10" t="s">
        <v>77</v>
      </c>
      <c r="P124" s="10" t="s">
        <v>77</v>
      </c>
      <c r="Q124" s="10" t="s">
        <v>77</v>
      </c>
    </row>
    <row r="125" customFormat="false" ht="15" hidden="false" customHeight="false" outlineLevel="0" collapsed="false">
      <c r="B125" s="2" t="n">
        <v>124</v>
      </c>
      <c r="O125" s="10" t="s">
        <v>77</v>
      </c>
      <c r="P125" s="10" t="s">
        <v>77</v>
      </c>
      <c r="Q125" s="10" t="s">
        <v>77</v>
      </c>
    </row>
    <row r="126" customFormat="false" ht="15" hidden="false" customHeight="false" outlineLevel="0" collapsed="false">
      <c r="B126" s="2" t="n">
        <v>125</v>
      </c>
      <c r="O126" s="10" t="s">
        <v>77</v>
      </c>
      <c r="P126" s="10" t="s">
        <v>77</v>
      </c>
      <c r="Q126" s="10" t="s">
        <v>77</v>
      </c>
    </row>
    <row r="127" customFormat="false" ht="15" hidden="false" customHeight="false" outlineLevel="0" collapsed="false">
      <c r="B127" s="2" t="n">
        <v>126</v>
      </c>
      <c r="O127" s="10" t="s">
        <v>77</v>
      </c>
      <c r="P127" s="10" t="s">
        <v>77</v>
      </c>
      <c r="Q127" s="10" t="s">
        <v>77</v>
      </c>
    </row>
    <row r="128" customFormat="false" ht="15" hidden="false" customHeight="false" outlineLevel="0" collapsed="false">
      <c r="B128" s="2" t="n">
        <v>127</v>
      </c>
      <c r="O128" s="10" t="s">
        <v>77</v>
      </c>
      <c r="P128" s="10" t="s">
        <v>77</v>
      </c>
      <c r="Q128" s="10" t="s">
        <v>77</v>
      </c>
    </row>
    <row r="129" customFormat="false" ht="15" hidden="false" customHeight="false" outlineLevel="0" collapsed="false">
      <c r="A129" s="21" t="s">
        <v>149</v>
      </c>
      <c r="B129" s="2" t="n">
        <v>128</v>
      </c>
      <c r="O129" s="10" t="s">
        <v>77</v>
      </c>
      <c r="P129" s="10" t="s">
        <v>77</v>
      </c>
      <c r="Q129" s="10" t="s">
        <v>77</v>
      </c>
    </row>
  </sheetData>
  <dataValidations count="2">
    <dataValidation allowBlank="true" errorStyle="stop" operator="equal" showDropDown="false" showErrorMessage="true" showInputMessage="false" sqref="C2:D65 G2:H33 K2:L33 O2:P129" type="list">
      <formula1>"-,yes,no"</formula1>
      <formula2>0</formula2>
    </dataValidation>
    <dataValidation allowBlank="true" errorStyle="stop" operator="equal" showDropDown="false" showErrorMessage="true" showInputMessage="false" sqref="E2:E65 I2:I33 M2:M33 Q2:Q129" type="list">
      <formula1>"-,+5,+10,+15,+20,+25,+30,+35,+40,+45,+50,+55,+60,"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V6" activeCellId="0" sqref="V6"/>
    </sheetView>
  </sheetViews>
  <sheetFormatPr defaultColWidth="11.5703125" defaultRowHeight="13.8" customHeight="true" zeroHeight="false" outlineLevelRow="0" outlineLevelCol="0"/>
  <cols>
    <col collapsed="false" customWidth="false" hidden="false" outlineLevel="0" max="1" min="1" style="2" width="11.57"/>
    <col collapsed="false" customWidth="true" hidden="false" outlineLevel="0" max="3" min="2" style="3" width="12.71"/>
    <col collapsed="false" customWidth="true" hidden="false" outlineLevel="0" max="4" min="4" style="3" width="12.57"/>
    <col collapsed="false" customWidth="true" hidden="false" outlineLevel="0" max="5" min="5" style="2" width="12.57"/>
    <col collapsed="false" customWidth="true" hidden="false" outlineLevel="0" max="6" min="6" style="3" width="11.29"/>
    <col collapsed="false" customWidth="false" hidden="true" outlineLevel="0" max="8" min="8" style="2" width="11.57"/>
    <col collapsed="false" customWidth="true" hidden="false" outlineLevel="0" max="10" min="9" style="2" width="13"/>
    <col collapsed="false" customWidth="true" hidden="false" outlineLevel="0" max="11" min="11" style="3" width="12"/>
    <col collapsed="false" customWidth="false" hidden="true" outlineLevel="0" max="13" min="13" style="3" width="11.57"/>
    <col collapsed="false" customWidth="false" hidden="false" outlineLevel="0" max="15" min="15" style="2" width="11.57"/>
    <col collapsed="false" customWidth="true" hidden="false" outlineLevel="0" max="16" min="16" style="3" width="12.71"/>
    <col collapsed="false" customWidth="false" hidden="true" outlineLevel="0" max="18" min="18" style="2" width="11.57"/>
    <col collapsed="false" customWidth="true" hidden="false" outlineLevel="0" max="20" min="19" style="2" width="13.42"/>
    <col collapsed="false" customWidth="true" hidden="false" outlineLevel="0" max="21" min="21" style="3" width="13.86"/>
    <col collapsed="false" customWidth="true" hidden="false" outlineLevel="0" max="22" min="22" style="3" width="12.86"/>
    <col collapsed="false" customWidth="false" hidden="true" outlineLevel="0" max="23" min="23" style="2" width="11.57"/>
    <col collapsed="false" customWidth="true" hidden="false" outlineLevel="0" max="25" min="24" style="2" width="12.71"/>
    <col collapsed="false" customWidth="true" hidden="false" outlineLevel="0" max="26" min="26" style="3" width="13"/>
    <col collapsed="false" customWidth="true" hidden="false" outlineLevel="0" max="27" min="27" style="3" width="12.15"/>
    <col collapsed="false" customWidth="true" hidden="true" outlineLevel="0" max="28" min="28" style="3" width="12.57"/>
    <col collapsed="false" customWidth="true" hidden="false" outlineLevel="0" max="29" min="29" style="3" width="13.42"/>
    <col collapsed="false" customWidth="true" hidden="false" outlineLevel="0" max="30" min="30" style="2" width="13.42"/>
    <col collapsed="false" customWidth="true" hidden="false" outlineLevel="0" max="31" min="31" style="3" width="14.86"/>
    <col collapsed="false" customWidth="true" hidden="false" outlineLevel="0" max="32" min="32" style="3" width="13.86"/>
    <col collapsed="false" customWidth="false" hidden="true" outlineLevel="0" max="33" min="33" style="2" width="11.57"/>
    <col collapsed="false" customWidth="true" hidden="false" outlineLevel="0" max="34" min="34" style="2" width="14.29"/>
    <col collapsed="false" customWidth="true" hidden="false" outlineLevel="0" max="35" min="35" style="3" width="14.29"/>
    <col collapsed="false" customWidth="false" hidden="true" outlineLevel="0" max="38" min="38" style="3" width="11.57"/>
    <col collapsed="false" customWidth="true" hidden="false" outlineLevel="0" max="40" min="39" style="3" width="14.86"/>
    <col collapsed="false" customWidth="false" hidden="true" outlineLevel="0" max="43" min="43" style="3" width="11.57"/>
    <col collapsed="false" customWidth="true" hidden="false" outlineLevel="0" max="46" min="46" style="3" width="15.85"/>
    <col collapsed="false" customWidth="true" hidden="false" outlineLevel="0" max="47" min="47" style="3" width="16.14"/>
    <col collapsed="false" customWidth="true" hidden="false" outlineLevel="0" max="49" min="49" style="3" width="14.48"/>
    <col collapsed="false" customWidth="true" hidden="false" outlineLevel="0" max="50" min="50" style="3" width="10.84"/>
    <col collapsed="false" customWidth="true" hidden="false" outlineLevel="0" max="54" min="54" style="3" width="16.66"/>
    <col collapsed="false" customWidth="true" hidden="false" outlineLevel="0" max="55" min="55" style="3" width="16.05"/>
  </cols>
  <sheetData>
    <row r="1" s="3" customFormat="true" ht="13.8" hidden="false" customHeight="false" outlineLevel="0" collapsed="false">
      <c r="A1" s="22" t="s">
        <v>150</v>
      </c>
      <c r="B1" s="22" t="s">
        <v>151</v>
      </c>
      <c r="C1" s="22" t="s">
        <v>152</v>
      </c>
      <c r="D1" s="23"/>
      <c r="E1" s="24" t="s">
        <v>153</v>
      </c>
      <c r="F1" s="24" t="s">
        <v>154</v>
      </c>
      <c r="G1" s="24" t="s">
        <v>155</v>
      </c>
      <c r="H1" s="23"/>
      <c r="I1" s="23"/>
      <c r="J1" s="24" t="s">
        <v>156</v>
      </c>
      <c r="K1" s="24" t="s">
        <v>157</v>
      </c>
      <c r="L1" s="24" t="s">
        <v>158</v>
      </c>
      <c r="M1" s="23"/>
      <c r="N1" s="23"/>
      <c r="O1" s="25" t="s">
        <v>159</v>
      </c>
      <c r="P1" s="25" t="s">
        <v>160</v>
      </c>
      <c r="Q1" s="25" t="s">
        <v>161</v>
      </c>
      <c r="R1" s="23"/>
      <c r="S1" s="23"/>
      <c r="T1" s="25" t="s">
        <v>162</v>
      </c>
      <c r="U1" s="25" t="s">
        <v>163</v>
      </c>
      <c r="V1" s="25" t="s">
        <v>164</v>
      </c>
      <c r="W1" s="23"/>
      <c r="X1" s="23"/>
      <c r="Y1" s="26" t="s">
        <v>165</v>
      </c>
      <c r="Z1" s="26" t="s">
        <v>166</v>
      </c>
      <c r="AA1" s="26" t="s">
        <v>167</v>
      </c>
      <c r="AB1" s="23"/>
      <c r="AC1" s="23"/>
      <c r="AD1" s="26" t="s">
        <v>168</v>
      </c>
      <c r="AE1" s="26" t="s">
        <v>169</v>
      </c>
      <c r="AF1" s="26" t="s">
        <v>170</v>
      </c>
      <c r="AG1" s="2"/>
      <c r="AH1" s="2"/>
      <c r="AI1" s="24" t="s">
        <v>171</v>
      </c>
      <c r="AJ1" s="24" t="s">
        <v>172</v>
      </c>
      <c r="AK1" s="24" t="s">
        <v>173</v>
      </c>
      <c r="AN1" s="24" t="s">
        <v>174</v>
      </c>
      <c r="AO1" s="24" t="s">
        <v>175</v>
      </c>
      <c r="AP1" s="24" t="s">
        <v>176</v>
      </c>
      <c r="AS1" s="27" t="s">
        <v>177</v>
      </c>
      <c r="AT1" s="27" t="s">
        <v>178</v>
      </c>
      <c r="AU1" s="27" t="s">
        <v>179</v>
      </c>
      <c r="AW1" s="24" t="s">
        <v>180</v>
      </c>
      <c r="AX1" s="24" t="s">
        <v>181</v>
      </c>
      <c r="AY1" s="24" t="s">
        <v>182</v>
      </c>
      <c r="BA1" s="27" t="s">
        <v>183</v>
      </c>
      <c r="BB1" s="27" t="s">
        <v>184</v>
      </c>
      <c r="BC1" s="27" t="s">
        <v>185</v>
      </c>
    </row>
    <row r="2" customFormat="false" ht="13.8" hidden="false" customHeight="false" outlineLevel="0" collapsed="false">
      <c r="A2" s="28" t="n">
        <v>1</v>
      </c>
      <c r="B2" s="29" t="s">
        <v>186</v>
      </c>
      <c r="C2" s="30" t="s">
        <v>75</v>
      </c>
      <c r="E2" s="28" t="n">
        <v>1</v>
      </c>
      <c r="F2" s="31" t="s">
        <v>187</v>
      </c>
      <c r="G2" s="30" t="s">
        <v>109</v>
      </c>
      <c r="H2" s="2" t="n">
        <f aca="false">IF(F2&lt;&gt;CONCATENATE("Aux",E2),1,0)</f>
        <v>0</v>
      </c>
      <c r="J2" s="28" t="n">
        <v>1</v>
      </c>
      <c r="K2" s="31" t="s">
        <v>188</v>
      </c>
      <c r="L2" s="30" t="s">
        <v>109</v>
      </c>
      <c r="M2" s="2" t="n">
        <f aca="false">IF(K2&lt;&gt;CONCATENATE("STAux",J2),1,0)</f>
        <v>0</v>
      </c>
      <c r="N2" s="2"/>
      <c r="O2" s="28" t="n">
        <v>1</v>
      </c>
      <c r="P2" s="31" t="s">
        <v>48</v>
      </c>
      <c r="Q2" s="30" t="s">
        <v>75</v>
      </c>
      <c r="R2" s="10" t="n">
        <f aca="false">IF(P2&lt;&gt;CONCATENATE("Grp",O2),1,0)</f>
        <v>0</v>
      </c>
      <c r="S2" s="10"/>
      <c r="T2" s="28" t="n">
        <v>1</v>
      </c>
      <c r="U2" s="31" t="s">
        <v>60</v>
      </c>
      <c r="V2" s="30" t="s">
        <v>75</v>
      </c>
      <c r="W2" s="2" t="n">
        <f aca="false">IF(U2&lt;&gt;CONCATENATE("StGrp",T2),1,0)</f>
        <v>0</v>
      </c>
      <c r="Y2" s="28" t="n">
        <v>1</v>
      </c>
      <c r="Z2" s="31" t="s">
        <v>189</v>
      </c>
      <c r="AA2" s="30" t="s">
        <v>123</v>
      </c>
      <c r="AB2" s="2" t="n">
        <f aca="false">IF(Z2&lt;&gt;CONCATENATE("Mtx",Y2),1,0)</f>
        <v>0</v>
      </c>
      <c r="AC2" s="2"/>
      <c r="AD2" s="28" t="n">
        <v>1</v>
      </c>
      <c r="AE2" s="31" t="s">
        <v>190</v>
      </c>
      <c r="AF2" s="30" t="s">
        <v>123</v>
      </c>
      <c r="AG2" s="2" t="n">
        <f aca="false">IF(AE2&lt;&gt;CONCATENATE("StMtx",AD2),1,0)</f>
        <v>0</v>
      </c>
      <c r="AI2" s="28" t="n">
        <v>1</v>
      </c>
      <c r="AJ2" s="31" t="s">
        <v>191</v>
      </c>
      <c r="AK2" s="30" t="s">
        <v>109</v>
      </c>
      <c r="AL2" s="2" t="n">
        <f aca="false">IF(AJ2&lt;&gt;CONCATENATE("Fx",AI2),1,0)</f>
        <v>0</v>
      </c>
      <c r="AM2" s="2"/>
      <c r="AN2" s="28" t="n">
        <v>1</v>
      </c>
      <c r="AO2" s="31" t="s">
        <v>192</v>
      </c>
      <c r="AP2" s="30" t="s">
        <v>109</v>
      </c>
      <c r="AQ2" s="2" t="n">
        <f aca="false">IF(AO2&lt;&gt;CONCATENATE("StFx",AN2),1,0)</f>
        <v>0</v>
      </c>
      <c r="AR2" s="2"/>
      <c r="AS2" s="28" t="n">
        <v>1</v>
      </c>
      <c r="AT2" s="31" t="s">
        <v>193</v>
      </c>
      <c r="AU2" s="30" t="s">
        <v>104</v>
      </c>
      <c r="AW2" s="28" t="n">
        <v>1</v>
      </c>
      <c r="AX2" s="31" t="s">
        <v>194</v>
      </c>
      <c r="AY2" s="30" t="s">
        <v>109</v>
      </c>
      <c r="AZ2" s="2"/>
      <c r="BA2" s="28" t="n">
        <v>1</v>
      </c>
      <c r="BB2" s="31" t="s">
        <v>195</v>
      </c>
      <c r="BC2" s="30" t="s">
        <v>104</v>
      </c>
    </row>
    <row r="3" customFormat="false" ht="13.8" hidden="false" customHeight="false" outlineLevel="0" collapsed="false">
      <c r="A3" s="28" t="n">
        <v>2</v>
      </c>
      <c r="B3" s="29" t="s">
        <v>196</v>
      </c>
      <c r="C3" s="30" t="s">
        <v>75</v>
      </c>
      <c r="E3" s="28" t="n">
        <v>2</v>
      </c>
      <c r="F3" s="31" t="s">
        <v>197</v>
      </c>
      <c r="G3" s="30" t="s">
        <v>109</v>
      </c>
      <c r="H3" s="2" t="n">
        <f aca="false">IF(F3&lt;&gt;CONCATENATE("Aux",E3),1,0)</f>
        <v>0</v>
      </c>
      <c r="J3" s="28" t="n">
        <v>2</v>
      </c>
      <c r="K3" s="31" t="s">
        <v>198</v>
      </c>
      <c r="L3" s="30" t="s">
        <v>109</v>
      </c>
      <c r="M3" s="2" t="n">
        <f aca="false">IF(K3&lt;&gt;CONCATENATE("STAux",J3),1,0)</f>
        <v>0</v>
      </c>
      <c r="N3" s="2"/>
      <c r="O3" s="28" t="n">
        <v>2</v>
      </c>
      <c r="P3" s="31" t="s">
        <v>49</v>
      </c>
      <c r="Q3" s="30" t="s">
        <v>75</v>
      </c>
      <c r="R3" s="10" t="n">
        <f aca="false">IF(P3&lt;&gt;CONCATENATE("Grp",O3),1,0)</f>
        <v>0</v>
      </c>
      <c r="S3" s="10"/>
      <c r="T3" s="28" t="n">
        <v>2</v>
      </c>
      <c r="U3" s="31" t="s">
        <v>61</v>
      </c>
      <c r="V3" s="30" t="s">
        <v>75</v>
      </c>
      <c r="W3" s="2" t="n">
        <f aca="false">IF(U3&lt;&gt;CONCATENATE("StGrp",T3),1,0)</f>
        <v>0</v>
      </c>
      <c r="Y3" s="28" t="n">
        <v>2</v>
      </c>
      <c r="Z3" s="31" t="s">
        <v>199</v>
      </c>
      <c r="AA3" s="30" t="s">
        <v>123</v>
      </c>
      <c r="AB3" s="2" t="n">
        <f aca="false">IF(Z3&lt;&gt;CONCATENATE("Mtx",Y3),1,0)</f>
        <v>0</v>
      </c>
      <c r="AC3" s="2"/>
      <c r="AD3" s="28" t="n">
        <v>2</v>
      </c>
      <c r="AE3" s="31" t="s">
        <v>200</v>
      </c>
      <c r="AF3" s="30" t="s">
        <v>123</v>
      </c>
      <c r="AG3" s="2" t="n">
        <f aca="false">IF(AE3&lt;&gt;CONCATENATE("StMtx",AD3),1,0)</f>
        <v>0</v>
      </c>
      <c r="AI3" s="28" t="n">
        <v>2</v>
      </c>
      <c r="AJ3" s="31" t="s">
        <v>201</v>
      </c>
      <c r="AK3" s="30" t="s">
        <v>109</v>
      </c>
      <c r="AL3" s="2" t="n">
        <f aca="false">IF(AJ3&lt;&gt;CONCATENATE("Fx",AI3),1,0)</f>
        <v>0</v>
      </c>
      <c r="AM3" s="2"/>
      <c r="AN3" s="28" t="n">
        <v>2</v>
      </c>
      <c r="AO3" s="31" t="s">
        <v>202</v>
      </c>
      <c r="AP3" s="30" t="s">
        <v>109</v>
      </c>
      <c r="AQ3" s="2" t="n">
        <f aca="false">IF(AO3&lt;&gt;CONCATENATE("StFx",AN3),1,0)</f>
        <v>0</v>
      </c>
      <c r="AR3" s="2"/>
      <c r="AS3" s="28" t="n">
        <v>2</v>
      </c>
      <c r="AT3" s="31" t="s">
        <v>203</v>
      </c>
      <c r="AU3" s="30" t="s">
        <v>104</v>
      </c>
      <c r="AW3" s="28" t="n">
        <v>2</v>
      </c>
      <c r="AX3" s="31" t="s">
        <v>204</v>
      </c>
      <c r="AY3" s="30" t="s">
        <v>109</v>
      </c>
      <c r="AZ3" s="2"/>
      <c r="BA3" s="28" t="n">
        <v>2</v>
      </c>
      <c r="BB3" s="31" t="s">
        <v>205</v>
      </c>
      <c r="BC3" s="30" t="s">
        <v>104</v>
      </c>
    </row>
    <row r="4" customFormat="false" ht="13.8" hidden="false" customHeight="false" outlineLevel="0" collapsed="false">
      <c r="A4" s="28" t="n">
        <v>3</v>
      </c>
      <c r="B4" s="29" t="s">
        <v>206</v>
      </c>
      <c r="C4" s="30" t="s">
        <v>94</v>
      </c>
      <c r="E4" s="28" t="n">
        <v>3</v>
      </c>
      <c r="F4" s="31" t="s">
        <v>207</v>
      </c>
      <c r="G4" s="30" t="s">
        <v>109</v>
      </c>
      <c r="H4" s="2" t="n">
        <f aca="false">IF(F4&lt;&gt;CONCATENATE("Aux",E4),1,0)</f>
        <v>0</v>
      </c>
      <c r="J4" s="28" t="n">
        <v>3</v>
      </c>
      <c r="K4" s="31" t="s">
        <v>208</v>
      </c>
      <c r="L4" s="30" t="s">
        <v>109</v>
      </c>
      <c r="M4" s="2" t="n">
        <f aca="false">IF(K4&lt;&gt;CONCATENATE("STAux",J4),1,0)</f>
        <v>0</v>
      </c>
      <c r="N4" s="2"/>
      <c r="O4" s="28" t="n">
        <v>3</v>
      </c>
      <c r="P4" s="31" t="s">
        <v>50</v>
      </c>
      <c r="Q4" s="30" t="s">
        <v>75</v>
      </c>
      <c r="R4" s="10" t="n">
        <f aca="false">IF(P4&lt;&gt;CONCATENATE("Grp",O4),1,0)</f>
        <v>0</v>
      </c>
      <c r="S4" s="10"/>
      <c r="T4" s="28" t="n">
        <v>3</v>
      </c>
      <c r="U4" s="31" t="s">
        <v>62</v>
      </c>
      <c r="V4" s="30" t="s">
        <v>75</v>
      </c>
      <c r="W4" s="2" t="n">
        <f aca="false">IF(U4&lt;&gt;CONCATENATE("StGrp",T4),1,0)</f>
        <v>0</v>
      </c>
      <c r="Y4" s="28" t="n">
        <v>3</v>
      </c>
      <c r="Z4" s="31" t="s">
        <v>209</v>
      </c>
      <c r="AA4" s="30" t="s">
        <v>123</v>
      </c>
      <c r="AB4" s="2" t="n">
        <f aca="false">IF(Z4&lt;&gt;CONCATENATE("Mtx",Y4),1,0)</f>
        <v>0</v>
      </c>
      <c r="AC4" s="2"/>
      <c r="AD4" s="28" t="n">
        <v>3</v>
      </c>
      <c r="AE4" s="31" t="s">
        <v>210</v>
      </c>
      <c r="AF4" s="30" t="s">
        <v>123</v>
      </c>
      <c r="AG4" s="2" t="n">
        <f aca="false">IF(AE4&lt;&gt;CONCATENATE("StMtx",AD4),1,0)</f>
        <v>0</v>
      </c>
      <c r="AI4" s="28" t="n">
        <v>3</v>
      </c>
      <c r="AJ4" s="31" t="s">
        <v>211</v>
      </c>
      <c r="AK4" s="30" t="s">
        <v>109</v>
      </c>
      <c r="AL4" s="2" t="n">
        <f aca="false">IF(AJ4&lt;&gt;CONCATENATE("Fx",AI4),1,0)</f>
        <v>0</v>
      </c>
      <c r="AM4" s="2"/>
      <c r="AN4" s="28" t="n">
        <v>3</v>
      </c>
      <c r="AO4" s="31" t="s">
        <v>212</v>
      </c>
      <c r="AP4" s="30" t="s">
        <v>109</v>
      </c>
      <c r="AQ4" s="2" t="n">
        <f aca="false">IF(AO4&lt;&gt;CONCATENATE("StFx",AN4),1,0)</f>
        <v>0</v>
      </c>
      <c r="AR4" s="2"/>
      <c r="AS4" s="28" t="n">
        <v>3</v>
      </c>
      <c r="AT4" s="31" t="s">
        <v>213</v>
      </c>
      <c r="AU4" s="30" t="s">
        <v>104</v>
      </c>
      <c r="AW4" s="28" t="n">
        <v>3</v>
      </c>
      <c r="AX4" s="31" t="s">
        <v>214</v>
      </c>
      <c r="AY4" s="30" t="s">
        <v>109</v>
      </c>
      <c r="AZ4" s="2"/>
      <c r="BA4" s="28" t="n">
        <v>3</v>
      </c>
      <c r="BB4" s="31" t="s">
        <v>215</v>
      </c>
      <c r="BC4" s="30" t="s">
        <v>104</v>
      </c>
    </row>
    <row r="5" customFormat="false" ht="13.8" hidden="false" customHeight="false" outlineLevel="0" collapsed="false">
      <c r="A5" s="28" t="n">
        <v>4</v>
      </c>
      <c r="B5" s="29" t="s">
        <v>216</v>
      </c>
      <c r="C5" s="30" t="s">
        <v>97</v>
      </c>
      <c r="E5" s="28" t="n">
        <v>4</v>
      </c>
      <c r="F5" s="31" t="s">
        <v>217</v>
      </c>
      <c r="G5" s="30" t="s">
        <v>109</v>
      </c>
      <c r="H5" s="2" t="n">
        <f aca="false">IF(F5&lt;&gt;CONCATENATE("Aux",E5),1,0)</f>
        <v>0</v>
      </c>
      <c r="J5" s="28" t="n">
        <v>4</v>
      </c>
      <c r="K5" s="31" t="s">
        <v>218</v>
      </c>
      <c r="L5" s="30" t="s">
        <v>109</v>
      </c>
      <c r="M5" s="2" t="n">
        <f aca="false">IF(K5&lt;&gt;CONCATENATE("STAux",J5),1,0)</f>
        <v>0</v>
      </c>
      <c r="N5" s="2"/>
      <c r="O5" s="28" t="n">
        <v>4</v>
      </c>
      <c r="P5" s="31" t="s">
        <v>51</v>
      </c>
      <c r="Q5" s="30" t="s">
        <v>75</v>
      </c>
      <c r="R5" s="10" t="n">
        <f aca="false">IF(P5&lt;&gt;CONCATENATE("Grp",O5),1,0)</f>
        <v>0</v>
      </c>
      <c r="S5" s="10"/>
      <c r="T5" s="28" t="n">
        <v>4</v>
      </c>
      <c r="U5" s="31" t="s">
        <v>63</v>
      </c>
      <c r="V5" s="30" t="s">
        <v>75</v>
      </c>
      <c r="W5" s="2" t="n">
        <f aca="false">IF(U5&lt;&gt;CONCATENATE("StGrp",T5),1,0)</f>
        <v>0</v>
      </c>
      <c r="Y5" s="28" t="n">
        <v>4</v>
      </c>
      <c r="Z5" s="31" t="s">
        <v>219</v>
      </c>
      <c r="AA5" s="30" t="s">
        <v>123</v>
      </c>
      <c r="AB5" s="2" t="n">
        <f aca="false">IF(Z5&lt;&gt;CONCATENATE("Mtx",Y5),1,0)</f>
        <v>0</v>
      </c>
      <c r="AC5" s="2"/>
      <c r="AD5" s="28" t="n">
        <v>4</v>
      </c>
      <c r="AE5" s="31" t="s">
        <v>220</v>
      </c>
      <c r="AF5" s="30" t="s">
        <v>123</v>
      </c>
      <c r="AG5" s="2" t="n">
        <f aca="false">IF(AE5&lt;&gt;CONCATENATE("StMtx",AD5),1,0)</f>
        <v>0</v>
      </c>
      <c r="AI5" s="28" t="n">
        <v>4</v>
      </c>
      <c r="AJ5" s="31" t="s">
        <v>221</v>
      </c>
      <c r="AK5" s="30" t="s">
        <v>109</v>
      </c>
      <c r="AL5" s="2" t="n">
        <f aca="false">IF(AJ5&lt;&gt;CONCATENATE("Fx",AI5),1,0)</f>
        <v>0</v>
      </c>
      <c r="AM5" s="2"/>
      <c r="AN5" s="28" t="n">
        <v>4</v>
      </c>
      <c r="AO5" s="31" t="s">
        <v>222</v>
      </c>
      <c r="AP5" s="30" t="s">
        <v>109</v>
      </c>
      <c r="AQ5" s="2" t="n">
        <f aca="false">IF(AO5&lt;&gt;CONCATENATE("StFx",AN5),1,0)</f>
        <v>0</v>
      </c>
      <c r="AR5" s="2"/>
      <c r="AS5" s="28" t="n">
        <v>4</v>
      </c>
      <c r="AT5" s="31" t="s">
        <v>223</v>
      </c>
      <c r="AU5" s="30" t="s">
        <v>104</v>
      </c>
      <c r="AW5" s="28" t="n">
        <v>4</v>
      </c>
      <c r="AX5" s="31" t="s">
        <v>224</v>
      </c>
      <c r="AY5" s="30" t="s">
        <v>109</v>
      </c>
      <c r="AZ5" s="2"/>
      <c r="BA5" s="28" t="n">
        <v>4</v>
      </c>
      <c r="BB5" s="31" t="s">
        <v>225</v>
      </c>
      <c r="BC5" s="30" t="s">
        <v>104</v>
      </c>
    </row>
    <row r="6" customFormat="false" ht="13.8" hidden="false" customHeight="false" outlineLevel="0" collapsed="false">
      <c r="A6" s="28" t="n">
        <v>5</v>
      </c>
      <c r="B6" s="29" t="s">
        <v>226</v>
      </c>
      <c r="C6" s="30" t="s">
        <v>104</v>
      </c>
      <c r="E6" s="28" t="n">
        <v>5</v>
      </c>
      <c r="F6" s="31" t="s">
        <v>227</v>
      </c>
      <c r="G6" s="30" t="s">
        <v>109</v>
      </c>
      <c r="H6" s="2" t="n">
        <f aca="false">IF(F6&lt;&gt;CONCATENATE("Aux",E6),1,0)</f>
        <v>0</v>
      </c>
      <c r="J6" s="28" t="n">
        <v>5</v>
      </c>
      <c r="K6" s="31" t="s">
        <v>228</v>
      </c>
      <c r="L6" s="30" t="s">
        <v>109</v>
      </c>
      <c r="M6" s="2" t="n">
        <f aca="false">IF(K6&lt;&gt;CONCATENATE("STAux",J6),1,0)</f>
        <v>0</v>
      </c>
      <c r="N6" s="2"/>
      <c r="O6" s="28" t="n">
        <v>5</v>
      </c>
      <c r="P6" s="31" t="s">
        <v>52</v>
      </c>
      <c r="Q6" s="30" t="s">
        <v>75</v>
      </c>
      <c r="R6" s="10" t="n">
        <f aca="false">IF(P6&lt;&gt;CONCATENATE("Grp",O6),1,0)</f>
        <v>0</v>
      </c>
      <c r="S6" s="10"/>
      <c r="T6" s="28" t="n">
        <v>5</v>
      </c>
      <c r="U6" s="31" t="s">
        <v>64</v>
      </c>
      <c r="V6" s="30" t="s">
        <v>75</v>
      </c>
      <c r="W6" s="2" t="n">
        <f aca="false">IF(U6&lt;&gt;CONCATENATE("StGrp",T6),1,0)</f>
        <v>0</v>
      </c>
      <c r="Y6" s="28" t="n">
        <v>5</v>
      </c>
      <c r="Z6" s="31" t="s">
        <v>229</v>
      </c>
      <c r="AA6" s="30" t="s">
        <v>123</v>
      </c>
      <c r="AB6" s="2" t="n">
        <f aca="false">IF(Z6&lt;&gt;CONCATENATE("Mtx",Y6),1,0)</f>
        <v>0</v>
      </c>
      <c r="AC6" s="2"/>
      <c r="AD6" s="28" t="n">
        <v>5</v>
      </c>
      <c r="AE6" s="31" t="s">
        <v>230</v>
      </c>
      <c r="AF6" s="30" t="s">
        <v>123</v>
      </c>
      <c r="AG6" s="2" t="n">
        <f aca="false">IF(AE6&lt;&gt;CONCATENATE("StMtx",AD6),1,0)</f>
        <v>0</v>
      </c>
      <c r="AI6" s="28" t="n">
        <v>5</v>
      </c>
      <c r="AJ6" s="31" t="s">
        <v>231</v>
      </c>
      <c r="AK6" s="30" t="s">
        <v>109</v>
      </c>
      <c r="AL6" s="2" t="n">
        <f aca="false">IF(AJ6&lt;&gt;CONCATENATE("Fx",AI6),1,0)</f>
        <v>0</v>
      </c>
      <c r="AM6" s="2"/>
      <c r="AN6" s="28" t="n">
        <v>5</v>
      </c>
      <c r="AO6" s="31" t="s">
        <v>232</v>
      </c>
      <c r="AP6" s="30" t="s">
        <v>109</v>
      </c>
      <c r="AQ6" s="2" t="n">
        <f aca="false">IF(AO6&lt;&gt;CONCATENATE("StFx",AN6),1,0)</f>
        <v>0</v>
      </c>
      <c r="AR6" s="2"/>
      <c r="AS6" s="28" t="n">
        <v>5</v>
      </c>
      <c r="AT6" s="31" t="s">
        <v>233</v>
      </c>
      <c r="AU6" s="30" t="s">
        <v>104</v>
      </c>
      <c r="AW6" s="28" t="n">
        <v>5</v>
      </c>
      <c r="AX6" s="31" t="s">
        <v>234</v>
      </c>
      <c r="AY6" s="30" t="s">
        <v>109</v>
      </c>
      <c r="AZ6" s="2"/>
      <c r="BA6" s="28" t="n">
        <v>5</v>
      </c>
      <c r="BB6" s="31" t="s">
        <v>235</v>
      </c>
      <c r="BC6" s="30" t="s">
        <v>104</v>
      </c>
    </row>
    <row r="7" customFormat="false" ht="13.8" hidden="false" customHeight="false" outlineLevel="0" collapsed="false">
      <c r="A7" s="28" t="n">
        <v>6</v>
      </c>
      <c r="B7" s="29" t="s">
        <v>236</v>
      </c>
      <c r="C7" s="30" t="s">
        <v>109</v>
      </c>
      <c r="D7" s="2"/>
      <c r="E7" s="28" t="n">
        <v>6</v>
      </c>
      <c r="F7" s="31" t="s">
        <v>237</v>
      </c>
      <c r="G7" s="30" t="s">
        <v>109</v>
      </c>
      <c r="H7" s="2" t="n">
        <f aca="false">IF(F7&lt;&gt;CONCATENATE("Aux",E7),1,0)</f>
        <v>0</v>
      </c>
      <c r="J7" s="28" t="n">
        <v>6</v>
      </c>
      <c r="K7" s="31" t="s">
        <v>238</v>
      </c>
      <c r="L7" s="30" t="s">
        <v>109</v>
      </c>
      <c r="M7" s="2" t="n">
        <f aca="false">IF(K7&lt;&gt;CONCATENATE("STAux",J7),1,0)</f>
        <v>0</v>
      </c>
      <c r="N7" s="2"/>
      <c r="O7" s="28" t="n">
        <v>6</v>
      </c>
      <c r="P7" s="31" t="s">
        <v>53</v>
      </c>
      <c r="Q7" s="30" t="s">
        <v>75</v>
      </c>
      <c r="R7" s="10" t="n">
        <f aca="false">IF(P7&lt;&gt;CONCATENATE("Grp",O7),1,0)</f>
        <v>0</v>
      </c>
      <c r="S7" s="10"/>
      <c r="T7" s="28" t="n">
        <v>6</v>
      </c>
      <c r="U7" s="31" t="s">
        <v>65</v>
      </c>
      <c r="V7" s="30" t="s">
        <v>75</v>
      </c>
      <c r="W7" s="2" t="n">
        <f aca="false">IF(U7&lt;&gt;CONCATENATE("StGrp",T7),1,0)</f>
        <v>0</v>
      </c>
      <c r="Y7" s="28" t="n">
        <v>6</v>
      </c>
      <c r="Z7" s="31" t="s">
        <v>239</v>
      </c>
      <c r="AA7" s="30" t="s">
        <v>123</v>
      </c>
      <c r="AB7" s="2" t="n">
        <f aca="false">IF(Z7&lt;&gt;CONCATENATE("Mtx",Y7),1,0)</f>
        <v>0</v>
      </c>
      <c r="AC7" s="2"/>
      <c r="AD7" s="28" t="n">
        <v>6</v>
      </c>
      <c r="AE7" s="31" t="s">
        <v>240</v>
      </c>
      <c r="AF7" s="30" t="s">
        <v>123</v>
      </c>
      <c r="AG7" s="2" t="n">
        <f aca="false">IF(AE7&lt;&gt;CONCATENATE("StMtx",AD7),1,0)</f>
        <v>0</v>
      </c>
      <c r="AI7" s="28" t="n">
        <v>6</v>
      </c>
      <c r="AJ7" s="31" t="s">
        <v>241</v>
      </c>
      <c r="AK7" s="30" t="s">
        <v>109</v>
      </c>
      <c r="AL7" s="2" t="n">
        <f aca="false">IF(AJ7&lt;&gt;CONCATENATE("Fx",AI7),1,0)</f>
        <v>0</v>
      </c>
      <c r="AM7" s="2"/>
      <c r="AN7" s="28" t="n">
        <v>6</v>
      </c>
      <c r="AO7" s="31" t="s">
        <v>242</v>
      </c>
      <c r="AP7" s="30" t="s">
        <v>109</v>
      </c>
      <c r="AQ7" s="2" t="n">
        <f aca="false">IF(AO7&lt;&gt;CONCATENATE("StFx",AN7),1,0)</f>
        <v>0</v>
      </c>
      <c r="AR7" s="2"/>
      <c r="AS7" s="28" t="n">
        <v>6</v>
      </c>
      <c r="AT7" s="31" t="s">
        <v>243</v>
      </c>
      <c r="AU7" s="30" t="s">
        <v>104</v>
      </c>
      <c r="AW7" s="28" t="n">
        <v>6</v>
      </c>
      <c r="AX7" s="31" t="s">
        <v>244</v>
      </c>
      <c r="AY7" s="30" t="s">
        <v>109</v>
      </c>
      <c r="AZ7" s="2"/>
      <c r="BA7" s="28" t="n">
        <v>6</v>
      </c>
      <c r="BB7" s="31" t="s">
        <v>245</v>
      </c>
      <c r="BC7" s="30" t="s">
        <v>104</v>
      </c>
    </row>
    <row r="8" customFormat="false" ht="13.8" hidden="false" customHeight="false" outlineLevel="0" collapsed="false">
      <c r="A8" s="28" t="n">
        <v>7</v>
      </c>
      <c r="B8" s="29" t="s">
        <v>246</v>
      </c>
      <c r="C8" s="30" t="s">
        <v>118</v>
      </c>
      <c r="E8" s="28" t="n">
        <v>7</v>
      </c>
      <c r="F8" s="31" t="s">
        <v>247</v>
      </c>
      <c r="G8" s="30" t="s">
        <v>109</v>
      </c>
      <c r="H8" s="2" t="n">
        <f aca="false">IF(F8&lt;&gt;CONCATENATE("Aux",E8),1,0)</f>
        <v>0</v>
      </c>
      <c r="J8" s="28" t="n">
        <v>7</v>
      </c>
      <c r="K8" s="31" t="s">
        <v>248</v>
      </c>
      <c r="L8" s="30" t="s">
        <v>109</v>
      </c>
      <c r="M8" s="2" t="n">
        <f aca="false">IF(K8&lt;&gt;CONCATENATE("STAux",J8),1,0)</f>
        <v>0</v>
      </c>
      <c r="N8" s="2"/>
      <c r="O8" s="28" t="n">
        <v>7</v>
      </c>
      <c r="P8" s="31" t="s">
        <v>54</v>
      </c>
      <c r="Q8" s="30" t="s">
        <v>75</v>
      </c>
      <c r="R8" s="10" t="n">
        <f aca="false">IF(P8&lt;&gt;CONCATENATE("Grp",O8),1,0)</f>
        <v>0</v>
      </c>
      <c r="S8" s="10"/>
      <c r="T8" s="28" t="n">
        <v>7</v>
      </c>
      <c r="U8" s="31" t="s">
        <v>66</v>
      </c>
      <c r="V8" s="30" t="s">
        <v>75</v>
      </c>
      <c r="W8" s="2" t="n">
        <f aca="false">IF(U8&lt;&gt;CONCATENATE("StGrp",T8),1,0)</f>
        <v>0</v>
      </c>
      <c r="Y8" s="28" t="n">
        <v>7</v>
      </c>
      <c r="Z8" s="31" t="s">
        <v>249</v>
      </c>
      <c r="AA8" s="30" t="s">
        <v>123</v>
      </c>
      <c r="AB8" s="2" t="n">
        <f aca="false">IF(Z8&lt;&gt;CONCATENATE("Mtx",Y8),1,0)</f>
        <v>0</v>
      </c>
      <c r="AC8" s="2"/>
      <c r="AD8" s="28" t="n">
        <v>7</v>
      </c>
      <c r="AE8" s="31" t="s">
        <v>250</v>
      </c>
      <c r="AF8" s="30" t="s">
        <v>123</v>
      </c>
      <c r="AG8" s="2" t="n">
        <f aca="false">IF(AE8&lt;&gt;CONCATENATE("StMtx",AD8),1,0)</f>
        <v>0</v>
      </c>
      <c r="AI8" s="28" t="n">
        <v>7</v>
      </c>
      <c r="AJ8" s="31" t="s">
        <v>251</v>
      </c>
      <c r="AK8" s="30" t="s">
        <v>109</v>
      </c>
      <c r="AL8" s="2" t="n">
        <f aca="false">IF(AJ8&lt;&gt;CONCATENATE("Fx",AI8),1,0)</f>
        <v>0</v>
      </c>
      <c r="AM8" s="2"/>
      <c r="AN8" s="28" t="n">
        <v>7</v>
      </c>
      <c r="AO8" s="31" t="s">
        <v>252</v>
      </c>
      <c r="AP8" s="30" t="s">
        <v>109</v>
      </c>
      <c r="AQ8" s="2" t="n">
        <f aca="false">IF(AO8&lt;&gt;CONCATENATE("StFx",AN8),1,0)</f>
        <v>0</v>
      </c>
      <c r="AR8" s="2"/>
      <c r="AS8" s="28" t="n">
        <v>7</v>
      </c>
      <c r="AT8" s="31" t="s">
        <v>253</v>
      </c>
      <c r="AU8" s="30" t="s">
        <v>104</v>
      </c>
      <c r="AW8" s="28" t="n">
        <v>7</v>
      </c>
      <c r="AX8" s="31" t="s">
        <v>254</v>
      </c>
      <c r="AY8" s="30" t="s">
        <v>109</v>
      </c>
      <c r="AZ8" s="2"/>
      <c r="BA8" s="28" t="n">
        <v>7</v>
      </c>
      <c r="BB8" s="31" t="s">
        <v>255</v>
      </c>
      <c r="BC8" s="30" t="s">
        <v>104</v>
      </c>
    </row>
    <row r="9" customFormat="false" ht="13.8" hidden="false" customHeight="false" outlineLevel="0" collapsed="false">
      <c r="A9" s="28" t="n">
        <v>8</v>
      </c>
      <c r="B9" s="29" t="s">
        <v>256</v>
      </c>
      <c r="C9" s="30" t="s">
        <v>123</v>
      </c>
      <c r="E9" s="28" t="n">
        <v>8</v>
      </c>
      <c r="F9" s="31" t="s">
        <v>257</v>
      </c>
      <c r="G9" s="30" t="s">
        <v>109</v>
      </c>
      <c r="H9" s="2" t="n">
        <f aca="false">IF(F9&lt;&gt;CONCATENATE("Aux",E9),1,0)</f>
        <v>0</v>
      </c>
      <c r="J9" s="28" t="n">
        <v>8</v>
      </c>
      <c r="K9" s="31" t="s">
        <v>258</v>
      </c>
      <c r="L9" s="30" t="s">
        <v>109</v>
      </c>
      <c r="M9" s="2" t="n">
        <f aca="false">IF(K9&lt;&gt;CONCATENATE("STAux",J9),1,0)</f>
        <v>0</v>
      </c>
      <c r="N9" s="2"/>
      <c r="O9" s="28" t="n">
        <v>8</v>
      </c>
      <c r="P9" s="31" t="s">
        <v>55</v>
      </c>
      <c r="Q9" s="30" t="s">
        <v>75</v>
      </c>
      <c r="R9" s="10" t="n">
        <f aca="false">IF(P9&lt;&gt;CONCATENATE("Grp",O9),1,0)</f>
        <v>0</v>
      </c>
      <c r="S9" s="10"/>
      <c r="T9" s="28" t="n">
        <v>8</v>
      </c>
      <c r="U9" s="31" t="s">
        <v>67</v>
      </c>
      <c r="V9" s="30" t="s">
        <v>75</v>
      </c>
      <c r="W9" s="2" t="n">
        <f aca="false">IF(U9&lt;&gt;CONCATENATE("StGrp",T9),1,0)</f>
        <v>0</v>
      </c>
      <c r="Y9" s="28" t="n">
        <v>8</v>
      </c>
      <c r="Z9" s="31" t="s">
        <v>259</v>
      </c>
      <c r="AA9" s="30" t="s">
        <v>123</v>
      </c>
      <c r="AB9" s="2" t="n">
        <f aca="false">IF(Z9&lt;&gt;CONCATENATE("Mtx",Y9),1,0)</f>
        <v>0</v>
      </c>
      <c r="AC9" s="2"/>
      <c r="AD9" s="28" t="n">
        <v>8</v>
      </c>
      <c r="AE9" s="31" t="s">
        <v>260</v>
      </c>
      <c r="AF9" s="30" t="s">
        <v>123</v>
      </c>
      <c r="AG9" s="2" t="n">
        <f aca="false">IF(AE9&lt;&gt;CONCATENATE("StMtx",AD9),1,0)</f>
        <v>0</v>
      </c>
      <c r="AI9" s="28" t="n">
        <v>8</v>
      </c>
      <c r="AJ9" s="31" t="s">
        <v>261</v>
      </c>
      <c r="AK9" s="30" t="s">
        <v>109</v>
      </c>
      <c r="AL9" s="2" t="n">
        <f aca="false">IF(AJ9&lt;&gt;CONCATENATE("Fx",AI9),1,0)</f>
        <v>0</v>
      </c>
      <c r="AM9" s="2"/>
      <c r="AN9" s="28" t="n">
        <v>8</v>
      </c>
      <c r="AO9" s="31" t="s">
        <v>262</v>
      </c>
      <c r="AP9" s="30" t="s">
        <v>109</v>
      </c>
      <c r="AQ9" s="2" t="n">
        <f aca="false">IF(AO9&lt;&gt;CONCATENATE("StFx",AN9),1,0)</f>
        <v>0</v>
      </c>
      <c r="AR9" s="2"/>
      <c r="AS9" s="28" t="n">
        <v>8</v>
      </c>
      <c r="AT9" s="31" t="s">
        <v>263</v>
      </c>
      <c r="AU9" s="30" t="s">
        <v>104</v>
      </c>
      <c r="AW9" s="28" t="n">
        <v>8</v>
      </c>
      <c r="AX9" s="31" t="s">
        <v>264</v>
      </c>
      <c r="AY9" s="30" t="s">
        <v>109</v>
      </c>
      <c r="AZ9" s="2"/>
      <c r="BA9" s="28" t="n">
        <v>8</v>
      </c>
      <c r="BB9" s="31" t="s">
        <v>265</v>
      </c>
      <c r="BC9" s="30" t="s">
        <v>104</v>
      </c>
    </row>
    <row r="10" customFormat="false" ht="13.8" hidden="false" customHeight="false" outlineLevel="0" collapsed="false">
      <c r="A10" s="28" t="n">
        <v>9</v>
      </c>
      <c r="B10" s="29" t="s">
        <v>266</v>
      </c>
      <c r="C10" s="30" t="s">
        <v>94</v>
      </c>
      <c r="E10" s="28" t="n">
        <v>9</v>
      </c>
      <c r="F10" s="31" t="s">
        <v>267</v>
      </c>
      <c r="G10" s="30" t="s">
        <v>109</v>
      </c>
      <c r="H10" s="2" t="n">
        <f aca="false">IF(F10&lt;&gt;CONCATENATE("Aux",E10),1,0)</f>
        <v>0</v>
      </c>
      <c r="J10" s="28" t="n">
        <v>9</v>
      </c>
      <c r="K10" s="31" t="s">
        <v>268</v>
      </c>
      <c r="L10" s="30" t="s">
        <v>109</v>
      </c>
      <c r="M10" s="2" t="n">
        <f aca="false">IF(K10&lt;&gt;CONCATENATE("STAux",J10),1,0)</f>
        <v>0</v>
      </c>
      <c r="N10" s="2"/>
      <c r="O10" s="28" t="n">
        <v>9</v>
      </c>
      <c r="P10" s="31" t="s">
        <v>56</v>
      </c>
      <c r="Q10" s="30" t="s">
        <v>75</v>
      </c>
      <c r="R10" s="10" t="n">
        <f aca="false">IF(P10&lt;&gt;CONCATENATE("Grp",O10),1,0)</f>
        <v>0</v>
      </c>
      <c r="S10" s="10"/>
      <c r="T10" s="28" t="n">
        <v>9</v>
      </c>
      <c r="U10" s="31" t="s">
        <v>68</v>
      </c>
      <c r="V10" s="30" t="s">
        <v>75</v>
      </c>
      <c r="W10" s="2" t="n">
        <f aca="false">IF(U10&lt;&gt;CONCATENATE("StGrp",T10),1,0)</f>
        <v>0</v>
      </c>
      <c r="Y10" s="28" t="n">
        <v>9</v>
      </c>
      <c r="Z10" s="31" t="s">
        <v>269</v>
      </c>
      <c r="AA10" s="30" t="s">
        <v>123</v>
      </c>
      <c r="AB10" s="2" t="n">
        <f aca="false">IF(Z10&lt;&gt;CONCATENATE("Mtx",Y10),1,0)</f>
        <v>0</v>
      </c>
      <c r="AC10" s="2"/>
      <c r="AD10" s="28" t="n">
        <v>9</v>
      </c>
      <c r="AE10" s="31" t="s">
        <v>270</v>
      </c>
      <c r="AF10" s="30" t="s">
        <v>123</v>
      </c>
      <c r="AG10" s="2" t="n">
        <f aca="false">IF(AE10&lt;&gt;CONCATENATE("StMtx",AD10),1,0)</f>
        <v>0</v>
      </c>
      <c r="AI10" s="28" t="n">
        <v>9</v>
      </c>
      <c r="AJ10" s="31" t="s">
        <v>271</v>
      </c>
      <c r="AK10" s="30" t="s">
        <v>109</v>
      </c>
      <c r="AL10" s="2" t="n">
        <f aca="false">IF(AJ10&lt;&gt;CONCATENATE("Fx",AI10),1,0)</f>
        <v>0</v>
      </c>
      <c r="AM10" s="2"/>
      <c r="AN10" s="28" t="n">
        <v>9</v>
      </c>
      <c r="AO10" s="31" t="s">
        <v>272</v>
      </c>
      <c r="AP10" s="30" t="s">
        <v>109</v>
      </c>
      <c r="AQ10" s="2" t="n">
        <f aca="false">IF(AO10&lt;&gt;CONCATENATE("StFx",AN10),1,0)</f>
        <v>0</v>
      </c>
      <c r="AR10" s="2"/>
      <c r="AS10" s="28" t="n">
        <v>9</v>
      </c>
      <c r="AT10" s="31" t="s">
        <v>273</v>
      </c>
      <c r="AU10" s="30" t="s">
        <v>104</v>
      </c>
    </row>
    <row r="11" customFormat="false" ht="13.8" hidden="false" customHeight="false" outlineLevel="0" collapsed="false">
      <c r="A11" s="28" t="n">
        <v>10</v>
      </c>
      <c r="B11" s="29" t="s">
        <v>274</v>
      </c>
      <c r="C11" s="30" t="s">
        <v>94</v>
      </c>
      <c r="E11" s="28" t="n">
        <v>10</v>
      </c>
      <c r="F11" s="31" t="s">
        <v>275</v>
      </c>
      <c r="G11" s="30" t="s">
        <v>109</v>
      </c>
      <c r="H11" s="2" t="n">
        <f aca="false">IF(F11&lt;&gt;CONCATENATE("Aux",E11),1,0)</f>
        <v>0</v>
      </c>
      <c r="J11" s="28" t="n">
        <v>10</v>
      </c>
      <c r="K11" s="31" t="s">
        <v>276</v>
      </c>
      <c r="L11" s="30" t="s">
        <v>109</v>
      </c>
      <c r="M11" s="2" t="n">
        <f aca="false">IF(K11&lt;&gt;CONCATENATE("STAux",J11),1,0)</f>
        <v>0</v>
      </c>
      <c r="N11" s="2"/>
      <c r="O11" s="28" t="n">
        <v>10</v>
      </c>
      <c r="P11" s="31" t="s">
        <v>57</v>
      </c>
      <c r="Q11" s="30" t="s">
        <v>75</v>
      </c>
      <c r="R11" s="10" t="n">
        <f aca="false">IF(P11&lt;&gt;CONCATENATE("Grp",O11),1,0)</f>
        <v>0</v>
      </c>
      <c r="S11" s="10"/>
      <c r="T11" s="28" t="n">
        <v>10</v>
      </c>
      <c r="U11" s="31" t="s">
        <v>69</v>
      </c>
      <c r="V11" s="30" t="s">
        <v>75</v>
      </c>
      <c r="W11" s="2" t="n">
        <f aca="false">IF(U11&lt;&gt;CONCATENATE("StGrp",T11),1,0)</f>
        <v>0</v>
      </c>
      <c r="Y11" s="28" t="n">
        <v>10</v>
      </c>
      <c r="Z11" s="31" t="s">
        <v>277</v>
      </c>
      <c r="AA11" s="30" t="s">
        <v>123</v>
      </c>
      <c r="AB11" s="2" t="n">
        <f aca="false">IF(Z11&lt;&gt;CONCATENATE("Mtx",Y11),1,0)</f>
        <v>0</v>
      </c>
      <c r="AC11" s="2"/>
      <c r="AD11" s="28" t="n">
        <v>10</v>
      </c>
      <c r="AE11" s="31" t="s">
        <v>278</v>
      </c>
      <c r="AF11" s="30" t="s">
        <v>123</v>
      </c>
      <c r="AG11" s="2" t="n">
        <f aca="false">IF(AE11&lt;&gt;CONCATENATE("StMtx",AD11),1,0)</f>
        <v>0</v>
      </c>
      <c r="AI11" s="28" t="n">
        <v>10</v>
      </c>
      <c r="AJ11" s="31" t="s">
        <v>279</v>
      </c>
      <c r="AK11" s="30" t="s">
        <v>109</v>
      </c>
      <c r="AL11" s="2" t="n">
        <f aca="false">IF(AJ11&lt;&gt;CONCATENATE("Fx",AI11),1,0)</f>
        <v>0</v>
      </c>
      <c r="AM11" s="2"/>
      <c r="AN11" s="28" t="n">
        <v>10</v>
      </c>
      <c r="AO11" s="31" t="s">
        <v>280</v>
      </c>
      <c r="AP11" s="30" t="s">
        <v>109</v>
      </c>
      <c r="AQ11" s="2" t="n">
        <f aca="false">IF(AO11&lt;&gt;CONCATENATE("StFx",AN11),1,0)</f>
        <v>0</v>
      </c>
      <c r="AR11" s="2"/>
      <c r="AS11" s="28" t="n">
        <v>10</v>
      </c>
      <c r="AT11" s="31" t="s">
        <v>281</v>
      </c>
      <c r="AU11" s="30" t="s">
        <v>104</v>
      </c>
    </row>
    <row r="12" customFormat="false" ht="13.8" hidden="false" customHeight="false" outlineLevel="0" collapsed="false">
      <c r="A12" s="28" t="n">
        <v>11</v>
      </c>
      <c r="B12" s="29" t="s">
        <v>282</v>
      </c>
      <c r="C12" s="30" t="s">
        <v>94</v>
      </c>
      <c r="E12" s="28" t="n">
        <v>11</v>
      </c>
      <c r="F12" s="31" t="s">
        <v>283</v>
      </c>
      <c r="G12" s="30" t="s">
        <v>109</v>
      </c>
      <c r="H12" s="2" t="n">
        <f aca="false">IF(F12&lt;&gt;CONCATENATE("Aux",E12),1,0)</f>
        <v>0</v>
      </c>
      <c r="J12" s="28" t="n">
        <v>11</v>
      </c>
      <c r="K12" s="31" t="s">
        <v>284</v>
      </c>
      <c r="L12" s="30" t="s">
        <v>109</v>
      </c>
      <c r="M12" s="2" t="n">
        <f aca="false">IF(K12&lt;&gt;CONCATENATE("STAux",J12),1,0)</f>
        <v>0</v>
      </c>
      <c r="N12" s="2"/>
      <c r="O12" s="28" t="n">
        <v>11</v>
      </c>
      <c r="P12" s="31" t="s">
        <v>58</v>
      </c>
      <c r="Q12" s="30" t="s">
        <v>75</v>
      </c>
      <c r="R12" s="10" t="n">
        <f aca="false">IF(P12&lt;&gt;CONCATENATE("Grp",O12),1,0)</f>
        <v>0</v>
      </c>
      <c r="S12" s="10"/>
      <c r="T12" s="28" t="n">
        <v>11</v>
      </c>
      <c r="U12" s="31" t="s">
        <v>70</v>
      </c>
      <c r="V12" s="30" t="s">
        <v>75</v>
      </c>
      <c r="W12" s="2" t="n">
        <f aca="false">IF(U12&lt;&gt;CONCATENATE("StGrp",T12),1,0)</f>
        <v>0</v>
      </c>
      <c r="Y12" s="28" t="n">
        <v>11</v>
      </c>
      <c r="Z12" s="31" t="s">
        <v>285</v>
      </c>
      <c r="AA12" s="30" t="s">
        <v>123</v>
      </c>
      <c r="AB12" s="2" t="n">
        <f aca="false">IF(Z12&lt;&gt;CONCATENATE("Mtx",Y12),1,0)</f>
        <v>0</v>
      </c>
      <c r="AC12" s="2"/>
      <c r="AD12" s="28" t="n">
        <v>11</v>
      </c>
      <c r="AE12" s="31" t="s">
        <v>286</v>
      </c>
      <c r="AF12" s="30" t="s">
        <v>123</v>
      </c>
      <c r="AG12" s="2" t="n">
        <f aca="false">IF(AE12&lt;&gt;CONCATENATE("StMtx",AD12),1,0)</f>
        <v>0</v>
      </c>
      <c r="AI12" s="28" t="n">
        <v>11</v>
      </c>
      <c r="AJ12" s="31" t="s">
        <v>287</v>
      </c>
      <c r="AK12" s="30" t="s">
        <v>109</v>
      </c>
      <c r="AL12" s="2" t="n">
        <f aca="false">IF(AJ12&lt;&gt;CONCATENATE("Fx",AI12),1,0)</f>
        <v>0</v>
      </c>
      <c r="AM12" s="2"/>
      <c r="AN12" s="28" t="n">
        <v>11</v>
      </c>
      <c r="AO12" s="31" t="s">
        <v>288</v>
      </c>
      <c r="AP12" s="30" t="s">
        <v>109</v>
      </c>
      <c r="AQ12" s="2" t="n">
        <f aca="false">IF(AO12&lt;&gt;CONCATENATE("StFx",AN12),1,0)</f>
        <v>0</v>
      </c>
      <c r="AR12" s="2"/>
      <c r="AS12" s="28" t="n">
        <v>11</v>
      </c>
      <c r="AT12" s="31" t="s">
        <v>289</v>
      </c>
      <c r="AU12" s="30" t="s">
        <v>104</v>
      </c>
    </row>
    <row r="13" customFormat="false" ht="13.8" hidden="false" customHeight="false" outlineLevel="0" collapsed="false">
      <c r="A13" s="28" t="n">
        <v>12</v>
      </c>
      <c r="B13" s="29" t="s">
        <v>290</v>
      </c>
      <c r="C13" s="30" t="s">
        <v>94</v>
      </c>
      <c r="E13" s="28" t="n">
        <v>12</v>
      </c>
      <c r="F13" s="31" t="s">
        <v>291</v>
      </c>
      <c r="G13" s="30" t="s">
        <v>109</v>
      </c>
      <c r="H13" s="2" t="n">
        <f aca="false">IF(F13&lt;&gt;CONCATENATE("Aux",E13),1,0)</f>
        <v>0</v>
      </c>
      <c r="J13" s="28" t="n">
        <v>12</v>
      </c>
      <c r="K13" s="31" t="s">
        <v>292</v>
      </c>
      <c r="L13" s="30" t="s">
        <v>109</v>
      </c>
      <c r="M13" s="2" t="n">
        <f aca="false">IF(K13&lt;&gt;CONCATENATE("STAux",J13),1,0)</f>
        <v>0</v>
      </c>
      <c r="N13" s="2"/>
      <c r="O13" s="28" t="n">
        <v>12</v>
      </c>
      <c r="P13" s="31" t="s">
        <v>59</v>
      </c>
      <c r="Q13" s="30" t="s">
        <v>75</v>
      </c>
      <c r="R13" s="10" t="n">
        <f aca="false">IF(P13&lt;&gt;CONCATENATE("Grp",O13),1,0)</f>
        <v>0</v>
      </c>
      <c r="S13" s="10"/>
      <c r="T13" s="28" t="n">
        <v>12</v>
      </c>
      <c r="U13" s="31" t="s">
        <v>71</v>
      </c>
      <c r="V13" s="30" t="s">
        <v>75</v>
      </c>
      <c r="W13" s="2" t="n">
        <f aca="false">IF(U13&lt;&gt;CONCATENATE("StGrp",T13),1,0)</f>
        <v>0</v>
      </c>
      <c r="Y13" s="28" t="n">
        <v>12</v>
      </c>
      <c r="Z13" s="31" t="s">
        <v>293</v>
      </c>
      <c r="AA13" s="30" t="s">
        <v>123</v>
      </c>
      <c r="AB13" s="2" t="n">
        <f aca="false">IF(Z13&lt;&gt;CONCATENATE("Mtx",Y13),1,0)</f>
        <v>0</v>
      </c>
      <c r="AC13" s="2"/>
      <c r="AD13" s="28" t="n">
        <v>12</v>
      </c>
      <c r="AE13" s="31" t="s">
        <v>294</v>
      </c>
      <c r="AF13" s="30" t="s">
        <v>123</v>
      </c>
      <c r="AG13" s="2" t="n">
        <f aca="false">IF(AE13&lt;&gt;CONCATENATE("StMtx",AD13),1,0)</f>
        <v>0</v>
      </c>
      <c r="AI13" s="28" t="n">
        <v>12</v>
      </c>
      <c r="AJ13" s="31" t="s">
        <v>295</v>
      </c>
      <c r="AK13" s="30" t="s">
        <v>109</v>
      </c>
      <c r="AL13" s="2" t="n">
        <f aca="false">IF(AJ13&lt;&gt;CONCATENATE("Fx",AI13),1,0)</f>
        <v>0</v>
      </c>
      <c r="AM13" s="2"/>
      <c r="AN13" s="28" t="n">
        <v>12</v>
      </c>
      <c r="AO13" s="31" t="s">
        <v>296</v>
      </c>
      <c r="AP13" s="30" t="s">
        <v>109</v>
      </c>
      <c r="AQ13" s="2" t="n">
        <f aca="false">IF(AO13&lt;&gt;CONCATENATE("StFx",AN13),1,0)</f>
        <v>0</v>
      </c>
      <c r="AR13" s="2"/>
      <c r="AS13" s="28" t="n">
        <v>12</v>
      </c>
      <c r="AT13" s="31" t="s">
        <v>297</v>
      </c>
      <c r="AU13" s="30" t="s">
        <v>104</v>
      </c>
    </row>
    <row r="14" customFormat="false" ht="13.8" hidden="false" customHeight="false" outlineLevel="0" collapsed="false">
      <c r="A14" s="28" t="n">
        <v>13</v>
      </c>
      <c r="B14" s="29" t="s">
        <v>298</v>
      </c>
      <c r="C14" s="30" t="s">
        <v>94</v>
      </c>
      <c r="E14" s="28" t="n">
        <v>13</v>
      </c>
      <c r="F14" s="31" t="s">
        <v>299</v>
      </c>
      <c r="G14" s="30" t="s">
        <v>109</v>
      </c>
      <c r="H14" s="2" t="n">
        <f aca="false">IF(F14&lt;&gt;CONCATENATE("Aux",E14),1,0)</f>
        <v>0</v>
      </c>
      <c r="J14" s="28" t="n">
        <v>13</v>
      </c>
      <c r="K14" s="31" t="s">
        <v>300</v>
      </c>
      <c r="L14" s="30" t="s">
        <v>109</v>
      </c>
      <c r="M14" s="2" t="n">
        <f aca="false">IF(K14&lt;&gt;CONCATENATE("STAux",J14),1,0)</f>
        <v>0</v>
      </c>
      <c r="N14" s="2"/>
      <c r="O14" s="28" t="n">
        <v>13</v>
      </c>
      <c r="P14" s="31" t="s">
        <v>301</v>
      </c>
      <c r="Q14" s="30" t="s">
        <v>75</v>
      </c>
      <c r="R14" s="10" t="n">
        <f aca="false">IF(P14&lt;&gt;CONCATENATE("Grp",O14),1,0)</f>
        <v>0</v>
      </c>
      <c r="S14" s="10"/>
      <c r="T14" s="28" t="n">
        <v>13</v>
      </c>
      <c r="U14" s="31" t="s">
        <v>302</v>
      </c>
      <c r="V14" s="30" t="s">
        <v>75</v>
      </c>
      <c r="W14" s="2" t="n">
        <f aca="false">IF(U14&lt;&gt;CONCATENATE("StGrp",T14),1,0)</f>
        <v>0</v>
      </c>
      <c r="Y14" s="28" t="n">
        <v>13</v>
      </c>
      <c r="Z14" s="31" t="s">
        <v>303</v>
      </c>
      <c r="AA14" s="30" t="s">
        <v>123</v>
      </c>
      <c r="AB14" s="2" t="n">
        <f aca="false">IF(Z14&lt;&gt;CONCATENATE("Mtx",Y14),1,0)</f>
        <v>0</v>
      </c>
      <c r="AC14" s="2"/>
      <c r="AD14" s="28" t="n">
        <v>13</v>
      </c>
      <c r="AE14" s="31" t="s">
        <v>304</v>
      </c>
      <c r="AF14" s="30" t="s">
        <v>123</v>
      </c>
      <c r="AG14" s="2" t="n">
        <f aca="false">IF(AE14&lt;&gt;CONCATENATE("StMtx",AD14),1,0)</f>
        <v>0</v>
      </c>
      <c r="AI14" s="28" t="n">
        <v>13</v>
      </c>
      <c r="AJ14" s="31" t="s">
        <v>305</v>
      </c>
      <c r="AK14" s="30" t="s">
        <v>109</v>
      </c>
      <c r="AL14" s="2" t="n">
        <f aca="false">IF(AJ14&lt;&gt;CONCATENATE("Fx",AI14),1,0)</f>
        <v>0</v>
      </c>
      <c r="AM14" s="2"/>
      <c r="AN14" s="28" t="n">
        <v>13</v>
      </c>
      <c r="AO14" s="31" t="s">
        <v>306</v>
      </c>
      <c r="AP14" s="30" t="s">
        <v>109</v>
      </c>
      <c r="AQ14" s="2" t="n">
        <f aca="false">IF(AO14&lt;&gt;CONCATENATE("StFx",AN14),1,0)</f>
        <v>0</v>
      </c>
      <c r="AR14" s="2"/>
      <c r="AS14" s="28" t="n">
        <v>13</v>
      </c>
      <c r="AT14" s="31" t="s">
        <v>307</v>
      </c>
      <c r="AU14" s="30" t="s">
        <v>104</v>
      </c>
    </row>
    <row r="15" customFormat="false" ht="13.8" hidden="false" customHeight="false" outlineLevel="0" collapsed="false">
      <c r="A15" s="28" t="n">
        <v>14</v>
      </c>
      <c r="B15" s="29" t="s">
        <v>308</v>
      </c>
      <c r="C15" s="30" t="s">
        <v>94</v>
      </c>
      <c r="E15" s="28" t="n">
        <v>14</v>
      </c>
      <c r="F15" s="31" t="s">
        <v>309</v>
      </c>
      <c r="G15" s="30" t="s">
        <v>109</v>
      </c>
      <c r="H15" s="2" t="n">
        <f aca="false">IF(F15&lt;&gt;CONCATENATE("Aux",E15),1,0)</f>
        <v>0</v>
      </c>
      <c r="J15" s="28" t="n">
        <v>14</v>
      </c>
      <c r="K15" s="31" t="s">
        <v>310</v>
      </c>
      <c r="L15" s="30" t="s">
        <v>109</v>
      </c>
      <c r="M15" s="2" t="n">
        <f aca="false">IF(K15&lt;&gt;CONCATENATE("STAux",J15),1,0)</f>
        <v>0</v>
      </c>
      <c r="N15" s="2"/>
      <c r="O15" s="28" t="n">
        <v>14</v>
      </c>
      <c r="P15" s="31" t="s">
        <v>311</v>
      </c>
      <c r="Q15" s="30" t="s">
        <v>75</v>
      </c>
      <c r="R15" s="10" t="n">
        <f aca="false">IF(P15&lt;&gt;CONCATENATE("Grp",O15),1,0)</f>
        <v>0</v>
      </c>
      <c r="S15" s="10"/>
      <c r="T15" s="28" t="n">
        <v>14</v>
      </c>
      <c r="U15" s="31" t="s">
        <v>312</v>
      </c>
      <c r="V15" s="30" t="s">
        <v>75</v>
      </c>
      <c r="W15" s="2" t="n">
        <f aca="false">IF(U15&lt;&gt;CONCATENATE("StGrp",T15),1,0)</f>
        <v>0</v>
      </c>
      <c r="Y15" s="28" t="n">
        <v>14</v>
      </c>
      <c r="Z15" s="31" t="s">
        <v>313</v>
      </c>
      <c r="AA15" s="30" t="s">
        <v>123</v>
      </c>
      <c r="AB15" s="2" t="n">
        <f aca="false">IF(Z15&lt;&gt;CONCATENATE("Mtx",Y15),1,0)</f>
        <v>0</v>
      </c>
      <c r="AC15" s="2"/>
      <c r="AD15" s="28" t="n">
        <v>14</v>
      </c>
      <c r="AE15" s="31" t="s">
        <v>314</v>
      </c>
      <c r="AF15" s="30" t="s">
        <v>123</v>
      </c>
      <c r="AG15" s="2" t="n">
        <f aca="false">IF(AE15&lt;&gt;CONCATENATE("StMtx",AD15),1,0)</f>
        <v>0</v>
      </c>
      <c r="AI15" s="28" t="n">
        <v>14</v>
      </c>
      <c r="AJ15" s="31" t="s">
        <v>315</v>
      </c>
      <c r="AK15" s="30" t="s">
        <v>109</v>
      </c>
      <c r="AL15" s="2" t="n">
        <f aca="false">IF(AJ15&lt;&gt;CONCATENATE("Fx",AI15),1,0)</f>
        <v>0</v>
      </c>
      <c r="AM15" s="2"/>
      <c r="AN15" s="28" t="n">
        <v>14</v>
      </c>
      <c r="AO15" s="31" t="s">
        <v>316</v>
      </c>
      <c r="AP15" s="30" t="s">
        <v>109</v>
      </c>
      <c r="AQ15" s="2" t="n">
        <f aca="false">IF(AO15&lt;&gt;CONCATENATE("StFx",AN15),1,0)</f>
        <v>0</v>
      </c>
      <c r="AR15" s="2"/>
      <c r="AS15" s="28" t="n">
        <v>14</v>
      </c>
      <c r="AT15" s="31" t="s">
        <v>317</v>
      </c>
      <c r="AU15" s="30" t="s">
        <v>104</v>
      </c>
    </row>
    <row r="16" customFormat="false" ht="13.8" hidden="false" customHeight="false" outlineLevel="0" collapsed="false">
      <c r="A16" s="28" t="n">
        <v>15</v>
      </c>
      <c r="B16" s="29" t="s">
        <v>318</v>
      </c>
      <c r="C16" s="30" t="s">
        <v>94</v>
      </c>
      <c r="E16" s="28" t="n">
        <v>15</v>
      </c>
      <c r="F16" s="31" t="s">
        <v>319</v>
      </c>
      <c r="G16" s="30" t="s">
        <v>109</v>
      </c>
      <c r="H16" s="2" t="n">
        <f aca="false">IF(F16&lt;&gt;CONCATENATE("Aux",E16),1,0)</f>
        <v>0</v>
      </c>
      <c r="J16" s="28" t="n">
        <v>15</v>
      </c>
      <c r="K16" s="31" t="s">
        <v>320</v>
      </c>
      <c r="L16" s="30" t="s">
        <v>109</v>
      </c>
      <c r="M16" s="2" t="n">
        <f aca="false">IF(K16&lt;&gt;CONCATENATE("STAux",J16),1,0)</f>
        <v>0</v>
      </c>
      <c r="N16" s="2"/>
      <c r="O16" s="28" t="n">
        <v>15</v>
      </c>
      <c r="P16" s="31" t="s">
        <v>321</v>
      </c>
      <c r="Q16" s="30" t="s">
        <v>75</v>
      </c>
      <c r="R16" s="10" t="n">
        <f aca="false">IF(P16&lt;&gt;CONCATENATE("Grp",O16),1,0)</f>
        <v>0</v>
      </c>
      <c r="S16" s="10"/>
      <c r="T16" s="28" t="n">
        <v>15</v>
      </c>
      <c r="U16" s="31" t="s">
        <v>322</v>
      </c>
      <c r="V16" s="30" t="s">
        <v>75</v>
      </c>
      <c r="W16" s="2" t="n">
        <f aca="false">IF(U16&lt;&gt;CONCATENATE("StGrp",T16),1,0)</f>
        <v>0</v>
      </c>
      <c r="Y16" s="28" t="n">
        <v>15</v>
      </c>
      <c r="Z16" s="31" t="s">
        <v>323</v>
      </c>
      <c r="AA16" s="30" t="s">
        <v>123</v>
      </c>
      <c r="AB16" s="2" t="n">
        <f aca="false">IF(Z16&lt;&gt;CONCATENATE("Mtx",Y16),1,0)</f>
        <v>0</v>
      </c>
      <c r="AC16" s="2"/>
      <c r="AD16" s="28" t="n">
        <v>15</v>
      </c>
      <c r="AE16" s="31" t="s">
        <v>324</v>
      </c>
      <c r="AF16" s="30" t="s">
        <v>123</v>
      </c>
      <c r="AG16" s="2" t="n">
        <f aca="false">IF(AE16&lt;&gt;CONCATENATE("StMtx",AD16),1,0)</f>
        <v>0</v>
      </c>
      <c r="AI16" s="28" t="n">
        <v>15</v>
      </c>
      <c r="AJ16" s="31" t="s">
        <v>325</v>
      </c>
      <c r="AK16" s="30" t="s">
        <v>109</v>
      </c>
      <c r="AL16" s="2" t="n">
        <f aca="false">IF(AJ16&lt;&gt;CONCATENATE("Fx",AI16),1,0)</f>
        <v>0</v>
      </c>
      <c r="AM16" s="2"/>
      <c r="AN16" s="28" t="n">
        <v>15</v>
      </c>
      <c r="AO16" s="31" t="s">
        <v>326</v>
      </c>
      <c r="AP16" s="30" t="s">
        <v>109</v>
      </c>
      <c r="AQ16" s="2" t="n">
        <f aca="false">IF(AO16&lt;&gt;CONCATENATE("StFx",AN16),1,0)</f>
        <v>0</v>
      </c>
      <c r="AR16" s="2"/>
      <c r="AS16" s="28" t="n">
        <v>15</v>
      </c>
      <c r="AT16" s="31" t="s">
        <v>327</v>
      </c>
      <c r="AU16" s="30" t="s">
        <v>104</v>
      </c>
    </row>
    <row r="17" customFormat="false" ht="13.8" hidden="false" customHeight="false" outlineLevel="0" collapsed="false">
      <c r="A17" s="28" t="n">
        <v>16</v>
      </c>
      <c r="B17" s="29" t="s">
        <v>328</v>
      </c>
      <c r="C17" s="30" t="s">
        <v>94</v>
      </c>
      <c r="E17" s="28" t="n">
        <v>16</v>
      </c>
      <c r="F17" s="31" t="s">
        <v>329</v>
      </c>
      <c r="G17" s="30" t="s">
        <v>109</v>
      </c>
      <c r="H17" s="2" t="n">
        <f aca="false">IF(F17&lt;&gt;CONCATENATE("Aux",E17),1,0)</f>
        <v>0</v>
      </c>
      <c r="J17" s="28" t="n">
        <v>16</v>
      </c>
      <c r="K17" s="31" t="s">
        <v>330</v>
      </c>
      <c r="L17" s="30" t="s">
        <v>109</v>
      </c>
      <c r="M17" s="2" t="n">
        <f aca="false">IF(K17&lt;&gt;CONCATENATE("STAux",J17),1,0)</f>
        <v>0</v>
      </c>
      <c r="N17" s="2"/>
      <c r="O17" s="28" t="n">
        <v>16</v>
      </c>
      <c r="P17" s="31" t="s">
        <v>331</v>
      </c>
      <c r="Q17" s="30" t="s">
        <v>75</v>
      </c>
      <c r="R17" s="10" t="n">
        <f aca="false">IF(P17&lt;&gt;CONCATENATE("Grp",O17),1,0)</f>
        <v>0</v>
      </c>
      <c r="S17" s="10"/>
      <c r="T17" s="28" t="n">
        <v>16</v>
      </c>
      <c r="U17" s="31" t="s">
        <v>332</v>
      </c>
      <c r="V17" s="30" t="s">
        <v>75</v>
      </c>
      <c r="W17" s="2" t="n">
        <f aca="false">IF(U17&lt;&gt;CONCATENATE("StGrp",T17),1,0)</f>
        <v>0</v>
      </c>
      <c r="Y17" s="28" t="n">
        <v>16</v>
      </c>
      <c r="Z17" s="31" t="s">
        <v>333</v>
      </c>
      <c r="AA17" s="30" t="s">
        <v>123</v>
      </c>
      <c r="AB17" s="2" t="n">
        <f aca="false">IF(Z17&lt;&gt;CONCATENATE("Mtx",Y17),1,0)</f>
        <v>0</v>
      </c>
      <c r="AC17" s="2"/>
      <c r="AD17" s="28" t="n">
        <v>16</v>
      </c>
      <c r="AE17" s="31" t="s">
        <v>334</v>
      </c>
      <c r="AF17" s="30" t="s">
        <v>123</v>
      </c>
      <c r="AG17" s="2" t="n">
        <f aca="false">IF(AE17&lt;&gt;CONCATENATE("StMtx",AD17),1,0)</f>
        <v>0</v>
      </c>
      <c r="AI17" s="28" t="n">
        <v>16</v>
      </c>
      <c r="AJ17" s="31" t="s">
        <v>335</v>
      </c>
      <c r="AK17" s="30" t="s">
        <v>109</v>
      </c>
      <c r="AL17" s="2" t="n">
        <f aca="false">IF(AJ17&lt;&gt;CONCATENATE("Fx",AI17),1,0)</f>
        <v>0</v>
      </c>
      <c r="AM17" s="2"/>
      <c r="AN17" s="28" t="n">
        <v>16</v>
      </c>
      <c r="AO17" s="31" t="s">
        <v>336</v>
      </c>
      <c r="AP17" s="30" t="s">
        <v>109</v>
      </c>
      <c r="AQ17" s="2" t="n">
        <f aca="false">IF(AO17&lt;&gt;CONCATENATE("StFx",AN17),1,0)</f>
        <v>0</v>
      </c>
      <c r="AR17" s="2"/>
      <c r="AS17" s="28" t="n">
        <v>16</v>
      </c>
      <c r="AT17" s="31" t="s">
        <v>337</v>
      </c>
      <c r="AU17" s="30" t="s">
        <v>104</v>
      </c>
    </row>
    <row r="18" customFormat="false" ht="13.8" hidden="false" customHeight="false" outlineLevel="0" collapsed="false">
      <c r="A18" s="28" t="n">
        <v>17</v>
      </c>
      <c r="B18" s="29" t="s">
        <v>338</v>
      </c>
      <c r="C18" s="30" t="s">
        <v>94</v>
      </c>
      <c r="E18" s="28" t="n">
        <v>17</v>
      </c>
      <c r="F18" s="31" t="s">
        <v>339</v>
      </c>
      <c r="G18" s="30" t="s">
        <v>109</v>
      </c>
      <c r="H18" s="2" t="n">
        <f aca="false">IF(F18&lt;&gt;CONCATENATE("Aux",E18),1,0)</f>
        <v>0</v>
      </c>
      <c r="J18" s="28" t="n">
        <v>17</v>
      </c>
      <c r="K18" s="31" t="s">
        <v>340</v>
      </c>
      <c r="L18" s="30" t="s">
        <v>109</v>
      </c>
      <c r="M18" s="2" t="n">
        <f aca="false">IF(K18&lt;&gt;CONCATENATE("STAux",J18),1,0)</f>
        <v>0</v>
      </c>
      <c r="N18" s="2"/>
      <c r="O18" s="28" t="n">
        <v>17</v>
      </c>
      <c r="P18" s="31" t="s">
        <v>341</v>
      </c>
      <c r="Q18" s="30" t="s">
        <v>75</v>
      </c>
      <c r="R18" s="10" t="n">
        <f aca="false">IF(P18&lt;&gt;CONCATENATE("Grp",O18),1,0)</f>
        <v>0</v>
      </c>
      <c r="S18" s="10"/>
      <c r="T18" s="28" t="n">
        <v>17</v>
      </c>
      <c r="U18" s="31" t="s">
        <v>342</v>
      </c>
      <c r="V18" s="30" t="s">
        <v>75</v>
      </c>
      <c r="W18" s="2" t="n">
        <f aca="false">IF(U18&lt;&gt;CONCATENATE("StGrp",T18),1,0)</f>
        <v>0</v>
      </c>
      <c r="Y18" s="28" t="n">
        <v>17</v>
      </c>
      <c r="Z18" s="31" t="s">
        <v>343</v>
      </c>
      <c r="AA18" s="30" t="s">
        <v>123</v>
      </c>
      <c r="AB18" s="2" t="n">
        <f aca="false">IF(Z18&lt;&gt;CONCATENATE("Mtx",Y18),1,0)</f>
        <v>0</v>
      </c>
      <c r="AC18" s="2"/>
      <c r="AD18" s="28" t="n">
        <v>17</v>
      </c>
      <c r="AE18" s="31" t="s">
        <v>344</v>
      </c>
      <c r="AF18" s="30" t="s">
        <v>123</v>
      </c>
      <c r="AG18" s="2" t="n">
        <f aca="false">IF(AE18&lt;&gt;CONCATENATE("StMtx",AD18),1,0)</f>
        <v>0</v>
      </c>
    </row>
    <row r="19" customFormat="false" ht="13.8" hidden="false" customHeight="false" outlineLevel="0" collapsed="false">
      <c r="A19" s="28" t="n">
        <v>18</v>
      </c>
      <c r="B19" s="29" t="s">
        <v>345</v>
      </c>
      <c r="C19" s="30" t="s">
        <v>94</v>
      </c>
      <c r="E19" s="28" t="n">
        <v>18</v>
      </c>
      <c r="F19" s="31" t="s">
        <v>346</v>
      </c>
      <c r="G19" s="30" t="s">
        <v>109</v>
      </c>
      <c r="H19" s="2" t="n">
        <f aca="false">IF(F19&lt;&gt;CONCATENATE("Aux",E19),1,0)</f>
        <v>0</v>
      </c>
      <c r="J19" s="28" t="n">
        <v>18</v>
      </c>
      <c r="K19" s="31" t="s">
        <v>347</v>
      </c>
      <c r="L19" s="30" t="s">
        <v>109</v>
      </c>
      <c r="M19" s="2" t="n">
        <f aca="false">IF(K19&lt;&gt;CONCATENATE("STAux",J19),1,0)</f>
        <v>0</v>
      </c>
      <c r="N19" s="2"/>
      <c r="O19" s="28" t="n">
        <v>18</v>
      </c>
      <c r="P19" s="31" t="s">
        <v>348</v>
      </c>
      <c r="Q19" s="30" t="s">
        <v>75</v>
      </c>
      <c r="R19" s="10" t="n">
        <f aca="false">IF(P19&lt;&gt;CONCATENATE("Grp",O19),1,0)</f>
        <v>0</v>
      </c>
      <c r="S19" s="10"/>
      <c r="T19" s="28" t="n">
        <v>18</v>
      </c>
      <c r="U19" s="31" t="s">
        <v>349</v>
      </c>
      <c r="V19" s="30" t="s">
        <v>75</v>
      </c>
      <c r="W19" s="2" t="n">
        <f aca="false">IF(U19&lt;&gt;CONCATENATE("StGrp",T19),1,0)</f>
        <v>0</v>
      </c>
      <c r="Y19" s="28" t="n">
        <v>18</v>
      </c>
      <c r="Z19" s="31" t="s">
        <v>350</v>
      </c>
      <c r="AA19" s="30" t="s">
        <v>123</v>
      </c>
      <c r="AB19" s="2" t="n">
        <f aca="false">IF(Z19&lt;&gt;CONCATENATE("Mtx",Y19),1,0)</f>
        <v>0</v>
      </c>
      <c r="AC19" s="2"/>
      <c r="AD19" s="28" t="n">
        <v>18</v>
      </c>
      <c r="AE19" s="31" t="s">
        <v>351</v>
      </c>
      <c r="AF19" s="30" t="s">
        <v>123</v>
      </c>
      <c r="AG19" s="2" t="n">
        <f aca="false">IF(AE19&lt;&gt;CONCATENATE("StMtx",AD19),1,0)</f>
        <v>0</v>
      </c>
    </row>
    <row r="20" customFormat="false" ht="13.8" hidden="false" customHeight="false" outlineLevel="0" collapsed="false">
      <c r="A20" s="28" t="n">
        <v>19</v>
      </c>
      <c r="B20" s="29" t="s">
        <v>352</v>
      </c>
      <c r="C20" s="30" t="s">
        <v>94</v>
      </c>
      <c r="E20" s="28" t="n">
        <v>19</v>
      </c>
      <c r="F20" s="31" t="s">
        <v>353</v>
      </c>
      <c r="G20" s="30" t="s">
        <v>109</v>
      </c>
      <c r="H20" s="2" t="n">
        <f aca="false">IF(F20&lt;&gt;CONCATENATE("Aux",E20),1,0)</f>
        <v>0</v>
      </c>
      <c r="J20" s="28" t="n">
        <v>19</v>
      </c>
      <c r="K20" s="31" t="s">
        <v>354</v>
      </c>
      <c r="L20" s="30" t="s">
        <v>109</v>
      </c>
      <c r="M20" s="2" t="n">
        <f aca="false">IF(K20&lt;&gt;CONCATENATE("STAux",J20),1,0)</f>
        <v>0</v>
      </c>
      <c r="N20" s="2"/>
      <c r="O20" s="28" t="n">
        <v>19</v>
      </c>
      <c r="P20" s="31" t="s">
        <v>355</v>
      </c>
      <c r="Q20" s="30" t="s">
        <v>75</v>
      </c>
      <c r="R20" s="10" t="n">
        <f aca="false">IF(P20&lt;&gt;CONCATENATE("Grp",O20),1,0)</f>
        <v>0</v>
      </c>
      <c r="S20" s="10"/>
      <c r="T20" s="28" t="n">
        <v>19</v>
      </c>
      <c r="U20" s="31" t="s">
        <v>356</v>
      </c>
      <c r="V20" s="30" t="s">
        <v>75</v>
      </c>
      <c r="W20" s="2" t="n">
        <f aca="false">IF(U20&lt;&gt;CONCATENATE("StGrp",T20),1,0)</f>
        <v>0</v>
      </c>
      <c r="Y20" s="28" t="n">
        <v>19</v>
      </c>
      <c r="Z20" s="31" t="s">
        <v>357</v>
      </c>
      <c r="AA20" s="30" t="s">
        <v>123</v>
      </c>
      <c r="AB20" s="2" t="n">
        <f aca="false">IF(Z20&lt;&gt;CONCATENATE("Mtx",Y20),1,0)</f>
        <v>0</v>
      </c>
      <c r="AC20" s="2"/>
      <c r="AD20" s="28" t="n">
        <v>19</v>
      </c>
      <c r="AE20" s="31" t="s">
        <v>358</v>
      </c>
      <c r="AF20" s="30" t="s">
        <v>123</v>
      </c>
      <c r="AG20" s="2" t="n">
        <f aca="false">IF(AE20&lt;&gt;CONCATENATE("StMtx",AD20),1,0)</f>
        <v>0</v>
      </c>
    </row>
    <row r="21" customFormat="false" ht="13.8" hidden="false" customHeight="false" outlineLevel="0" collapsed="false">
      <c r="A21" s="28" t="n">
        <v>20</v>
      </c>
      <c r="B21" s="29" t="s">
        <v>359</v>
      </c>
      <c r="C21" s="30" t="s">
        <v>94</v>
      </c>
      <c r="E21" s="28" t="n">
        <v>20</v>
      </c>
      <c r="F21" s="31" t="s">
        <v>360</v>
      </c>
      <c r="G21" s="30" t="s">
        <v>109</v>
      </c>
      <c r="H21" s="2" t="n">
        <f aca="false">IF(F21&lt;&gt;CONCATENATE("Aux",E21),1,0)</f>
        <v>0</v>
      </c>
      <c r="J21" s="28" t="n">
        <v>20</v>
      </c>
      <c r="K21" s="31" t="s">
        <v>361</v>
      </c>
      <c r="L21" s="30" t="s">
        <v>109</v>
      </c>
      <c r="M21" s="2" t="n">
        <f aca="false">IF(K21&lt;&gt;CONCATENATE("STAux",J21),1,0)</f>
        <v>0</v>
      </c>
      <c r="N21" s="2"/>
      <c r="O21" s="28" t="n">
        <v>20</v>
      </c>
      <c r="P21" s="31" t="s">
        <v>362</v>
      </c>
      <c r="Q21" s="30" t="s">
        <v>75</v>
      </c>
      <c r="R21" s="10" t="n">
        <f aca="false">IF(P21&lt;&gt;CONCATENATE("Grp",O21),1,0)</f>
        <v>0</v>
      </c>
      <c r="S21" s="10"/>
      <c r="T21" s="28" t="n">
        <v>20</v>
      </c>
      <c r="U21" s="31" t="s">
        <v>363</v>
      </c>
      <c r="V21" s="30" t="s">
        <v>75</v>
      </c>
      <c r="W21" s="2" t="n">
        <f aca="false">IF(U21&lt;&gt;CONCATENATE("StGrp",T21),1,0)</f>
        <v>0</v>
      </c>
      <c r="Y21" s="28" t="n">
        <v>20</v>
      </c>
      <c r="Z21" s="31" t="s">
        <v>364</v>
      </c>
      <c r="AA21" s="30" t="s">
        <v>123</v>
      </c>
      <c r="AB21" s="2" t="n">
        <f aca="false">IF(Z21&lt;&gt;CONCATENATE("Mtx",Y21),1,0)</f>
        <v>0</v>
      </c>
      <c r="AC21" s="2"/>
      <c r="AD21" s="28" t="n">
        <v>20</v>
      </c>
      <c r="AE21" s="31" t="s">
        <v>365</v>
      </c>
      <c r="AF21" s="30" t="s">
        <v>123</v>
      </c>
      <c r="AG21" s="2" t="n">
        <f aca="false">IF(AE21&lt;&gt;CONCATENATE("StMtx",AD21),1,0)</f>
        <v>0</v>
      </c>
    </row>
    <row r="22" customFormat="false" ht="13.8" hidden="false" customHeight="false" outlineLevel="0" collapsed="false">
      <c r="A22" s="28" t="n">
        <v>21</v>
      </c>
      <c r="B22" s="29" t="s">
        <v>366</v>
      </c>
      <c r="C22" s="30" t="s">
        <v>94</v>
      </c>
      <c r="E22" s="28" t="n">
        <v>21</v>
      </c>
      <c r="F22" s="31" t="s">
        <v>367</v>
      </c>
      <c r="G22" s="30" t="s">
        <v>109</v>
      </c>
      <c r="H22" s="2" t="n">
        <f aca="false">IF(F22&lt;&gt;CONCATENATE("Aux",E22),1,0)</f>
        <v>0</v>
      </c>
      <c r="J22" s="28" t="n">
        <v>21</v>
      </c>
      <c r="K22" s="31" t="s">
        <v>368</v>
      </c>
      <c r="L22" s="30" t="s">
        <v>109</v>
      </c>
      <c r="M22" s="2" t="n">
        <f aca="false">IF(K22&lt;&gt;CONCATENATE("STAux",J22),1,0)</f>
        <v>0</v>
      </c>
      <c r="N22" s="2"/>
      <c r="O22" s="28" t="n">
        <v>21</v>
      </c>
      <c r="P22" s="31" t="s">
        <v>369</v>
      </c>
      <c r="Q22" s="30" t="s">
        <v>75</v>
      </c>
      <c r="R22" s="10" t="n">
        <f aca="false">IF(P22&lt;&gt;CONCATENATE("Grp",O22),1,0)</f>
        <v>0</v>
      </c>
      <c r="S22" s="10"/>
      <c r="T22" s="28" t="n">
        <v>21</v>
      </c>
      <c r="U22" s="31" t="s">
        <v>370</v>
      </c>
      <c r="V22" s="30" t="s">
        <v>75</v>
      </c>
      <c r="W22" s="2" t="n">
        <f aca="false">IF(U22&lt;&gt;CONCATENATE("StGrp",T22),1,0)</f>
        <v>0</v>
      </c>
      <c r="Y22" s="28" t="n">
        <v>21</v>
      </c>
      <c r="Z22" s="31" t="s">
        <v>371</v>
      </c>
      <c r="AA22" s="30" t="s">
        <v>123</v>
      </c>
      <c r="AB22" s="2" t="n">
        <f aca="false">IF(Z22&lt;&gt;CONCATENATE("Mtx",Y22),1,0)</f>
        <v>0</v>
      </c>
      <c r="AC22" s="2"/>
      <c r="AD22" s="28" t="n">
        <v>21</v>
      </c>
      <c r="AE22" s="31" t="s">
        <v>372</v>
      </c>
      <c r="AF22" s="30" t="s">
        <v>123</v>
      </c>
      <c r="AG22" s="2" t="n">
        <f aca="false">IF(AE22&lt;&gt;CONCATENATE("StMtx",AD22),1,0)</f>
        <v>0</v>
      </c>
    </row>
    <row r="23" customFormat="false" ht="13.8" hidden="false" customHeight="false" outlineLevel="0" collapsed="false">
      <c r="A23" s="28" t="n">
        <v>22</v>
      </c>
      <c r="B23" s="29" t="s">
        <v>373</v>
      </c>
      <c r="C23" s="30" t="s">
        <v>94</v>
      </c>
      <c r="E23" s="28" t="n">
        <v>22</v>
      </c>
      <c r="F23" s="31" t="s">
        <v>374</v>
      </c>
      <c r="G23" s="30" t="s">
        <v>109</v>
      </c>
      <c r="H23" s="2" t="n">
        <f aca="false">IF(F23&lt;&gt;CONCATENATE("Aux",E23),1,0)</f>
        <v>0</v>
      </c>
      <c r="J23" s="28" t="n">
        <v>22</v>
      </c>
      <c r="K23" s="31" t="s">
        <v>375</v>
      </c>
      <c r="L23" s="30" t="s">
        <v>109</v>
      </c>
      <c r="M23" s="2" t="n">
        <f aca="false">IF(K23&lt;&gt;CONCATENATE("STAux",J23),1,0)</f>
        <v>0</v>
      </c>
      <c r="N23" s="2"/>
      <c r="O23" s="28" t="n">
        <v>22</v>
      </c>
      <c r="P23" s="31" t="s">
        <v>376</v>
      </c>
      <c r="Q23" s="30" t="s">
        <v>75</v>
      </c>
      <c r="R23" s="10" t="n">
        <f aca="false">IF(P23&lt;&gt;CONCATENATE("Grp",O23),1,0)</f>
        <v>0</v>
      </c>
      <c r="S23" s="10"/>
      <c r="T23" s="28" t="n">
        <v>22</v>
      </c>
      <c r="U23" s="31" t="s">
        <v>377</v>
      </c>
      <c r="V23" s="30" t="s">
        <v>75</v>
      </c>
      <c r="W23" s="2" t="n">
        <f aca="false">IF(U23&lt;&gt;CONCATENATE("StGrp",T23),1,0)</f>
        <v>0</v>
      </c>
      <c r="Y23" s="28" t="n">
        <v>22</v>
      </c>
      <c r="Z23" s="31" t="s">
        <v>378</v>
      </c>
      <c r="AA23" s="30" t="s">
        <v>123</v>
      </c>
      <c r="AB23" s="2" t="n">
        <f aca="false">IF(Z23&lt;&gt;CONCATENATE("Mtx",Y23),1,0)</f>
        <v>0</v>
      </c>
      <c r="AC23" s="2"/>
      <c r="AD23" s="28" t="n">
        <v>22</v>
      </c>
      <c r="AE23" s="31" t="s">
        <v>379</v>
      </c>
      <c r="AF23" s="30" t="s">
        <v>123</v>
      </c>
      <c r="AG23" s="2" t="n">
        <f aca="false">IF(AE23&lt;&gt;CONCATENATE("StMtx",AD23),1,0)</f>
        <v>0</v>
      </c>
    </row>
    <row r="24" customFormat="false" ht="13.8" hidden="false" customHeight="false" outlineLevel="0" collapsed="false">
      <c r="A24" s="28" t="n">
        <v>23</v>
      </c>
      <c r="B24" s="29" t="s">
        <v>380</v>
      </c>
      <c r="C24" s="30" t="s">
        <v>94</v>
      </c>
      <c r="E24" s="28" t="n">
        <v>23</v>
      </c>
      <c r="F24" s="31" t="s">
        <v>381</v>
      </c>
      <c r="G24" s="30" t="s">
        <v>109</v>
      </c>
      <c r="H24" s="2" t="n">
        <f aca="false">IF(F24&lt;&gt;CONCATENATE("Aux",E24),1,0)</f>
        <v>0</v>
      </c>
      <c r="J24" s="28" t="n">
        <v>23</v>
      </c>
      <c r="K24" s="31" t="s">
        <v>382</v>
      </c>
      <c r="L24" s="30" t="s">
        <v>109</v>
      </c>
      <c r="M24" s="2" t="n">
        <f aca="false">IF(K24&lt;&gt;CONCATENATE("STAux",J24),1,0)</f>
        <v>0</v>
      </c>
      <c r="N24" s="2"/>
      <c r="O24" s="28" t="n">
        <v>23</v>
      </c>
      <c r="P24" s="31" t="s">
        <v>383</v>
      </c>
      <c r="Q24" s="30" t="s">
        <v>75</v>
      </c>
      <c r="R24" s="10" t="n">
        <f aca="false">IF(P24&lt;&gt;CONCATENATE("Grp",O24),1,0)</f>
        <v>0</v>
      </c>
      <c r="S24" s="10"/>
      <c r="T24" s="28" t="n">
        <v>23</v>
      </c>
      <c r="U24" s="31" t="s">
        <v>384</v>
      </c>
      <c r="V24" s="30" t="s">
        <v>75</v>
      </c>
      <c r="W24" s="2" t="n">
        <f aca="false">IF(U24&lt;&gt;CONCATENATE("StGrp",T24),1,0)</f>
        <v>0</v>
      </c>
      <c r="Y24" s="28" t="n">
        <v>23</v>
      </c>
      <c r="Z24" s="31" t="s">
        <v>385</v>
      </c>
      <c r="AA24" s="30" t="s">
        <v>123</v>
      </c>
      <c r="AB24" s="2" t="n">
        <f aca="false">IF(Z24&lt;&gt;CONCATENATE("Mtx",Y24),1,0)</f>
        <v>0</v>
      </c>
      <c r="AC24" s="2"/>
      <c r="AD24" s="28" t="n">
        <v>23</v>
      </c>
      <c r="AE24" s="31" t="s">
        <v>386</v>
      </c>
      <c r="AF24" s="30" t="s">
        <v>123</v>
      </c>
      <c r="AG24" s="2" t="n">
        <f aca="false">IF(AE24&lt;&gt;CONCATENATE("StMtx",AD24),1,0)</f>
        <v>0</v>
      </c>
    </row>
    <row r="25" customFormat="false" ht="13.8" hidden="false" customHeight="false" outlineLevel="0" collapsed="false">
      <c r="A25" s="28" t="n">
        <v>24</v>
      </c>
      <c r="B25" s="29" t="s">
        <v>387</v>
      </c>
      <c r="C25" s="30" t="s">
        <v>94</v>
      </c>
      <c r="E25" s="28" t="n">
        <v>24</v>
      </c>
      <c r="F25" s="31" t="s">
        <v>388</v>
      </c>
      <c r="G25" s="30" t="s">
        <v>109</v>
      </c>
      <c r="H25" s="2" t="n">
        <f aca="false">IF(F25&lt;&gt;CONCATENATE("Aux",E25),1,0)</f>
        <v>0</v>
      </c>
      <c r="J25" s="28" t="n">
        <v>24</v>
      </c>
      <c r="K25" s="31" t="s">
        <v>389</v>
      </c>
      <c r="L25" s="30" t="s">
        <v>109</v>
      </c>
      <c r="M25" s="2" t="n">
        <f aca="false">IF(K25&lt;&gt;CONCATENATE("STAux",J25),1,0)</f>
        <v>0</v>
      </c>
      <c r="N25" s="2"/>
      <c r="O25" s="28" t="n">
        <v>24</v>
      </c>
      <c r="P25" s="31" t="s">
        <v>390</v>
      </c>
      <c r="Q25" s="30" t="s">
        <v>75</v>
      </c>
      <c r="R25" s="10" t="n">
        <f aca="false">IF(P25&lt;&gt;CONCATENATE("Grp",O25),1,0)</f>
        <v>0</v>
      </c>
      <c r="S25" s="10"/>
      <c r="T25" s="28" t="n">
        <v>24</v>
      </c>
      <c r="U25" s="31" t="s">
        <v>391</v>
      </c>
      <c r="V25" s="30" t="s">
        <v>75</v>
      </c>
      <c r="W25" s="2" t="n">
        <f aca="false">IF(U25&lt;&gt;CONCATENATE("StGrp",T25),1,0)</f>
        <v>0</v>
      </c>
      <c r="Y25" s="28" t="n">
        <v>24</v>
      </c>
      <c r="Z25" s="31" t="s">
        <v>392</v>
      </c>
      <c r="AA25" s="30" t="s">
        <v>123</v>
      </c>
      <c r="AB25" s="2" t="n">
        <f aca="false">IF(Z25&lt;&gt;CONCATENATE("Mtx",Y25),1,0)</f>
        <v>0</v>
      </c>
      <c r="AC25" s="2"/>
      <c r="AD25" s="28" t="n">
        <v>24</v>
      </c>
      <c r="AE25" s="31" t="s">
        <v>393</v>
      </c>
      <c r="AF25" s="30" t="s">
        <v>123</v>
      </c>
      <c r="AG25" s="2" t="n">
        <f aca="false">IF(AE25&lt;&gt;CONCATENATE("StMtx",AD25),1,0)</f>
        <v>0</v>
      </c>
    </row>
    <row r="26" customFormat="false" ht="13.8" hidden="false" customHeight="false" outlineLevel="0" collapsed="false">
      <c r="E26" s="28" t="n">
        <v>25</v>
      </c>
      <c r="F26" s="31" t="s">
        <v>394</v>
      </c>
      <c r="G26" s="30" t="s">
        <v>109</v>
      </c>
      <c r="H26" s="2" t="n">
        <f aca="false">IF(F26&lt;&gt;CONCATENATE("Aux",E26),1,0)</f>
        <v>0</v>
      </c>
      <c r="J26" s="28" t="n">
        <v>25</v>
      </c>
      <c r="K26" s="31" t="s">
        <v>395</v>
      </c>
      <c r="L26" s="30" t="s">
        <v>109</v>
      </c>
      <c r="M26" s="2" t="n">
        <f aca="false">IF(K26&lt;&gt;CONCATENATE("STAux",J26),1,0)</f>
        <v>0</v>
      </c>
      <c r="N26" s="2"/>
      <c r="O26" s="28" t="n">
        <v>25</v>
      </c>
      <c r="P26" s="31" t="s">
        <v>396</v>
      </c>
      <c r="Q26" s="30" t="s">
        <v>75</v>
      </c>
      <c r="R26" s="10" t="n">
        <f aca="false">IF(P26&lt;&gt;CONCATENATE("Grp",O26),1,0)</f>
        <v>0</v>
      </c>
      <c r="S26" s="10"/>
      <c r="T26" s="28" t="n">
        <v>25</v>
      </c>
      <c r="U26" s="31" t="s">
        <v>397</v>
      </c>
      <c r="V26" s="30" t="s">
        <v>75</v>
      </c>
      <c r="W26" s="2" t="n">
        <f aca="false">IF(U26&lt;&gt;CONCATENATE("StGrp",T26),1,0)</f>
        <v>0</v>
      </c>
      <c r="Y26" s="28" t="n">
        <v>25</v>
      </c>
      <c r="Z26" s="31" t="s">
        <v>398</v>
      </c>
      <c r="AA26" s="30" t="s">
        <v>123</v>
      </c>
      <c r="AB26" s="2" t="n">
        <f aca="false">IF(Z26&lt;&gt;CONCATENATE("Mtx",Y26),1,0)</f>
        <v>0</v>
      </c>
      <c r="AC26" s="2"/>
      <c r="AD26" s="28" t="n">
        <v>25</v>
      </c>
      <c r="AE26" s="31" t="s">
        <v>399</v>
      </c>
      <c r="AF26" s="30" t="s">
        <v>123</v>
      </c>
      <c r="AG26" s="2" t="n">
        <f aca="false">IF(AE26&lt;&gt;CONCATENATE("StMtx",AD26),1,0)</f>
        <v>0</v>
      </c>
    </row>
    <row r="27" customFormat="false" ht="13.8" hidden="false" customHeight="false" outlineLevel="0" collapsed="false">
      <c r="E27" s="28" t="n">
        <v>26</v>
      </c>
      <c r="F27" s="31" t="s">
        <v>400</v>
      </c>
      <c r="G27" s="30" t="s">
        <v>109</v>
      </c>
      <c r="H27" s="2" t="n">
        <f aca="false">IF(F27&lt;&gt;CONCATENATE("Aux",E27),1,0)</f>
        <v>0</v>
      </c>
      <c r="J27" s="28" t="n">
        <v>26</v>
      </c>
      <c r="K27" s="31" t="s">
        <v>401</v>
      </c>
      <c r="L27" s="30" t="s">
        <v>109</v>
      </c>
      <c r="M27" s="2" t="n">
        <f aca="false">IF(K27&lt;&gt;CONCATENATE("STAux",J27),1,0)</f>
        <v>0</v>
      </c>
      <c r="N27" s="2"/>
      <c r="O27" s="28" t="n">
        <v>26</v>
      </c>
      <c r="P27" s="31" t="s">
        <v>402</v>
      </c>
      <c r="Q27" s="30" t="s">
        <v>75</v>
      </c>
      <c r="R27" s="10" t="n">
        <f aca="false">IF(P27&lt;&gt;CONCATENATE("Grp",O27),1,0)</f>
        <v>0</v>
      </c>
      <c r="S27" s="10"/>
      <c r="T27" s="28" t="n">
        <v>26</v>
      </c>
      <c r="U27" s="31" t="s">
        <v>403</v>
      </c>
      <c r="V27" s="30" t="s">
        <v>75</v>
      </c>
      <c r="W27" s="2" t="n">
        <f aca="false">IF(U27&lt;&gt;CONCATENATE("StGrp",T27),1,0)</f>
        <v>0</v>
      </c>
      <c r="Y27" s="28" t="n">
        <v>26</v>
      </c>
      <c r="Z27" s="31" t="s">
        <v>404</v>
      </c>
      <c r="AA27" s="30" t="s">
        <v>123</v>
      </c>
      <c r="AB27" s="2" t="n">
        <f aca="false">IF(Z27&lt;&gt;CONCATENATE("Mtx",Y27),1,0)</f>
        <v>0</v>
      </c>
      <c r="AC27" s="2"/>
      <c r="AD27" s="28" t="n">
        <v>26</v>
      </c>
      <c r="AE27" s="31" t="s">
        <v>405</v>
      </c>
      <c r="AF27" s="30" t="s">
        <v>123</v>
      </c>
      <c r="AG27" s="2" t="n">
        <f aca="false">IF(AE27&lt;&gt;CONCATENATE("StMtx",AD27),1,0)</f>
        <v>0</v>
      </c>
    </row>
    <row r="28" customFormat="false" ht="13.8" hidden="false" customHeight="false" outlineLevel="0" collapsed="false">
      <c r="E28" s="28" t="n">
        <v>27</v>
      </c>
      <c r="F28" s="31" t="s">
        <v>406</v>
      </c>
      <c r="G28" s="30" t="s">
        <v>109</v>
      </c>
      <c r="H28" s="2" t="n">
        <f aca="false">IF(F28&lt;&gt;CONCATENATE("Aux",E28),1,0)</f>
        <v>0</v>
      </c>
      <c r="J28" s="28" t="n">
        <v>27</v>
      </c>
      <c r="K28" s="31" t="s">
        <v>407</v>
      </c>
      <c r="L28" s="30" t="s">
        <v>109</v>
      </c>
      <c r="M28" s="2" t="n">
        <f aca="false">IF(K28&lt;&gt;CONCATENATE("STAux",J28),1,0)</f>
        <v>0</v>
      </c>
      <c r="N28" s="2"/>
      <c r="O28" s="28" t="n">
        <v>27</v>
      </c>
      <c r="P28" s="31" t="s">
        <v>408</v>
      </c>
      <c r="Q28" s="30" t="s">
        <v>75</v>
      </c>
      <c r="R28" s="10" t="n">
        <f aca="false">IF(P28&lt;&gt;CONCATENATE("Grp",O28),1,0)</f>
        <v>0</v>
      </c>
      <c r="S28" s="10"/>
      <c r="T28" s="28" t="n">
        <v>27</v>
      </c>
      <c r="U28" s="31" t="s">
        <v>409</v>
      </c>
      <c r="V28" s="30" t="s">
        <v>75</v>
      </c>
      <c r="W28" s="2" t="n">
        <f aca="false">IF(U28&lt;&gt;CONCATENATE("StGrp",T28),1,0)</f>
        <v>0</v>
      </c>
      <c r="Y28" s="28" t="n">
        <v>27</v>
      </c>
      <c r="Z28" s="31" t="s">
        <v>410</v>
      </c>
      <c r="AA28" s="30" t="s">
        <v>123</v>
      </c>
      <c r="AB28" s="2" t="n">
        <f aca="false">IF(Z28&lt;&gt;CONCATENATE("Mtx",Y28),1,0)</f>
        <v>0</v>
      </c>
      <c r="AC28" s="2"/>
      <c r="AD28" s="28" t="n">
        <v>27</v>
      </c>
      <c r="AE28" s="31" t="s">
        <v>411</v>
      </c>
      <c r="AF28" s="30" t="s">
        <v>123</v>
      </c>
      <c r="AG28" s="2" t="n">
        <f aca="false">IF(AE28&lt;&gt;CONCATENATE("StMtx",AD28),1,0)</f>
        <v>0</v>
      </c>
    </row>
    <row r="29" customFormat="false" ht="13.8" hidden="false" customHeight="false" outlineLevel="0" collapsed="false">
      <c r="E29" s="28" t="n">
        <v>28</v>
      </c>
      <c r="F29" s="31" t="s">
        <v>412</v>
      </c>
      <c r="G29" s="30" t="s">
        <v>109</v>
      </c>
      <c r="H29" s="2" t="n">
        <f aca="false">IF(F29&lt;&gt;CONCATENATE("Aux",E29),1,0)</f>
        <v>0</v>
      </c>
      <c r="J29" s="28" t="n">
        <v>28</v>
      </c>
      <c r="K29" s="31" t="s">
        <v>413</v>
      </c>
      <c r="L29" s="30" t="s">
        <v>109</v>
      </c>
      <c r="M29" s="2" t="n">
        <f aca="false">IF(K29&lt;&gt;CONCATENATE("STAux",J29),1,0)</f>
        <v>0</v>
      </c>
      <c r="N29" s="2"/>
      <c r="O29" s="28" t="n">
        <v>28</v>
      </c>
      <c r="P29" s="31" t="s">
        <v>414</v>
      </c>
      <c r="Q29" s="30" t="s">
        <v>75</v>
      </c>
      <c r="R29" s="10" t="n">
        <f aca="false">IF(P29&lt;&gt;CONCATENATE("Grp",O29),1,0)</f>
        <v>0</v>
      </c>
      <c r="S29" s="10"/>
      <c r="T29" s="28" t="n">
        <v>28</v>
      </c>
      <c r="U29" s="31" t="s">
        <v>415</v>
      </c>
      <c r="V29" s="30" t="s">
        <v>75</v>
      </c>
      <c r="W29" s="2" t="n">
        <f aca="false">IF(U29&lt;&gt;CONCATENATE("StGrp",T29),1,0)</f>
        <v>0</v>
      </c>
      <c r="Y29" s="28" t="n">
        <v>28</v>
      </c>
      <c r="Z29" s="31" t="s">
        <v>416</v>
      </c>
      <c r="AA29" s="30" t="s">
        <v>123</v>
      </c>
      <c r="AB29" s="2" t="n">
        <f aca="false">IF(Z29&lt;&gt;CONCATENATE("Mtx",Y29),1,0)</f>
        <v>0</v>
      </c>
      <c r="AC29" s="2"/>
      <c r="AD29" s="28" t="n">
        <v>28</v>
      </c>
      <c r="AE29" s="31" t="s">
        <v>417</v>
      </c>
      <c r="AF29" s="30" t="s">
        <v>123</v>
      </c>
      <c r="AG29" s="2" t="n">
        <f aca="false">IF(AE29&lt;&gt;CONCATENATE("StMtx",AD29),1,0)</f>
        <v>0</v>
      </c>
    </row>
    <row r="30" customFormat="false" ht="13.8" hidden="false" customHeight="false" outlineLevel="0" collapsed="false">
      <c r="E30" s="28" t="n">
        <v>29</v>
      </c>
      <c r="F30" s="31" t="s">
        <v>418</v>
      </c>
      <c r="G30" s="30" t="s">
        <v>109</v>
      </c>
      <c r="H30" s="2" t="n">
        <f aca="false">IF(F30&lt;&gt;CONCATENATE("Aux",E30),1,0)</f>
        <v>0</v>
      </c>
      <c r="J30" s="28" t="n">
        <v>29</v>
      </c>
      <c r="K30" s="31" t="s">
        <v>419</v>
      </c>
      <c r="L30" s="30" t="s">
        <v>109</v>
      </c>
      <c r="M30" s="2" t="n">
        <f aca="false">IF(K30&lt;&gt;CONCATENATE("STAux",J30),1,0)</f>
        <v>0</v>
      </c>
      <c r="N30" s="2"/>
      <c r="O30" s="28" t="n">
        <v>29</v>
      </c>
      <c r="P30" s="31" t="s">
        <v>420</v>
      </c>
      <c r="Q30" s="30" t="s">
        <v>75</v>
      </c>
      <c r="R30" s="10" t="n">
        <f aca="false">IF(P30&lt;&gt;CONCATENATE("Grp",O30),1,0)</f>
        <v>0</v>
      </c>
      <c r="S30" s="10"/>
      <c r="T30" s="28" t="n">
        <v>29</v>
      </c>
      <c r="U30" s="31" t="s">
        <v>421</v>
      </c>
      <c r="V30" s="30" t="s">
        <v>75</v>
      </c>
      <c r="W30" s="2" t="n">
        <f aca="false">IF(U30&lt;&gt;CONCATENATE("StGrp",T30),1,0)</f>
        <v>0</v>
      </c>
      <c r="Y30" s="28" t="n">
        <v>29</v>
      </c>
      <c r="Z30" s="31" t="s">
        <v>422</v>
      </c>
      <c r="AA30" s="30" t="s">
        <v>123</v>
      </c>
      <c r="AB30" s="2" t="n">
        <f aca="false">IF(Z30&lt;&gt;CONCATENATE("Mtx",Y30),1,0)</f>
        <v>0</v>
      </c>
      <c r="AC30" s="2"/>
      <c r="AD30" s="28" t="n">
        <v>29</v>
      </c>
      <c r="AE30" s="31" t="s">
        <v>423</v>
      </c>
      <c r="AF30" s="30" t="s">
        <v>123</v>
      </c>
      <c r="AG30" s="2" t="n">
        <f aca="false">IF(AE30&lt;&gt;CONCATENATE("StMtx",AD30),1,0)</f>
        <v>0</v>
      </c>
    </row>
    <row r="31" customFormat="false" ht="13.8" hidden="false" customHeight="false" outlineLevel="0" collapsed="false">
      <c r="E31" s="28" t="n">
        <v>30</v>
      </c>
      <c r="F31" s="31" t="s">
        <v>424</v>
      </c>
      <c r="G31" s="30" t="s">
        <v>109</v>
      </c>
      <c r="H31" s="2" t="n">
        <f aca="false">IF(F31&lt;&gt;CONCATENATE("Aux",E31),1,0)</f>
        <v>0</v>
      </c>
      <c r="J31" s="28" t="n">
        <v>30</v>
      </c>
      <c r="K31" s="31" t="s">
        <v>425</v>
      </c>
      <c r="L31" s="30" t="s">
        <v>109</v>
      </c>
      <c r="M31" s="2" t="n">
        <f aca="false">IF(K31&lt;&gt;CONCATENATE("STAux",J31),1,0)</f>
        <v>0</v>
      </c>
      <c r="N31" s="2"/>
      <c r="O31" s="28" t="n">
        <v>30</v>
      </c>
      <c r="P31" s="31" t="s">
        <v>426</v>
      </c>
      <c r="Q31" s="30" t="s">
        <v>75</v>
      </c>
      <c r="R31" s="10" t="n">
        <f aca="false">IF(P31&lt;&gt;CONCATENATE("Grp",O31),1,0)</f>
        <v>0</v>
      </c>
      <c r="S31" s="10"/>
      <c r="T31" s="28" t="n">
        <v>30</v>
      </c>
      <c r="U31" s="31" t="s">
        <v>427</v>
      </c>
      <c r="V31" s="30" t="s">
        <v>75</v>
      </c>
      <c r="W31" s="2" t="n">
        <f aca="false">IF(U31&lt;&gt;CONCATENATE("StGrp",T31),1,0)</f>
        <v>0</v>
      </c>
      <c r="Y31" s="28" t="n">
        <v>30</v>
      </c>
      <c r="Z31" s="31" t="s">
        <v>428</v>
      </c>
      <c r="AA31" s="30" t="s">
        <v>123</v>
      </c>
      <c r="AB31" s="2" t="n">
        <f aca="false">IF(Z31&lt;&gt;CONCATENATE("Mtx",Y31),1,0)</f>
        <v>0</v>
      </c>
      <c r="AC31" s="2"/>
      <c r="AD31" s="28" t="n">
        <v>30</v>
      </c>
      <c r="AE31" s="31" t="s">
        <v>429</v>
      </c>
      <c r="AF31" s="30" t="s">
        <v>123</v>
      </c>
      <c r="AG31" s="2" t="n">
        <f aca="false">IF(AE31&lt;&gt;CONCATENATE("StMtx",AD31),1,0)</f>
        <v>0</v>
      </c>
    </row>
    <row r="32" customFormat="false" ht="13.8" hidden="false" customHeight="false" outlineLevel="0" collapsed="false">
      <c r="E32" s="28" t="n">
        <v>31</v>
      </c>
      <c r="F32" s="31" t="s">
        <v>430</v>
      </c>
      <c r="G32" s="30" t="s">
        <v>109</v>
      </c>
      <c r="H32" s="2" t="n">
        <f aca="false">IF(F32&lt;&gt;CONCATENATE("Aux",E32),1,0)</f>
        <v>0</v>
      </c>
      <c r="J32" s="28" t="n">
        <v>31</v>
      </c>
      <c r="K32" s="31" t="s">
        <v>431</v>
      </c>
      <c r="L32" s="30" t="s">
        <v>109</v>
      </c>
      <c r="M32" s="2" t="n">
        <f aca="false">IF(K32&lt;&gt;CONCATENATE("STAux",J32),1,0)</f>
        <v>0</v>
      </c>
      <c r="N32" s="2"/>
      <c r="O32" s="28" t="n">
        <v>31</v>
      </c>
      <c r="P32" s="31" t="s">
        <v>432</v>
      </c>
      <c r="Q32" s="30" t="s">
        <v>75</v>
      </c>
      <c r="R32" s="10" t="n">
        <f aca="false">IF(P32&lt;&gt;CONCATENATE("Grp",O32),1,0)</f>
        <v>0</v>
      </c>
      <c r="S32" s="10"/>
      <c r="T32" s="28" t="n">
        <v>31</v>
      </c>
      <c r="U32" s="31" t="s">
        <v>433</v>
      </c>
      <c r="V32" s="30" t="s">
        <v>75</v>
      </c>
      <c r="W32" s="2" t="n">
        <f aca="false">IF(U32&lt;&gt;CONCATENATE("StGrp",T32),1,0)</f>
        <v>0</v>
      </c>
      <c r="Y32" s="28" t="n">
        <v>31</v>
      </c>
      <c r="Z32" s="31" t="s">
        <v>434</v>
      </c>
      <c r="AA32" s="30" t="s">
        <v>123</v>
      </c>
      <c r="AB32" s="2" t="n">
        <f aca="false">IF(Z32&lt;&gt;CONCATENATE("Mtx",Y32),1,0)</f>
        <v>0</v>
      </c>
      <c r="AC32" s="2"/>
      <c r="AD32" s="28" t="n">
        <v>31</v>
      </c>
      <c r="AE32" s="31" t="s">
        <v>435</v>
      </c>
      <c r="AF32" s="30" t="s">
        <v>123</v>
      </c>
      <c r="AG32" s="2" t="n">
        <f aca="false">IF(AE32&lt;&gt;CONCATENATE("StMtx",AD32),1,0)</f>
        <v>0</v>
      </c>
    </row>
    <row r="33" customFormat="false" ht="13.8" hidden="false" customHeight="false" outlineLevel="0" collapsed="false">
      <c r="E33" s="28" t="n">
        <v>32</v>
      </c>
      <c r="F33" s="31" t="s">
        <v>436</v>
      </c>
      <c r="G33" s="30" t="s">
        <v>109</v>
      </c>
      <c r="H33" s="2" t="n">
        <f aca="false">IF(F33&lt;&gt;CONCATENATE("Aux",E33),1,0)</f>
        <v>0</v>
      </c>
      <c r="L33" s="32"/>
      <c r="O33" s="28" t="n">
        <v>32</v>
      </c>
      <c r="P33" s="31" t="s">
        <v>437</v>
      </c>
      <c r="Q33" s="30" t="s">
        <v>75</v>
      </c>
      <c r="R33" s="10" t="n">
        <f aca="false">IF(P33&lt;&gt;CONCATENATE("Grp",O33),1,0)</f>
        <v>0</v>
      </c>
      <c r="S33" s="10"/>
      <c r="V33" s="32"/>
      <c r="Y33" s="28" t="n">
        <v>32</v>
      </c>
      <c r="Z33" s="31" t="s">
        <v>438</v>
      </c>
      <c r="AA33" s="30" t="s">
        <v>123</v>
      </c>
      <c r="AB33" s="2" t="n">
        <f aca="false">IF(Z33&lt;&gt;CONCATENATE("Mtx",Y33),1,0)</f>
        <v>0</v>
      </c>
      <c r="AC33" s="2"/>
      <c r="AJ33" s="33"/>
    </row>
    <row r="34" customFormat="false" ht="13.8" hidden="false" customHeight="false" outlineLevel="0" collapsed="false">
      <c r="E34" s="28" t="n">
        <v>33</v>
      </c>
      <c r="F34" s="31" t="s">
        <v>439</v>
      </c>
      <c r="G34" s="30" t="s">
        <v>109</v>
      </c>
      <c r="H34" s="2" t="n">
        <f aca="false">IF(F34&lt;&gt;CONCATENATE("Aux",E34),1,0)</f>
        <v>0</v>
      </c>
      <c r="O34" s="28" t="n">
        <v>33</v>
      </c>
      <c r="P34" s="31" t="s">
        <v>440</v>
      </c>
      <c r="Q34" s="30" t="s">
        <v>75</v>
      </c>
      <c r="R34" s="10" t="n">
        <f aca="false">IF(P34&lt;&gt;CONCATENATE("Grp",O34),1,0)</f>
        <v>0</v>
      </c>
      <c r="S34" s="10"/>
      <c r="Y34" s="28" t="n">
        <v>33</v>
      </c>
      <c r="Z34" s="31" t="s">
        <v>441</v>
      </c>
      <c r="AA34" s="30" t="s">
        <v>123</v>
      </c>
      <c r="AB34" s="2" t="n">
        <f aca="false">IF(Z34&lt;&gt;CONCATENATE("Mtx",Y34),1,0)</f>
        <v>0</v>
      </c>
      <c r="AC34" s="2"/>
      <c r="AJ34" s="32"/>
    </row>
    <row r="35" customFormat="false" ht="13.8" hidden="false" customHeight="false" outlineLevel="0" collapsed="false">
      <c r="E35" s="28" t="n">
        <v>34</v>
      </c>
      <c r="F35" s="31" t="s">
        <v>442</v>
      </c>
      <c r="G35" s="30" t="s">
        <v>109</v>
      </c>
      <c r="H35" s="2" t="n">
        <f aca="false">IF(F35&lt;&gt;CONCATENATE("Aux",E35),1,0)</f>
        <v>0</v>
      </c>
      <c r="O35" s="28" t="n">
        <v>34</v>
      </c>
      <c r="P35" s="31" t="s">
        <v>443</v>
      </c>
      <c r="Q35" s="30" t="s">
        <v>75</v>
      </c>
      <c r="R35" s="10" t="n">
        <f aca="false">IF(P35&lt;&gt;CONCATENATE("Grp",O35),1,0)</f>
        <v>0</v>
      </c>
      <c r="S35" s="10"/>
      <c r="Y35" s="28" t="n">
        <v>34</v>
      </c>
      <c r="Z35" s="31" t="s">
        <v>444</v>
      </c>
      <c r="AA35" s="30" t="s">
        <v>123</v>
      </c>
      <c r="AB35" s="2" t="n">
        <f aca="false">IF(Z35&lt;&gt;CONCATENATE("Mtx",Y35),1,0)</f>
        <v>0</v>
      </c>
      <c r="AC35" s="2"/>
      <c r="AJ35" s="33"/>
    </row>
    <row r="36" customFormat="false" ht="13.8" hidden="false" customHeight="false" outlineLevel="0" collapsed="false">
      <c r="E36" s="28" t="n">
        <v>35</v>
      </c>
      <c r="F36" s="31" t="s">
        <v>445</v>
      </c>
      <c r="G36" s="30" t="s">
        <v>109</v>
      </c>
      <c r="H36" s="2" t="n">
        <f aca="false">IF(F36&lt;&gt;CONCATENATE("Aux",E36),1,0)</f>
        <v>0</v>
      </c>
      <c r="O36" s="28" t="n">
        <v>35</v>
      </c>
      <c r="P36" s="31" t="s">
        <v>446</v>
      </c>
      <c r="Q36" s="30" t="s">
        <v>75</v>
      </c>
      <c r="R36" s="10" t="n">
        <f aca="false">IF(P36&lt;&gt;CONCATENATE("Grp",O36),1,0)</f>
        <v>0</v>
      </c>
      <c r="S36" s="10"/>
      <c r="Y36" s="28" t="n">
        <v>35</v>
      </c>
      <c r="Z36" s="31" t="s">
        <v>447</v>
      </c>
      <c r="AA36" s="30" t="s">
        <v>123</v>
      </c>
      <c r="AB36" s="2" t="n">
        <f aca="false">IF(Z36&lt;&gt;CONCATENATE("Mtx",Y36),1,0)</f>
        <v>0</v>
      </c>
      <c r="AC36" s="2"/>
    </row>
    <row r="37" customFormat="false" ht="13.8" hidden="false" customHeight="false" outlineLevel="0" collapsed="false">
      <c r="E37" s="28" t="n">
        <v>36</v>
      </c>
      <c r="F37" s="31" t="s">
        <v>448</v>
      </c>
      <c r="G37" s="30" t="s">
        <v>109</v>
      </c>
      <c r="H37" s="2" t="n">
        <f aca="false">IF(F37&lt;&gt;CONCATENATE("Aux",E37),1,0)</f>
        <v>0</v>
      </c>
      <c r="O37" s="28" t="n">
        <v>36</v>
      </c>
      <c r="P37" s="31" t="s">
        <v>449</v>
      </c>
      <c r="Q37" s="30" t="s">
        <v>75</v>
      </c>
      <c r="R37" s="10" t="n">
        <f aca="false">IF(P37&lt;&gt;CONCATENATE("Grp",O37),1,0)</f>
        <v>0</v>
      </c>
      <c r="S37" s="10"/>
      <c r="Y37" s="28" t="n">
        <v>36</v>
      </c>
      <c r="Z37" s="31" t="s">
        <v>450</v>
      </c>
      <c r="AA37" s="30" t="s">
        <v>123</v>
      </c>
      <c r="AB37" s="2" t="n">
        <f aca="false">IF(Z37&lt;&gt;CONCATENATE("Mtx",Y37),1,0)</f>
        <v>0</v>
      </c>
      <c r="AC37" s="2"/>
    </row>
    <row r="38" customFormat="false" ht="13.8" hidden="false" customHeight="false" outlineLevel="0" collapsed="false">
      <c r="E38" s="28" t="n">
        <v>37</v>
      </c>
      <c r="F38" s="31" t="s">
        <v>451</v>
      </c>
      <c r="G38" s="30" t="s">
        <v>109</v>
      </c>
      <c r="H38" s="2" t="n">
        <f aca="false">IF(F38&lt;&gt;CONCATENATE("Aux",E38),1,0)</f>
        <v>0</v>
      </c>
      <c r="O38" s="28" t="n">
        <v>37</v>
      </c>
      <c r="P38" s="31" t="s">
        <v>452</v>
      </c>
      <c r="Q38" s="30" t="s">
        <v>75</v>
      </c>
      <c r="R38" s="10" t="n">
        <f aca="false">IF(P38&lt;&gt;CONCATENATE("Grp",O38),1,0)</f>
        <v>0</v>
      </c>
      <c r="S38" s="10"/>
      <c r="Y38" s="28" t="n">
        <v>37</v>
      </c>
      <c r="Z38" s="31" t="s">
        <v>453</v>
      </c>
      <c r="AA38" s="30" t="s">
        <v>123</v>
      </c>
      <c r="AB38" s="2" t="n">
        <f aca="false">IF(Z38&lt;&gt;CONCATENATE("Mtx",Y38),1,0)</f>
        <v>0</v>
      </c>
      <c r="AC38" s="2"/>
    </row>
    <row r="39" customFormat="false" ht="13.8" hidden="false" customHeight="false" outlineLevel="0" collapsed="false">
      <c r="E39" s="28" t="n">
        <v>38</v>
      </c>
      <c r="F39" s="31" t="s">
        <v>454</v>
      </c>
      <c r="G39" s="30" t="s">
        <v>109</v>
      </c>
      <c r="H39" s="2" t="n">
        <f aca="false">IF(F39&lt;&gt;CONCATENATE("Aux",E39),1,0)</f>
        <v>0</v>
      </c>
      <c r="O39" s="28" t="n">
        <v>38</v>
      </c>
      <c r="P39" s="31" t="s">
        <v>455</v>
      </c>
      <c r="Q39" s="30" t="s">
        <v>75</v>
      </c>
      <c r="R39" s="10" t="n">
        <f aca="false">IF(P39&lt;&gt;CONCATENATE("Grp",O39),1,0)</f>
        <v>0</v>
      </c>
      <c r="S39" s="10"/>
      <c r="Y39" s="28" t="n">
        <v>38</v>
      </c>
      <c r="Z39" s="31" t="s">
        <v>456</v>
      </c>
      <c r="AA39" s="30" t="s">
        <v>123</v>
      </c>
      <c r="AB39" s="2" t="n">
        <f aca="false">IF(Z39&lt;&gt;CONCATENATE("Mtx",Y39),1,0)</f>
        <v>0</v>
      </c>
      <c r="AC39" s="2"/>
    </row>
    <row r="40" customFormat="false" ht="13.8" hidden="false" customHeight="false" outlineLevel="0" collapsed="false">
      <c r="E40" s="28" t="n">
        <v>39</v>
      </c>
      <c r="F40" s="31" t="s">
        <v>457</v>
      </c>
      <c r="G40" s="30" t="s">
        <v>109</v>
      </c>
      <c r="H40" s="2" t="n">
        <f aca="false">IF(F40&lt;&gt;CONCATENATE("Aux",E40),1,0)</f>
        <v>0</v>
      </c>
      <c r="O40" s="28" t="n">
        <v>39</v>
      </c>
      <c r="P40" s="31" t="s">
        <v>458</v>
      </c>
      <c r="Q40" s="30" t="s">
        <v>75</v>
      </c>
      <c r="R40" s="10" t="n">
        <f aca="false">IF(P40&lt;&gt;CONCATENATE("Grp",O40),1,0)</f>
        <v>0</v>
      </c>
      <c r="S40" s="10"/>
      <c r="Y40" s="28" t="n">
        <v>39</v>
      </c>
      <c r="Z40" s="31" t="s">
        <v>459</v>
      </c>
      <c r="AA40" s="30" t="s">
        <v>123</v>
      </c>
      <c r="AB40" s="2" t="n">
        <f aca="false">IF(Z40&lt;&gt;CONCATENATE("Mtx",Y40),1,0)</f>
        <v>0</v>
      </c>
      <c r="AC40" s="2"/>
    </row>
    <row r="41" customFormat="false" ht="13.8" hidden="false" customHeight="false" outlineLevel="0" collapsed="false">
      <c r="E41" s="28" t="n">
        <v>40</v>
      </c>
      <c r="F41" s="31" t="s">
        <v>460</v>
      </c>
      <c r="G41" s="30" t="s">
        <v>109</v>
      </c>
      <c r="H41" s="2" t="n">
        <f aca="false">IF(F41&lt;&gt;CONCATENATE("Aux",E41),1,0)</f>
        <v>0</v>
      </c>
      <c r="O41" s="28" t="n">
        <v>40</v>
      </c>
      <c r="P41" s="31" t="s">
        <v>461</v>
      </c>
      <c r="Q41" s="30" t="s">
        <v>75</v>
      </c>
      <c r="R41" s="10" t="n">
        <f aca="false">IF(P41&lt;&gt;CONCATENATE("Grp",O41),1,0)</f>
        <v>0</v>
      </c>
      <c r="S41" s="10"/>
      <c r="Y41" s="28" t="n">
        <v>40</v>
      </c>
      <c r="Z41" s="31" t="s">
        <v>462</v>
      </c>
      <c r="AA41" s="30" t="s">
        <v>123</v>
      </c>
      <c r="AB41" s="2" t="n">
        <f aca="false">IF(Z41&lt;&gt;CONCATENATE("Mtx",Y41),1,0)</f>
        <v>0</v>
      </c>
      <c r="AC41" s="2"/>
    </row>
    <row r="42" customFormat="false" ht="13.8" hidden="false" customHeight="false" outlineLevel="0" collapsed="false">
      <c r="E42" s="28" t="n">
        <v>41</v>
      </c>
      <c r="F42" s="31" t="s">
        <v>463</v>
      </c>
      <c r="G42" s="30" t="s">
        <v>109</v>
      </c>
      <c r="H42" s="2" t="n">
        <f aca="false">IF(F42&lt;&gt;CONCATENATE("Aux",E42),1,0)</f>
        <v>0</v>
      </c>
      <c r="O42" s="28" t="n">
        <v>41</v>
      </c>
      <c r="P42" s="31" t="s">
        <v>464</v>
      </c>
      <c r="Q42" s="30" t="s">
        <v>75</v>
      </c>
      <c r="R42" s="10" t="n">
        <f aca="false">IF(P42&lt;&gt;CONCATENATE("Grp",O42),1,0)</f>
        <v>0</v>
      </c>
      <c r="S42" s="10"/>
      <c r="Y42" s="28" t="n">
        <v>41</v>
      </c>
      <c r="Z42" s="31" t="s">
        <v>465</v>
      </c>
      <c r="AA42" s="30" t="s">
        <v>123</v>
      </c>
      <c r="AB42" s="2" t="n">
        <f aca="false">IF(Z42&lt;&gt;CONCATENATE("Mtx",Y42),1,0)</f>
        <v>0</v>
      </c>
      <c r="AC42" s="2"/>
    </row>
    <row r="43" customFormat="false" ht="13.8" hidden="false" customHeight="false" outlineLevel="0" collapsed="false">
      <c r="E43" s="28" t="n">
        <v>42</v>
      </c>
      <c r="F43" s="31" t="s">
        <v>466</v>
      </c>
      <c r="G43" s="30" t="s">
        <v>109</v>
      </c>
      <c r="H43" s="2" t="n">
        <f aca="false">IF(F43&lt;&gt;CONCATENATE("Aux",E43),1,0)</f>
        <v>0</v>
      </c>
      <c r="O43" s="28" t="n">
        <v>42</v>
      </c>
      <c r="P43" s="31" t="s">
        <v>467</v>
      </c>
      <c r="Q43" s="30" t="s">
        <v>75</v>
      </c>
      <c r="R43" s="10" t="n">
        <f aca="false">IF(P43&lt;&gt;CONCATENATE("Grp",O43),1,0)</f>
        <v>0</v>
      </c>
      <c r="S43" s="10"/>
      <c r="Y43" s="28" t="n">
        <v>42</v>
      </c>
      <c r="Z43" s="31" t="s">
        <v>468</v>
      </c>
      <c r="AA43" s="30" t="s">
        <v>123</v>
      </c>
      <c r="AB43" s="2" t="n">
        <f aca="false">IF(Z43&lt;&gt;CONCATENATE("Mtx",Y43),1,0)</f>
        <v>0</v>
      </c>
      <c r="AC43" s="2"/>
    </row>
    <row r="44" customFormat="false" ht="13.8" hidden="false" customHeight="false" outlineLevel="0" collapsed="false">
      <c r="E44" s="28" t="n">
        <v>43</v>
      </c>
      <c r="F44" s="31" t="s">
        <v>469</v>
      </c>
      <c r="G44" s="30" t="s">
        <v>109</v>
      </c>
      <c r="H44" s="2" t="n">
        <f aca="false">IF(F44&lt;&gt;CONCATENATE("Aux",E44),1,0)</f>
        <v>0</v>
      </c>
      <c r="O44" s="28" t="n">
        <v>43</v>
      </c>
      <c r="P44" s="31" t="s">
        <v>470</v>
      </c>
      <c r="Q44" s="30" t="s">
        <v>75</v>
      </c>
      <c r="R44" s="10" t="n">
        <f aca="false">IF(P44&lt;&gt;CONCATENATE("Grp",O44),1,0)</f>
        <v>0</v>
      </c>
      <c r="S44" s="10"/>
      <c r="Y44" s="28" t="n">
        <v>43</v>
      </c>
      <c r="Z44" s="31" t="s">
        <v>471</v>
      </c>
      <c r="AA44" s="30" t="s">
        <v>123</v>
      </c>
      <c r="AB44" s="2" t="n">
        <f aca="false">IF(Z44&lt;&gt;CONCATENATE("Mtx",Y44),1,0)</f>
        <v>0</v>
      </c>
      <c r="AC44" s="2"/>
    </row>
    <row r="45" customFormat="false" ht="13.8" hidden="false" customHeight="false" outlineLevel="0" collapsed="false">
      <c r="E45" s="28" t="n">
        <v>44</v>
      </c>
      <c r="F45" s="31" t="s">
        <v>472</v>
      </c>
      <c r="G45" s="30" t="s">
        <v>109</v>
      </c>
      <c r="H45" s="2" t="n">
        <f aca="false">IF(F45&lt;&gt;CONCATENATE("Aux",E45),1,0)</f>
        <v>0</v>
      </c>
      <c r="O45" s="28" t="n">
        <v>44</v>
      </c>
      <c r="P45" s="31" t="s">
        <v>473</v>
      </c>
      <c r="Q45" s="30" t="s">
        <v>75</v>
      </c>
      <c r="R45" s="10" t="n">
        <f aca="false">IF(P45&lt;&gt;CONCATENATE("Grp",O45),1,0)</f>
        <v>0</v>
      </c>
      <c r="S45" s="10"/>
      <c r="Y45" s="28" t="n">
        <v>44</v>
      </c>
      <c r="Z45" s="31" t="s">
        <v>474</v>
      </c>
      <c r="AA45" s="30" t="s">
        <v>123</v>
      </c>
      <c r="AB45" s="2" t="n">
        <f aca="false">IF(Z45&lt;&gt;CONCATENATE("Mtx",Y45),1,0)</f>
        <v>0</v>
      </c>
      <c r="AC45" s="2"/>
    </row>
    <row r="46" customFormat="false" ht="13.8" hidden="false" customHeight="false" outlineLevel="0" collapsed="false">
      <c r="E46" s="28" t="n">
        <v>45</v>
      </c>
      <c r="F46" s="31" t="s">
        <v>475</v>
      </c>
      <c r="G46" s="30" t="s">
        <v>109</v>
      </c>
      <c r="H46" s="2" t="n">
        <f aca="false">IF(F46&lt;&gt;CONCATENATE("Aux",E46),1,0)</f>
        <v>0</v>
      </c>
      <c r="O46" s="28" t="n">
        <v>45</v>
      </c>
      <c r="P46" s="31" t="s">
        <v>476</v>
      </c>
      <c r="Q46" s="30" t="s">
        <v>75</v>
      </c>
      <c r="R46" s="10" t="n">
        <f aca="false">IF(P46&lt;&gt;CONCATENATE("Grp",O46),1,0)</f>
        <v>0</v>
      </c>
      <c r="S46" s="10"/>
      <c r="Y46" s="28" t="n">
        <v>45</v>
      </c>
      <c r="Z46" s="31" t="s">
        <v>477</v>
      </c>
      <c r="AA46" s="30" t="s">
        <v>123</v>
      </c>
      <c r="AB46" s="2" t="n">
        <f aca="false">IF(Z46&lt;&gt;CONCATENATE("Mtx",Y46),1,0)</f>
        <v>0</v>
      </c>
      <c r="AC46" s="2"/>
    </row>
    <row r="47" customFormat="false" ht="13.8" hidden="false" customHeight="false" outlineLevel="0" collapsed="false">
      <c r="E47" s="28" t="n">
        <v>46</v>
      </c>
      <c r="F47" s="31" t="s">
        <v>478</v>
      </c>
      <c r="G47" s="30" t="s">
        <v>109</v>
      </c>
      <c r="H47" s="2" t="n">
        <f aca="false">IF(F47&lt;&gt;CONCATENATE("Aux",E47),1,0)</f>
        <v>0</v>
      </c>
      <c r="O47" s="28" t="n">
        <v>46</v>
      </c>
      <c r="P47" s="31" t="s">
        <v>479</v>
      </c>
      <c r="Q47" s="30" t="s">
        <v>75</v>
      </c>
      <c r="R47" s="10" t="n">
        <f aca="false">IF(P47&lt;&gt;CONCATENATE("Grp",O47),1,0)</f>
        <v>0</v>
      </c>
      <c r="S47" s="10"/>
      <c r="Y47" s="28" t="n">
        <v>46</v>
      </c>
      <c r="Z47" s="31" t="s">
        <v>480</v>
      </c>
      <c r="AA47" s="30" t="s">
        <v>123</v>
      </c>
      <c r="AB47" s="2" t="n">
        <f aca="false">IF(Z47&lt;&gt;CONCATENATE("Mtx",Y47),1,0)</f>
        <v>0</v>
      </c>
      <c r="AC47" s="2"/>
    </row>
    <row r="48" customFormat="false" ht="13.8" hidden="false" customHeight="false" outlineLevel="0" collapsed="false">
      <c r="E48" s="28" t="n">
        <v>47</v>
      </c>
      <c r="F48" s="31" t="s">
        <v>481</v>
      </c>
      <c r="G48" s="30" t="s">
        <v>109</v>
      </c>
      <c r="H48" s="2" t="n">
        <f aca="false">IF(F48&lt;&gt;CONCATENATE("Aux",E48),1,0)</f>
        <v>0</v>
      </c>
      <c r="O48" s="28" t="n">
        <v>47</v>
      </c>
      <c r="P48" s="31" t="s">
        <v>482</v>
      </c>
      <c r="Q48" s="30" t="s">
        <v>75</v>
      </c>
      <c r="R48" s="10" t="n">
        <f aca="false">IF(P48&lt;&gt;CONCATENATE("Grp",O48),1,0)</f>
        <v>0</v>
      </c>
      <c r="S48" s="10"/>
      <c r="Y48" s="28" t="n">
        <v>47</v>
      </c>
      <c r="Z48" s="31" t="s">
        <v>483</v>
      </c>
      <c r="AA48" s="30" t="s">
        <v>123</v>
      </c>
      <c r="AB48" s="2" t="n">
        <f aca="false">IF(Z48&lt;&gt;CONCATENATE("Mtx",Y48),1,0)</f>
        <v>0</v>
      </c>
      <c r="AC48" s="2"/>
    </row>
    <row r="49" customFormat="false" ht="13.8" hidden="false" customHeight="false" outlineLevel="0" collapsed="false">
      <c r="E49" s="28" t="n">
        <v>48</v>
      </c>
      <c r="F49" s="31" t="s">
        <v>484</v>
      </c>
      <c r="G49" s="30" t="s">
        <v>109</v>
      </c>
      <c r="H49" s="2" t="n">
        <f aca="false">IF(F49&lt;&gt;CONCATENATE("Aux",E49),1,0)</f>
        <v>0</v>
      </c>
      <c r="O49" s="28" t="n">
        <v>48</v>
      </c>
      <c r="P49" s="31" t="s">
        <v>485</v>
      </c>
      <c r="Q49" s="30" t="s">
        <v>75</v>
      </c>
      <c r="R49" s="10" t="n">
        <f aca="false">IF(P49&lt;&gt;CONCATENATE("Grp",O49),1,0)</f>
        <v>0</v>
      </c>
      <c r="S49" s="10"/>
      <c r="Y49" s="28" t="n">
        <v>48</v>
      </c>
      <c r="Z49" s="31" t="s">
        <v>486</v>
      </c>
      <c r="AA49" s="30" t="s">
        <v>123</v>
      </c>
      <c r="AB49" s="2" t="n">
        <f aca="false">IF(Z49&lt;&gt;CONCATENATE("Mtx",Y49),1,0)</f>
        <v>0</v>
      </c>
      <c r="AC49" s="2"/>
    </row>
    <row r="50" customFormat="false" ht="13.8" hidden="false" customHeight="false" outlineLevel="0" collapsed="false">
      <c r="E50" s="28" t="n">
        <v>49</v>
      </c>
      <c r="F50" s="31" t="s">
        <v>487</v>
      </c>
      <c r="G50" s="30" t="s">
        <v>109</v>
      </c>
      <c r="H50" s="2" t="n">
        <f aca="false">IF(F50&lt;&gt;CONCATENATE("Aux",E50),1,0)</f>
        <v>0</v>
      </c>
      <c r="O50" s="28" t="n">
        <v>49</v>
      </c>
      <c r="P50" s="31" t="s">
        <v>488</v>
      </c>
      <c r="Q50" s="30" t="s">
        <v>75</v>
      </c>
      <c r="R50" s="10" t="n">
        <f aca="false">IF(P50&lt;&gt;CONCATENATE("Grp",O50),1,0)</f>
        <v>0</v>
      </c>
      <c r="S50" s="10"/>
      <c r="Y50" s="28" t="n">
        <v>49</v>
      </c>
      <c r="Z50" s="31" t="s">
        <v>489</v>
      </c>
      <c r="AA50" s="30" t="s">
        <v>123</v>
      </c>
      <c r="AB50" s="2" t="n">
        <f aca="false">IF(Z50&lt;&gt;CONCATENATE("Mtx",Y50),1,0)</f>
        <v>0</v>
      </c>
      <c r="AC50" s="2"/>
    </row>
    <row r="51" customFormat="false" ht="13.8" hidden="false" customHeight="false" outlineLevel="0" collapsed="false">
      <c r="E51" s="28" t="n">
        <v>50</v>
      </c>
      <c r="F51" s="31" t="s">
        <v>490</v>
      </c>
      <c r="G51" s="30" t="s">
        <v>109</v>
      </c>
      <c r="H51" s="2" t="n">
        <f aca="false">IF(F51&lt;&gt;CONCATENATE("Aux",E51),1,0)</f>
        <v>0</v>
      </c>
      <c r="O51" s="28" t="n">
        <v>50</v>
      </c>
      <c r="P51" s="31" t="s">
        <v>491</v>
      </c>
      <c r="Q51" s="30" t="s">
        <v>75</v>
      </c>
      <c r="R51" s="10" t="n">
        <f aca="false">IF(P51&lt;&gt;CONCATENATE("Grp",O51),1,0)</f>
        <v>0</v>
      </c>
      <c r="S51" s="10"/>
      <c r="Y51" s="28" t="n">
        <v>50</v>
      </c>
      <c r="Z51" s="31" t="s">
        <v>492</v>
      </c>
      <c r="AA51" s="30" t="s">
        <v>123</v>
      </c>
      <c r="AB51" s="2" t="n">
        <f aca="false">IF(Z51&lt;&gt;CONCATENATE("Mtx",Y51),1,0)</f>
        <v>0</v>
      </c>
      <c r="AC51" s="2"/>
    </row>
    <row r="52" customFormat="false" ht="13.8" hidden="false" customHeight="false" outlineLevel="0" collapsed="false">
      <c r="E52" s="28" t="n">
        <v>51</v>
      </c>
      <c r="F52" s="31" t="s">
        <v>493</v>
      </c>
      <c r="G52" s="30" t="s">
        <v>109</v>
      </c>
      <c r="H52" s="2" t="n">
        <f aca="false">IF(F52&lt;&gt;CONCATENATE("Aux",E52),1,0)</f>
        <v>0</v>
      </c>
      <c r="O52" s="28" t="n">
        <v>51</v>
      </c>
      <c r="P52" s="31" t="s">
        <v>494</v>
      </c>
      <c r="Q52" s="30" t="s">
        <v>75</v>
      </c>
      <c r="R52" s="10" t="n">
        <f aca="false">IF(P52&lt;&gt;CONCATENATE("Grp",O52),1,0)</f>
        <v>0</v>
      </c>
      <c r="S52" s="10"/>
      <c r="Y52" s="28" t="n">
        <v>51</v>
      </c>
      <c r="Z52" s="31" t="s">
        <v>495</v>
      </c>
      <c r="AA52" s="30" t="s">
        <v>123</v>
      </c>
      <c r="AB52" s="2" t="n">
        <f aca="false">IF(Z52&lt;&gt;CONCATENATE("Mtx",Y52),1,0)</f>
        <v>0</v>
      </c>
      <c r="AC52" s="2"/>
    </row>
    <row r="53" customFormat="false" ht="13.8" hidden="false" customHeight="false" outlineLevel="0" collapsed="false">
      <c r="E53" s="28" t="n">
        <v>52</v>
      </c>
      <c r="F53" s="31" t="s">
        <v>496</v>
      </c>
      <c r="G53" s="30" t="s">
        <v>109</v>
      </c>
      <c r="H53" s="2" t="n">
        <f aca="false">IF(F53&lt;&gt;CONCATENATE("Aux",E53),1,0)</f>
        <v>0</v>
      </c>
      <c r="O53" s="28" t="n">
        <v>52</v>
      </c>
      <c r="P53" s="31" t="s">
        <v>497</v>
      </c>
      <c r="Q53" s="30" t="s">
        <v>75</v>
      </c>
      <c r="R53" s="10" t="n">
        <f aca="false">IF(P53&lt;&gt;CONCATENATE("Grp",O53),1,0)</f>
        <v>0</v>
      </c>
      <c r="S53" s="10"/>
      <c r="Y53" s="28" t="n">
        <v>52</v>
      </c>
      <c r="Z53" s="31" t="s">
        <v>498</v>
      </c>
      <c r="AA53" s="30" t="s">
        <v>123</v>
      </c>
      <c r="AB53" s="2" t="n">
        <f aca="false">IF(Z53&lt;&gt;CONCATENATE("Mtx",Y53),1,0)</f>
        <v>0</v>
      </c>
      <c r="AC53" s="2"/>
    </row>
    <row r="54" customFormat="false" ht="13.8" hidden="false" customHeight="false" outlineLevel="0" collapsed="false">
      <c r="E54" s="28" t="n">
        <v>53</v>
      </c>
      <c r="F54" s="31" t="s">
        <v>499</v>
      </c>
      <c r="G54" s="30" t="s">
        <v>109</v>
      </c>
      <c r="H54" s="2" t="n">
        <f aca="false">IF(F54&lt;&gt;CONCATENATE("Aux",E54),1,0)</f>
        <v>0</v>
      </c>
      <c r="O54" s="28" t="n">
        <v>53</v>
      </c>
      <c r="P54" s="31" t="s">
        <v>500</v>
      </c>
      <c r="Q54" s="30" t="s">
        <v>75</v>
      </c>
      <c r="R54" s="10" t="n">
        <f aca="false">IF(P54&lt;&gt;CONCATENATE("Grp",O54),1,0)</f>
        <v>0</v>
      </c>
      <c r="S54" s="10"/>
      <c r="Y54" s="28" t="n">
        <v>53</v>
      </c>
      <c r="Z54" s="31" t="s">
        <v>501</v>
      </c>
      <c r="AA54" s="30" t="s">
        <v>123</v>
      </c>
      <c r="AB54" s="2" t="n">
        <f aca="false">IF(Z54&lt;&gt;CONCATENATE("Mtx",Y54),1,0)</f>
        <v>0</v>
      </c>
      <c r="AC54" s="2"/>
    </row>
    <row r="55" customFormat="false" ht="13.8" hidden="false" customHeight="false" outlineLevel="0" collapsed="false">
      <c r="E55" s="28" t="n">
        <v>54</v>
      </c>
      <c r="F55" s="31" t="s">
        <v>502</v>
      </c>
      <c r="G55" s="30" t="s">
        <v>109</v>
      </c>
      <c r="H55" s="2" t="n">
        <f aca="false">IF(F55&lt;&gt;CONCATENATE("Aux",E55),1,0)</f>
        <v>0</v>
      </c>
      <c r="O55" s="28" t="n">
        <v>54</v>
      </c>
      <c r="P55" s="31" t="s">
        <v>503</v>
      </c>
      <c r="Q55" s="30" t="s">
        <v>75</v>
      </c>
      <c r="R55" s="10" t="n">
        <f aca="false">IF(P55&lt;&gt;CONCATENATE("Grp",O55),1,0)</f>
        <v>0</v>
      </c>
      <c r="S55" s="10"/>
      <c r="Y55" s="28" t="n">
        <v>54</v>
      </c>
      <c r="Z55" s="31" t="s">
        <v>504</v>
      </c>
      <c r="AA55" s="30" t="s">
        <v>123</v>
      </c>
      <c r="AB55" s="2" t="n">
        <f aca="false">IF(Z55&lt;&gt;CONCATENATE("Mtx",Y55),1,0)</f>
        <v>0</v>
      </c>
      <c r="AC55" s="2"/>
    </row>
    <row r="56" customFormat="false" ht="13.8" hidden="false" customHeight="false" outlineLevel="0" collapsed="false">
      <c r="E56" s="28" t="n">
        <v>55</v>
      </c>
      <c r="F56" s="31" t="s">
        <v>505</v>
      </c>
      <c r="G56" s="30" t="s">
        <v>109</v>
      </c>
      <c r="H56" s="2" t="n">
        <f aca="false">IF(F56&lt;&gt;CONCATENATE("Aux",E56),1,0)</f>
        <v>0</v>
      </c>
      <c r="O56" s="28" t="n">
        <v>55</v>
      </c>
      <c r="P56" s="31" t="s">
        <v>506</v>
      </c>
      <c r="Q56" s="30" t="s">
        <v>75</v>
      </c>
      <c r="R56" s="10" t="n">
        <f aca="false">IF(P56&lt;&gt;CONCATENATE("Grp",O56),1,0)</f>
        <v>0</v>
      </c>
      <c r="S56" s="10"/>
      <c r="Y56" s="28" t="n">
        <v>55</v>
      </c>
      <c r="Z56" s="31" t="s">
        <v>507</v>
      </c>
      <c r="AA56" s="30" t="s">
        <v>123</v>
      </c>
      <c r="AB56" s="2" t="n">
        <f aca="false">IF(Z56&lt;&gt;CONCATENATE("Mtx",Y56),1,0)</f>
        <v>0</v>
      </c>
      <c r="AC56" s="2"/>
    </row>
    <row r="57" customFormat="false" ht="13.8" hidden="false" customHeight="false" outlineLevel="0" collapsed="false">
      <c r="E57" s="28" t="n">
        <v>56</v>
      </c>
      <c r="F57" s="31" t="s">
        <v>508</v>
      </c>
      <c r="G57" s="30" t="s">
        <v>109</v>
      </c>
      <c r="H57" s="2" t="n">
        <f aca="false">IF(F57&lt;&gt;CONCATENATE("Aux",E57),1,0)</f>
        <v>0</v>
      </c>
      <c r="O57" s="28" t="n">
        <v>56</v>
      </c>
      <c r="P57" s="31" t="s">
        <v>509</v>
      </c>
      <c r="Q57" s="30" t="s">
        <v>75</v>
      </c>
      <c r="R57" s="10" t="n">
        <f aca="false">IF(P57&lt;&gt;CONCATENATE("Grp",O57),1,0)</f>
        <v>0</v>
      </c>
      <c r="S57" s="10"/>
      <c r="Y57" s="28" t="n">
        <v>56</v>
      </c>
      <c r="Z57" s="31" t="s">
        <v>510</v>
      </c>
      <c r="AA57" s="30" t="s">
        <v>123</v>
      </c>
      <c r="AB57" s="2" t="n">
        <f aca="false">IF(Z57&lt;&gt;CONCATENATE("Mtx",Y57),1,0)</f>
        <v>0</v>
      </c>
      <c r="AC57" s="2"/>
    </row>
    <row r="58" customFormat="false" ht="13.8" hidden="false" customHeight="false" outlineLevel="0" collapsed="false">
      <c r="E58" s="28" t="n">
        <v>57</v>
      </c>
      <c r="F58" s="31" t="s">
        <v>511</v>
      </c>
      <c r="G58" s="30" t="s">
        <v>109</v>
      </c>
      <c r="H58" s="2" t="n">
        <f aca="false">IF(F58&lt;&gt;CONCATENATE("Aux",E58),1,0)</f>
        <v>0</v>
      </c>
      <c r="O58" s="28" t="n">
        <v>57</v>
      </c>
      <c r="P58" s="31" t="s">
        <v>512</v>
      </c>
      <c r="Q58" s="30" t="s">
        <v>75</v>
      </c>
      <c r="R58" s="10" t="n">
        <f aca="false">IF(P58&lt;&gt;CONCATENATE("Grp",O58),1,0)</f>
        <v>0</v>
      </c>
      <c r="S58" s="10"/>
      <c r="Y58" s="28" t="n">
        <v>57</v>
      </c>
      <c r="Z58" s="31" t="s">
        <v>513</v>
      </c>
      <c r="AA58" s="30" t="s">
        <v>123</v>
      </c>
      <c r="AB58" s="2" t="n">
        <f aca="false">IF(Z58&lt;&gt;CONCATENATE("Mtx",Y58),1,0)</f>
        <v>0</v>
      </c>
      <c r="AC58" s="2"/>
    </row>
    <row r="59" customFormat="false" ht="13.8" hidden="false" customHeight="false" outlineLevel="0" collapsed="false">
      <c r="E59" s="28" t="n">
        <v>58</v>
      </c>
      <c r="F59" s="31" t="s">
        <v>514</v>
      </c>
      <c r="G59" s="30" t="s">
        <v>109</v>
      </c>
      <c r="H59" s="2" t="n">
        <f aca="false">IF(F59&lt;&gt;CONCATENATE("Aux",E59),1,0)</f>
        <v>0</v>
      </c>
      <c r="O59" s="28" t="n">
        <v>58</v>
      </c>
      <c r="P59" s="31" t="s">
        <v>515</v>
      </c>
      <c r="Q59" s="30" t="s">
        <v>75</v>
      </c>
      <c r="R59" s="10" t="n">
        <f aca="false">IF(P59&lt;&gt;CONCATENATE("Grp",O59),1,0)</f>
        <v>0</v>
      </c>
      <c r="S59" s="10"/>
      <c r="Y59" s="28" t="n">
        <v>58</v>
      </c>
      <c r="Z59" s="31" t="s">
        <v>516</v>
      </c>
      <c r="AA59" s="30" t="s">
        <v>123</v>
      </c>
      <c r="AB59" s="2" t="n">
        <f aca="false">IF(Z59&lt;&gt;CONCATENATE("Mtx",Y59),1,0)</f>
        <v>0</v>
      </c>
      <c r="AC59" s="2"/>
    </row>
    <row r="60" customFormat="false" ht="13.8" hidden="false" customHeight="false" outlineLevel="0" collapsed="false">
      <c r="E60" s="28" t="n">
        <v>59</v>
      </c>
      <c r="F60" s="31" t="s">
        <v>517</v>
      </c>
      <c r="G60" s="30" t="s">
        <v>109</v>
      </c>
      <c r="H60" s="2" t="n">
        <f aca="false">IF(F60&lt;&gt;CONCATENATE("Aux",E60),1,0)</f>
        <v>0</v>
      </c>
      <c r="O60" s="28" t="n">
        <v>59</v>
      </c>
      <c r="P60" s="31" t="s">
        <v>518</v>
      </c>
      <c r="Q60" s="30" t="s">
        <v>75</v>
      </c>
      <c r="R60" s="10" t="n">
        <f aca="false">IF(P60&lt;&gt;CONCATENATE("Grp",O60),1,0)</f>
        <v>0</v>
      </c>
      <c r="S60" s="10"/>
      <c r="Y60" s="28" t="n">
        <v>59</v>
      </c>
      <c r="Z60" s="31" t="s">
        <v>519</v>
      </c>
      <c r="AA60" s="30" t="s">
        <v>123</v>
      </c>
      <c r="AB60" s="2" t="n">
        <f aca="false">IF(Z60&lt;&gt;CONCATENATE("Mtx",Y60),1,0)</f>
        <v>0</v>
      </c>
      <c r="AC60" s="2"/>
    </row>
    <row r="61" customFormat="false" ht="13.8" hidden="false" customHeight="false" outlineLevel="0" collapsed="false">
      <c r="E61" s="28" t="n">
        <v>60</v>
      </c>
      <c r="F61" s="31" t="s">
        <v>520</v>
      </c>
      <c r="G61" s="30" t="s">
        <v>109</v>
      </c>
      <c r="H61" s="2" t="n">
        <f aca="false">IF(F61&lt;&gt;CONCATENATE("Aux",E61),1,0)</f>
        <v>0</v>
      </c>
      <c r="O61" s="28" t="n">
        <v>60</v>
      </c>
      <c r="P61" s="31" t="s">
        <v>521</v>
      </c>
      <c r="Q61" s="30" t="s">
        <v>75</v>
      </c>
      <c r="R61" s="10" t="n">
        <f aca="false">IF(P61&lt;&gt;CONCATENATE("Grp",O61),1,0)</f>
        <v>0</v>
      </c>
      <c r="S61" s="10"/>
      <c r="Y61" s="28" t="n">
        <v>60</v>
      </c>
      <c r="Z61" s="31" t="s">
        <v>522</v>
      </c>
      <c r="AA61" s="30" t="s">
        <v>123</v>
      </c>
      <c r="AB61" s="2" t="n">
        <f aca="false">IF(Z61&lt;&gt;CONCATENATE("Mtx",Y61),1,0)</f>
        <v>0</v>
      </c>
      <c r="AC61" s="2"/>
    </row>
    <row r="62" customFormat="false" ht="13.8" hidden="false" customHeight="false" outlineLevel="0" collapsed="false">
      <c r="E62" s="28" t="n">
        <v>61</v>
      </c>
      <c r="F62" s="31" t="s">
        <v>523</v>
      </c>
      <c r="G62" s="30" t="s">
        <v>109</v>
      </c>
      <c r="H62" s="2" t="n">
        <f aca="false">IF(F62&lt;&gt;CONCATENATE("Aux",E62),1,0)</f>
        <v>0</v>
      </c>
      <c r="O62" s="28" t="n">
        <v>61</v>
      </c>
      <c r="P62" s="31" t="s">
        <v>524</v>
      </c>
      <c r="Q62" s="30" t="s">
        <v>75</v>
      </c>
      <c r="R62" s="10" t="n">
        <f aca="false">IF(P62&lt;&gt;CONCATENATE("Grp",O62),1,0)</f>
        <v>0</v>
      </c>
      <c r="S62" s="10"/>
      <c r="Y62" s="28" t="n">
        <v>61</v>
      </c>
      <c r="Z62" s="31" t="s">
        <v>525</v>
      </c>
      <c r="AA62" s="30" t="s">
        <v>123</v>
      </c>
      <c r="AB62" s="2" t="n">
        <f aca="false">IF(Z62&lt;&gt;CONCATENATE("Mtx",Y62),1,0)</f>
        <v>0</v>
      </c>
      <c r="AC62" s="2"/>
    </row>
    <row r="63" customFormat="false" ht="13.8" hidden="false" customHeight="false" outlineLevel="0" collapsed="false">
      <c r="E63" s="28" t="n">
        <v>62</v>
      </c>
      <c r="F63" s="31" t="s">
        <v>526</v>
      </c>
      <c r="G63" s="30" t="s">
        <v>109</v>
      </c>
      <c r="H63" s="2" t="n">
        <f aca="false">IF(F63&lt;&gt;CONCATENATE("Aux",E63),1,0)</f>
        <v>0</v>
      </c>
      <c r="O63" s="28" t="n">
        <v>62</v>
      </c>
      <c r="P63" s="31" t="s">
        <v>527</v>
      </c>
      <c r="Q63" s="30" t="s">
        <v>75</v>
      </c>
      <c r="R63" s="10" t="n">
        <f aca="false">IF(P63&lt;&gt;CONCATENATE("Grp",O63),1,0)</f>
        <v>0</v>
      </c>
      <c r="S63" s="10"/>
      <c r="Y63" s="28" t="n">
        <v>62</v>
      </c>
      <c r="Z63" s="31" t="s">
        <v>528</v>
      </c>
      <c r="AA63" s="30" t="s">
        <v>123</v>
      </c>
      <c r="AB63" s="2" t="n">
        <f aca="false">IF(Z63&lt;&gt;CONCATENATE("Mtx",Y63),1,0)</f>
        <v>0</v>
      </c>
      <c r="AC63" s="2"/>
    </row>
    <row r="64" customFormat="false" ht="13.8" hidden="false" customHeight="false" outlineLevel="0" collapsed="false">
      <c r="F64" s="33"/>
      <c r="G64" s="32"/>
      <c r="P64" s="33"/>
      <c r="Q64" s="32"/>
      <c r="AA64" s="32"/>
    </row>
    <row r="65" customFormat="false" ht="13.8" hidden="false" customHeight="false" outlineLevel="0" collapsed="false">
      <c r="G65" s="32"/>
      <c r="H65" s="2" t="n">
        <f aca="false">COUNTIF(H2:H63,1)</f>
        <v>0</v>
      </c>
      <c r="M65" s="2" t="n">
        <f aca="false">COUNTIF(M2:M63,1)</f>
        <v>0</v>
      </c>
      <c r="N65" s="2"/>
      <c r="Q65" s="32"/>
      <c r="R65" s="2" t="n">
        <f aca="false">COUNTIF(R2:R63,1)</f>
        <v>0</v>
      </c>
      <c r="W65" s="2" t="n">
        <f aca="false">COUNTIF(W2:W63,1)</f>
        <v>0</v>
      </c>
      <c r="AA65" s="32"/>
      <c r="AB65" s="2" t="n">
        <f aca="false">COUNTIF(AB2:AB63,1)</f>
        <v>0</v>
      </c>
      <c r="AC65" s="2"/>
      <c r="AG65" s="2" t="n">
        <f aca="false">COUNTIF(AG2:AG63,1)</f>
        <v>0</v>
      </c>
      <c r="AL65" s="2" t="n">
        <f aca="false">COUNTIF(AL2:AL63,1)</f>
        <v>0</v>
      </c>
      <c r="AM65" s="2"/>
      <c r="AQ65" s="2" t="n">
        <f aca="false">COUNTIF(AQ2:AQ63,1)</f>
        <v>0</v>
      </c>
      <c r="AR65" s="2"/>
    </row>
  </sheetData>
  <conditionalFormatting sqref="G2:G65 L2:L33 Q2:Q65 AA2:AA65 AF2:AF33 AJ34 C2:C25 AK2:AK17 AP2:AP17 AU2:AU17 AY2:AY9 BC2:BC9 V2:V33">
    <cfRule type="cellIs" priority="2" operator="equal" aboveAverage="0" equalAverage="0" bottom="0" percent="0" rank="0" text="" dxfId="7">
      <formula>"purple"</formula>
    </cfRule>
    <cfRule type="cellIs" priority="3" operator="equal" aboveAverage="0" equalAverage="0" bottom="0" percent="0" rank="0" text="" dxfId="8">
      <formula>"light blue"</formula>
    </cfRule>
    <cfRule type="cellIs" priority="4" operator="equal" aboveAverage="0" equalAverage="0" bottom="0" percent="0" rank="0" text="" dxfId="9">
      <formula>"green"</formula>
    </cfRule>
    <cfRule type="cellIs" priority="5" operator="equal" aboveAverage="0" equalAverage="0" bottom="0" percent="0" rank="0" text="" dxfId="10">
      <formula>"red"</formula>
    </cfRule>
    <cfRule type="cellIs" priority="6" operator="equal" aboveAverage="0" equalAverage="0" bottom="0" percent="0" rank="0" text="" dxfId="11">
      <formula>"black"</formula>
    </cfRule>
    <cfRule type="cellIs" priority="7" operator="equal" aboveAverage="0" equalAverage="0" bottom="0" percent="0" rank="0" text="" dxfId="12">
      <formula>"yellow"</formula>
    </cfRule>
    <cfRule type="cellIs" priority="8" operator="equal" aboveAverage="0" equalAverage="0" bottom="0" percent="0" rank="0" text="" dxfId="13">
      <formula>"blue"</formula>
    </cfRule>
  </conditionalFormatting>
  <dataValidations count="2">
    <dataValidation allowBlank="true" errorStyle="stop" operator="equal" showDropDown="false" showErrorMessage="true" showInputMessage="false" sqref="C2:C10 G2:G26 L2:L32 Q2:Q63 V2:V32 AA2:AA63 AF2:AF32 AK2:AK17 AP2:AP17 AU2:AU17 AY2:AY9 BC2:BC9 C11:C25 G27:G63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L33 V33 AF33 AJ34 G64:G65 Q64:Q65 AA64:AA65" type="list">
      <formula1>"blue,red,yellow,green,light blue,white,purple,black"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34"/>
      <c r="B1" s="35" t="s">
        <v>529</v>
      </c>
      <c r="C1" s="35" t="s">
        <v>530</v>
      </c>
    </row>
    <row r="2" customFormat="false" ht="13.8" hidden="false" customHeight="false" outlineLevel="0" collapsed="false">
      <c r="A2" s="36" t="s">
        <v>531</v>
      </c>
      <c r="B2" s="28" t="n">
        <f aca="false">Groups!R65</f>
        <v>0</v>
      </c>
      <c r="C2" s="28" t="n">
        <f aca="false">Groups!W65</f>
        <v>0</v>
      </c>
    </row>
    <row r="3" customFormat="false" ht="13.8" hidden="false" customHeight="false" outlineLevel="0" collapsed="false">
      <c r="A3" s="37" t="s">
        <v>266</v>
      </c>
      <c r="B3" s="28" t="n">
        <f aca="false">Groups!AL65</f>
        <v>0</v>
      </c>
      <c r="C3" s="28" t="n">
        <f aca="false">Groups!AQ65</f>
        <v>0</v>
      </c>
    </row>
    <row r="4" customFormat="false" ht="13.8" hidden="false" customHeight="false" outlineLevel="0" collapsed="false">
      <c r="A4" s="37" t="s">
        <v>532</v>
      </c>
      <c r="B4" s="28" t="n">
        <f aca="false">Groups!H65</f>
        <v>0</v>
      </c>
      <c r="C4" s="28" t="n">
        <f aca="false">Groups!M65</f>
        <v>0</v>
      </c>
    </row>
    <row r="5" customFormat="false" ht="13.8" hidden="false" customHeight="false" outlineLevel="0" collapsed="false">
      <c r="A5" s="38" t="s">
        <v>533</v>
      </c>
      <c r="B5" s="28" t="n">
        <f aca="false">Groups!AB65</f>
        <v>0</v>
      </c>
      <c r="C5" s="28" t="n">
        <f aca="false">Groups!AG65</f>
        <v>0</v>
      </c>
    </row>
    <row r="6" customFormat="false" ht="13.8" hidden="false" customHeight="false" outlineLevel="0" collapsed="false"/>
    <row r="7" customFormat="false" ht="99.2" hidden="false" customHeight="true" outlineLevel="0" collapsed="false">
      <c r="A7" s="39" t="s">
        <v>534</v>
      </c>
      <c r="B7" s="39"/>
      <c r="C7" s="39"/>
      <c r="D7" s="39"/>
      <c r="E7" s="39"/>
      <c r="F7" s="39"/>
    </row>
  </sheetData>
  <mergeCells count="1">
    <mergeCell ref="A7:F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3" width="13.29"/>
    <col collapsed="false" customWidth="true" hidden="false" outlineLevel="0" max="2" min="2" style="3" width="11.43"/>
    <col collapsed="false" customWidth="true" hidden="false" outlineLevel="0" max="3" min="3" style="3" width="57.42"/>
  </cols>
  <sheetData>
    <row r="1" customFormat="false" ht="15" hidden="false" customHeight="false" outlineLevel="0" collapsed="false">
      <c r="A1" s="23" t="s">
        <v>535</v>
      </c>
      <c r="B1" s="23" t="s">
        <v>536</v>
      </c>
      <c r="C1" s="13" t="s">
        <v>537</v>
      </c>
    </row>
    <row r="2" customFormat="false" ht="15" hidden="false" customHeight="false" outlineLevel="0" collapsed="false">
      <c r="A2" s="10" t="s">
        <v>538</v>
      </c>
      <c r="B2" s="10" t="n">
        <v>14</v>
      </c>
      <c r="C2" s="3" t="s">
        <v>539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2022-10-26T13:29:36Z</dcterms:created>
  <dc:creator>togrupe</dc:creator>
  <dc:description/>
  <dc:language>de-DE</dc:language>
  <cp:lastModifiedBy/>
  <dcterms:modified xsi:type="dcterms:W3CDTF">2025-12-14T12:57:04Z</dcterms:modified>
  <cp:revision>343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