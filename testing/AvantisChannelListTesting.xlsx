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nels" sheetId="1" state="visible" r:id="rId3"/>
    <sheet name="Sockets" sheetId="2" state="visible" r:id="rId4"/>
    <sheet name="Groups" sheetId="3" state="visible" r:id="rId5"/>
    <sheet name="Mixer Config" sheetId="4" state="visible" r:id="rId6"/>
    <sheet name="Mis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<sst xmlns="http://schemas.openxmlformats.org/spreadsheetml/2006/main" count="3893" uniqueCount="449">
  <si>
    <t xml:space="preserve">Enabled</t>
  </si>
  <si>
    <t xml:space="preserve">Channel</t>
  </si>
  <si>
    <t xml:space="preserve">Name</t>
  </si>
  <si>
    <t xml:space="preserve">Color</t>
  </si>
  <si>
    <t xml:space="preserve">Source*</t>
  </si>
  <si>
    <t xml:space="preserve">Socket*</t>
  </si>
  <si>
    <t xml:space="preserve">Gain*</t>
  </si>
  <si>
    <t xml:space="preserve">Pad*</t>
  </si>
  <si>
    <t xml:space="preserve">Phantom*</t>
  </si>
  <si>
    <t xml:space="preserve">Mute</t>
  </si>
  <si>
    <t xml:space="preserve">Fader Level</t>
  </si>
  <si>
    <t xml:space="preserve">HPF On</t>
  </si>
  <si>
    <t xml:space="preserve">HPF Value</t>
  </si>
  <si>
    <t xml:space="preserve">Main Mix</t>
  </si>
  <si>
    <t xml:space="preserve">Recording</t>
  </si>
  <si>
    <t xml:space="preserve">Record Arm</t>
  </si>
  <si>
    <t xml:space="preserve">Mute1</t>
  </si>
  <si>
    <t xml:space="preserve">Mute2</t>
  </si>
  <si>
    <t xml:space="preserve">Mute3</t>
  </si>
  <si>
    <t xml:space="preserve">Mute4</t>
  </si>
  <si>
    <t xml:space="preserve">Mute5</t>
  </si>
  <si>
    <t xml:space="preserve">Mute6</t>
  </si>
  <si>
    <t xml:space="preserve">Mute7</t>
  </si>
  <si>
    <t xml:space="preserve">Mute8</t>
  </si>
  <si>
    <t xml:space="preserve">DCA1</t>
  </si>
  <si>
    <t xml:space="preserve">DCA2</t>
  </si>
  <si>
    <t xml:space="preserve">DCA3</t>
  </si>
  <si>
    <t xml:space="preserve">DCA4</t>
  </si>
  <si>
    <t xml:space="preserve">DCA5</t>
  </si>
  <si>
    <t xml:space="preserve">DCA6</t>
  </si>
  <si>
    <t xml:space="preserve">DCA7</t>
  </si>
  <si>
    <t xml:space="preserve">DCA8</t>
  </si>
  <si>
    <t xml:space="preserve">DCA9</t>
  </si>
  <si>
    <t xml:space="preserve">DCA10</t>
  </si>
  <si>
    <t xml:space="preserve">DCA11</t>
  </si>
  <si>
    <t xml:space="preserve">DCA12</t>
  </si>
  <si>
    <t xml:space="preserve">DCA13</t>
  </si>
  <si>
    <t xml:space="preserve">DCA14</t>
  </si>
  <si>
    <t xml:space="preserve">DCA15</t>
  </si>
  <si>
    <t xml:space="preserve">DCA16</t>
  </si>
  <si>
    <t xml:space="preserve">DCA17</t>
  </si>
  <si>
    <t xml:space="preserve">DCA18</t>
  </si>
  <si>
    <t xml:space="preserve">DCA19</t>
  </si>
  <si>
    <t xml:space="preserve">DCA20</t>
  </si>
  <si>
    <t xml:space="preserve">DCA21</t>
  </si>
  <si>
    <t xml:space="preserve">DCA22</t>
  </si>
  <si>
    <t xml:space="preserve">DCA23</t>
  </si>
  <si>
    <t xml:space="preserve">DCA24</t>
  </si>
  <si>
    <t xml:space="preserve">Grp1</t>
  </si>
  <si>
    <t xml:space="preserve">Grp2</t>
  </si>
  <si>
    <t xml:space="preserve">Grp3</t>
  </si>
  <si>
    <t xml:space="preserve">Grp4</t>
  </si>
  <si>
    <t xml:space="preserve">Grp5</t>
  </si>
  <si>
    <t xml:space="preserve">Grp6</t>
  </si>
  <si>
    <t xml:space="preserve">Grp7</t>
  </si>
  <si>
    <t xml:space="preserve">Grp8</t>
  </si>
  <si>
    <t xml:space="preserve">Grp9</t>
  </si>
  <si>
    <t xml:space="preserve">Grp10</t>
  </si>
  <si>
    <t xml:space="preserve">Grp11</t>
  </si>
  <si>
    <t xml:space="preserve">Grp12</t>
  </si>
  <si>
    <t xml:space="preserve">StGrp1</t>
  </si>
  <si>
    <t xml:space="preserve">StGrp2</t>
  </si>
  <si>
    <t xml:space="preserve">StGrp3</t>
  </si>
  <si>
    <t xml:space="preserve">StGrp4</t>
  </si>
  <si>
    <t xml:space="preserve">StGrp5</t>
  </si>
  <si>
    <t xml:space="preserve">StGrp6</t>
  </si>
  <si>
    <t xml:space="preserve">StGrp7</t>
  </si>
  <si>
    <t xml:space="preserve">StGrp8</t>
  </si>
  <si>
    <t xml:space="preserve">StGrp9</t>
  </si>
  <si>
    <t xml:space="preserve">StGrp10</t>
  </si>
  <si>
    <t xml:space="preserve">StGrp11</t>
  </si>
  <si>
    <t xml:space="preserve">StGrp12</t>
  </si>
  <si>
    <t xml:space="preserve">Hidden Helper Cells – Please dont touch</t>
  </si>
  <si>
    <t xml:space="preserve">yes</t>
  </si>
  <si>
    <t xml:space="preserve">TST001</t>
  </si>
  <si>
    <t xml:space="preserve">blue</t>
  </si>
  <si>
    <t xml:space="preserve">SLink</t>
  </si>
  <si>
    <t xml:space="preserve">no</t>
  </si>
  <si>
    <t xml:space="preserve">-</t>
  </si>
  <si>
    <t xml:space="preserve">x</t>
  </si>
  <si>
    <t xml:space="preserve">TST002</t>
  </si>
  <si>
    <t xml:space="preserve">TST003</t>
  </si>
  <si>
    <t xml:space="preserve">TST004</t>
  </si>
  <si>
    <t xml:space="preserve">TST005</t>
  </si>
  <si>
    <t xml:space="preserve">TST006</t>
  </si>
  <si>
    <t xml:space="preserve">TST007</t>
  </si>
  <si>
    <t xml:space="preserve">TST008</t>
  </si>
  <si>
    <t xml:space="preserve">TST009</t>
  </si>
  <si>
    <t xml:space="preserve">TST010</t>
  </si>
  <si>
    <t xml:space="preserve">TST011</t>
  </si>
  <si>
    <t xml:space="preserve">TST012</t>
  </si>
  <si>
    <t xml:space="preserve">TST013</t>
  </si>
  <si>
    <t xml:space="preserve">red</t>
  </si>
  <si>
    <t xml:space="preserve">TST014</t>
  </si>
  <si>
    <t xml:space="preserve">TST015</t>
  </si>
  <si>
    <t xml:space="preserve">TST016</t>
  </si>
  <si>
    <t xml:space="preserve">TST017</t>
  </si>
  <si>
    <t xml:space="preserve">TST018</t>
  </si>
  <si>
    <t xml:space="preserve">TST019</t>
  </si>
  <si>
    <t xml:space="preserve">TST020</t>
  </si>
  <si>
    <t xml:space="preserve">TST021</t>
  </si>
  <si>
    <t xml:space="preserve">TST022</t>
  </si>
  <si>
    <t xml:space="preserve">TST023</t>
  </si>
  <si>
    <t xml:space="preserve">TST024</t>
  </si>
  <si>
    <t xml:space="preserve">TST025</t>
  </si>
  <si>
    <t xml:space="preserve">yellow</t>
  </si>
  <si>
    <t xml:space="preserve">TST026</t>
  </si>
  <si>
    <t xml:space="preserve">TST027</t>
  </si>
  <si>
    <t xml:space="preserve">TST028</t>
  </si>
  <si>
    <t xml:space="preserve">TST029</t>
  </si>
  <si>
    <t xml:space="preserve">TST030</t>
  </si>
  <si>
    <t xml:space="preserve">TST031</t>
  </si>
  <si>
    <t xml:space="preserve">TST032</t>
  </si>
  <si>
    <t xml:space="preserve">TST033</t>
  </si>
  <si>
    <t xml:space="preserve">TST034</t>
  </si>
  <si>
    <t xml:space="preserve">TST035</t>
  </si>
  <si>
    <t xml:space="preserve">TST036</t>
  </si>
  <si>
    <t xml:space="preserve">TST037</t>
  </si>
  <si>
    <t xml:space="preserve">green</t>
  </si>
  <si>
    <t xml:space="preserve">TST038</t>
  </si>
  <si>
    <t xml:space="preserve">TST039</t>
  </si>
  <si>
    <t xml:space="preserve">TST040</t>
  </si>
  <si>
    <t xml:space="preserve">TST041</t>
  </si>
  <si>
    <t xml:space="preserve">TST042</t>
  </si>
  <si>
    <t xml:space="preserve">TST043</t>
  </si>
  <si>
    <t xml:space="preserve">TST044</t>
  </si>
  <si>
    <t xml:space="preserve">TST045</t>
  </si>
  <si>
    <t xml:space="preserve">TST046</t>
  </si>
  <si>
    <t xml:space="preserve">TST047</t>
  </si>
  <si>
    <t xml:space="preserve">TST048</t>
  </si>
  <si>
    <t xml:space="preserve">TST049</t>
  </si>
  <si>
    <t xml:space="preserve">light blue</t>
  </si>
  <si>
    <t xml:space="preserve">TST050</t>
  </si>
  <si>
    <t xml:space="preserve">TST051</t>
  </si>
  <si>
    <t xml:space="preserve">TST052</t>
  </si>
  <si>
    <t xml:space="preserve">TST053</t>
  </si>
  <si>
    <t xml:space="preserve">TST054</t>
  </si>
  <si>
    <t xml:space="preserve">TST055</t>
  </si>
  <si>
    <t xml:space="preserve">TST056</t>
  </si>
  <si>
    <t xml:space="preserve">TST057</t>
  </si>
  <si>
    <t xml:space="preserve">TST058</t>
  </si>
  <si>
    <t xml:space="preserve">Unassigned</t>
  </si>
  <si>
    <t xml:space="preserve">TST059</t>
  </si>
  <si>
    <t xml:space="preserve">Surface</t>
  </si>
  <si>
    <t xml:space="preserve">TST060</t>
  </si>
  <si>
    <t xml:space="preserve">TST061</t>
  </si>
  <si>
    <t xml:space="preserve">white</t>
  </si>
  <si>
    <t xml:space="preserve">IO 1</t>
  </si>
  <si>
    <t xml:space="preserve">TST062</t>
  </si>
  <si>
    <t xml:space="preserve">IO 2</t>
  </si>
  <si>
    <t xml:space="preserve">TST063</t>
  </si>
  <si>
    <t xml:space="preserve">SigGen</t>
  </si>
  <si>
    <t xml:space="preserve">TST064</t>
  </si>
  <si>
    <t xml:space="preserve">Indication Start/End Socket
For
Mixrack / Expanders
</t>
  </si>
  <si>
    <t xml:space="preserve">Socket Number</t>
  </si>
  <si>
    <t xml:space="preserve">Local Phantom</t>
  </si>
  <si>
    <t xml:space="preserve">Local Pad</t>
  </si>
  <si>
    <t xml:space="preserve">Local Gain</t>
  </si>
  <si>
    <t xml:space="preserve">DX1 Phantom</t>
  </si>
  <si>
    <t xml:space="preserve">DX1 Pad</t>
  </si>
  <si>
    <t xml:space="preserve">DX1 Gain</t>
  </si>
  <si>
    <t xml:space="preserve">DX3 Phantom</t>
  </si>
  <si>
    <t xml:space="preserve">DX3 Pad</t>
  </si>
  <si>
    <t xml:space="preserve">DX3 Gain</t>
  </si>
  <si>
    <t xml:space="preserve">Slink Phantom</t>
  </si>
  <si>
    <t xml:space="preserve">Slink Pad</t>
  </si>
  <si>
    <t xml:space="preserve">Slink Gain</t>
  </si>
  <si>
    <t xml:space="preserve">Avantis Local End</t>
  </si>
  <si>
    <t xml:space="preserve">(C)DM32 End +  DX1/3 End</t>
  </si>
  <si>
    <t xml:space="preserve">(C)DM48 End + GX4816</t>
  </si>
  <si>
    <t xml:space="preserve">(C)DM64 End</t>
  </si>
  <si>
    <t xml:space="preserve">Slink-DX1 Start</t>
  </si>
  <si>
    <t xml:space="preserve">Slink-DX1 End</t>
  </si>
  <si>
    <t xml:space="preserve">Slink-DX2 Start</t>
  </si>
  <si>
    <t xml:space="preserve">Slink-DX2 End</t>
  </si>
  <si>
    <t xml:space="preserve">DCA</t>
  </si>
  <si>
    <t xml:space="preserve">DCA Name</t>
  </si>
  <si>
    <t xml:space="preserve">DCA Color</t>
  </si>
  <si>
    <t xml:space="preserve">Mono Auxes</t>
  </si>
  <si>
    <t xml:space="preserve">Aux Name</t>
  </si>
  <si>
    <t xml:space="preserve">Aux Color</t>
  </si>
  <si>
    <t xml:space="preserve">Stereo Auxes</t>
  </si>
  <si>
    <t xml:space="preserve">StAux Name</t>
  </si>
  <si>
    <t xml:space="preserve">StAux Color</t>
  </si>
  <si>
    <t xml:space="preserve">Mono Group</t>
  </si>
  <si>
    <t xml:space="preserve">Group Name</t>
  </si>
  <si>
    <t xml:space="preserve">Group Color</t>
  </si>
  <si>
    <t xml:space="preserve">Stereo Group</t>
  </si>
  <si>
    <t xml:space="preserve">StGroup Name</t>
  </si>
  <si>
    <t xml:space="preserve">StGroup Color</t>
  </si>
  <si>
    <t xml:space="preserve">Mono Matrix</t>
  </si>
  <si>
    <t xml:space="preserve">Matrix Name</t>
  </si>
  <si>
    <t xml:space="preserve">Matrix Color</t>
  </si>
  <si>
    <t xml:space="preserve">Stereo Matrix</t>
  </si>
  <si>
    <t xml:space="preserve">StMatrix Name</t>
  </si>
  <si>
    <t xml:space="preserve">StMatrix Color</t>
  </si>
  <si>
    <t xml:space="preserve">Mono FX Send</t>
  </si>
  <si>
    <t xml:space="preserve">FX Name</t>
  </si>
  <si>
    <t xml:space="preserve">FX Color</t>
  </si>
  <si>
    <t xml:space="preserve">Stereo FX Send</t>
  </si>
  <si>
    <t xml:space="preserve">StFX Name</t>
  </si>
  <si>
    <t xml:space="preserve">StFX Color</t>
  </si>
  <si>
    <t xml:space="preserve">FX Return</t>
  </si>
  <si>
    <t xml:space="preserve">FX Return Name</t>
  </si>
  <si>
    <t xml:space="preserve">FX Return Color</t>
  </si>
  <si>
    <t xml:space="preserve">UFX Send</t>
  </si>
  <si>
    <t xml:space="preserve">UFX Name</t>
  </si>
  <si>
    <t xml:space="preserve">UFX Color</t>
  </si>
  <si>
    <t xml:space="preserve">UFX Return</t>
  </si>
  <si>
    <t xml:space="preserve">UFX Return Name</t>
  </si>
  <si>
    <t xml:space="preserve">UFX Return Color</t>
  </si>
  <si>
    <t xml:space="preserve">Dca1</t>
  </si>
  <si>
    <t xml:space="preserve">Aux1</t>
  </si>
  <si>
    <t xml:space="preserve">StAux1</t>
  </si>
  <si>
    <t xml:space="preserve">Mtx1</t>
  </si>
  <si>
    <t xml:space="preserve">StMtx1</t>
  </si>
  <si>
    <t xml:space="preserve">Fx1</t>
  </si>
  <si>
    <t xml:space="preserve">StFx1</t>
  </si>
  <si>
    <t xml:space="preserve">FxRet1</t>
  </si>
  <si>
    <t xml:space="preserve">UFx1</t>
  </si>
  <si>
    <t xml:space="preserve">UFxRet1</t>
  </si>
  <si>
    <t xml:space="preserve">Dca2</t>
  </si>
  <si>
    <t xml:space="preserve">Aux2</t>
  </si>
  <si>
    <t xml:space="preserve">StAux2</t>
  </si>
  <si>
    <t xml:space="preserve">Mtx2</t>
  </si>
  <si>
    <t xml:space="preserve">StMtx2</t>
  </si>
  <si>
    <t xml:space="preserve">Fx2</t>
  </si>
  <si>
    <t xml:space="preserve">StFx2</t>
  </si>
  <si>
    <t xml:space="preserve">FxRet2</t>
  </si>
  <si>
    <t xml:space="preserve">UFx2</t>
  </si>
  <si>
    <t xml:space="preserve">UFxRet2</t>
  </si>
  <si>
    <t xml:space="preserve">Dca3</t>
  </si>
  <si>
    <t xml:space="preserve">Aux3</t>
  </si>
  <si>
    <t xml:space="preserve">StAux3</t>
  </si>
  <si>
    <t xml:space="preserve">Mtx3</t>
  </si>
  <si>
    <t xml:space="preserve">StMtx3</t>
  </si>
  <si>
    <t xml:space="preserve">Fx3</t>
  </si>
  <si>
    <t xml:space="preserve">StFx3</t>
  </si>
  <si>
    <t xml:space="preserve">FxRet3</t>
  </si>
  <si>
    <t xml:space="preserve">UFx3</t>
  </si>
  <si>
    <t xml:space="preserve">UFxRet3</t>
  </si>
  <si>
    <t xml:space="preserve">Dca4</t>
  </si>
  <si>
    <t xml:space="preserve">Aux4</t>
  </si>
  <si>
    <t xml:space="preserve">StAux4</t>
  </si>
  <si>
    <t xml:space="preserve">Mtx4</t>
  </si>
  <si>
    <t xml:space="preserve">StMtx4</t>
  </si>
  <si>
    <t xml:space="preserve">Fx4</t>
  </si>
  <si>
    <t xml:space="preserve">StFx4</t>
  </si>
  <si>
    <t xml:space="preserve">FxRet4</t>
  </si>
  <si>
    <t xml:space="preserve">UFx4</t>
  </si>
  <si>
    <t xml:space="preserve">UFxRet4</t>
  </si>
  <si>
    <t xml:space="preserve">Dca5</t>
  </si>
  <si>
    <t xml:space="preserve">Aux5</t>
  </si>
  <si>
    <t xml:space="preserve">StAux5</t>
  </si>
  <si>
    <t xml:space="preserve">Mtx5</t>
  </si>
  <si>
    <t xml:space="preserve">StMtx5</t>
  </si>
  <si>
    <t xml:space="preserve">Fx5</t>
  </si>
  <si>
    <t xml:space="preserve">StFx5</t>
  </si>
  <si>
    <t xml:space="preserve">FxRet5</t>
  </si>
  <si>
    <t xml:space="preserve">UFx5</t>
  </si>
  <si>
    <t xml:space="preserve">UFxRet5</t>
  </si>
  <si>
    <t xml:space="preserve">Dca6</t>
  </si>
  <si>
    <t xml:space="preserve">Aux6</t>
  </si>
  <si>
    <t xml:space="preserve">StAux6</t>
  </si>
  <si>
    <t xml:space="preserve">Mtx6</t>
  </si>
  <si>
    <t xml:space="preserve">StMtx6</t>
  </si>
  <si>
    <t xml:space="preserve">Fx6</t>
  </si>
  <si>
    <t xml:space="preserve">StFx6</t>
  </si>
  <si>
    <t xml:space="preserve">FxRet6</t>
  </si>
  <si>
    <t xml:space="preserve">UFx6</t>
  </si>
  <si>
    <t xml:space="preserve">UFxRet6</t>
  </si>
  <si>
    <t xml:space="preserve">Dca7</t>
  </si>
  <si>
    <t xml:space="preserve">purple</t>
  </si>
  <si>
    <t xml:space="preserve">Aux7</t>
  </si>
  <si>
    <t xml:space="preserve">StAux7</t>
  </si>
  <si>
    <t xml:space="preserve">Mtx7</t>
  </si>
  <si>
    <t xml:space="preserve">StMtx7</t>
  </si>
  <si>
    <t xml:space="preserve">Fx7</t>
  </si>
  <si>
    <t xml:space="preserve">StFx7</t>
  </si>
  <si>
    <t xml:space="preserve">FxRet7</t>
  </si>
  <si>
    <t xml:space="preserve">UFx7</t>
  </si>
  <si>
    <t xml:space="preserve">UFxRet7</t>
  </si>
  <si>
    <t xml:space="preserve">Dca8</t>
  </si>
  <si>
    <t xml:space="preserve">black</t>
  </si>
  <si>
    <t xml:space="preserve">Aux8</t>
  </si>
  <si>
    <t xml:space="preserve">StAux8</t>
  </si>
  <si>
    <t xml:space="preserve">Mtx8</t>
  </si>
  <si>
    <t xml:space="preserve">StMtx8</t>
  </si>
  <si>
    <t xml:space="preserve">Fx8</t>
  </si>
  <si>
    <t xml:space="preserve">StFx8</t>
  </si>
  <si>
    <t xml:space="preserve">FxRet8</t>
  </si>
  <si>
    <t xml:space="preserve">UFx8</t>
  </si>
  <si>
    <t xml:space="preserve">UFxRet8</t>
  </si>
  <si>
    <t xml:space="preserve">Dca9</t>
  </si>
  <si>
    <t xml:space="preserve">Aux9</t>
  </si>
  <si>
    <t xml:space="preserve">StAux9</t>
  </si>
  <si>
    <t xml:space="preserve">Mtx9</t>
  </si>
  <si>
    <t xml:space="preserve">StMtx9</t>
  </si>
  <si>
    <t xml:space="preserve">Fx9</t>
  </si>
  <si>
    <t xml:space="preserve">StFx9</t>
  </si>
  <si>
    <t xml:space="preserve">FxRet9</t>
  </si>
  <si>
    <t xml:space="preserve">Dca10</t>
  </si>
  <si>
    <t xml:space="preserve">Aux10</t>
  </si>
  <si>
    <t xml:space="preserve">StAux10</t>
  </si>
  <si>
    <t xml:space="preserve">Mtx10</t>
  </si>
  <si>
    <t xml:space="preserve">StMtx10</t>
  </si>
  <si>
    <t xml:space="preserve">Fx10</t>
  </si>
  <si>
    <t xml:space="preserve">StFx10</t>
  </si>
  <si>
    <t xml:space="preserve">FxRet10</t>
  </si>
  <si>
    <t xml:space="preserve">Dca11</t>
  </si>
  <si>
    <t xml:space="preserve">Aux11</t>
  </si>
  <si>
    <t xml:space="preserve">StAux11</t>
  </si>
  <si>
    <t xml:space="preserve">Mtx11</t>
  </si>
  <si>
    <t xml:space="preserve">StMtx11</t>
  </si>
  <si>
    <t xml:space="preserve">Fx11</t>
  </si>
  <si>
    <t xml:space="preserve">StFx11</t>
  </si>
  <si>
    <t xml:space="preserve">FxRet11</t>
  </si>
  <si>
    <t xml:space="preserve">Dca12</t>
  </si>
  <si>
    <t xml:space="preserve">Aux12</t>
  </si>
  <si>
    <t xml:space="preserve">StAux12</t>
  </si>
  <si>
    <t xml:space="preserve">Mtx12</t>
  </si>
  <si>
    <t xml:space="preserve">StMtx12</t>
  </si>
  <si>
    <t xml:space="preserve">Fx12</t>
  </si>
  <si>
    <t xml:space="preserve">StFx12</t>
  </si>
  <si>
    <t xml:space="preserve">FxRet12</t>
  </si>
  <si>
    <t xml:space="preserve">Dca13</t>
  </si>
  <si>
    <t xml:space="preserve">Aux13</t>
  </si>
  <si>
    <t xml:space="preserve">StAux13</t>
  </si>
  <si>
    <t xml:space="preserve">Grp13</t>
  </si>
  <si>
    <t xml:space="preserve">StGrp13</t>
  </si>
  <si>
    <t xml:space="preserve">Mtx13</t>
  </si>
  <si>
    <t xml:space="preserve">StMtx13</t>
  </si>
  <si>
    <t xml:space="preserve">Dca14</t>
  </si>
  <si>
    <t xml:space="preserve">Aux14</t>
  </si>
  <si>
    <t xml:space="preserve">StAux14</t>
  </si>
  <si>
    <t xml:space="preserve">Grp14</t>
  </si>
  <si>
    <t xml:space="preserve">StGrp14</t>
  </si>
  <si>
    <t xml:space="preserve">Mtx14</t>
  </si>
  <si>
    <t xml:space="preserve">StMtx14</t>
  </si>
  <si>
    <t xml:space="preserve">Dca15</t>
  </si>
  <si>
    <t xml:space="preserve">Aux15</t>
  </si>
  <si>
    <t xml:space="preserve">StAux15</t>
  </si>
  <si>
    <t xml:space="preserve">Grp15</t>
  </si>
  <si>
    <t xml:space="preserve">StGrp15</t>
  </si>
  <si>
    <t xml:space="preserve">Mtx15</t>
  </si>
  <si>
    <t xml:space="preserve">StMtx15</t>
  </si>
  <si>
    <t xml:space="preserve">Dca16</t>
  </si>
  <si>
    <t xml:space="preserve">Aux16</t>
  </si>
  <si>
    <t xml:space="preserve">StAux16</t>
  </si>
  <si>
    <t xml:space="preserve">Grp16</t>
  </si>
  <si>
    <t xml:space="preserve">StGrp16</t>
  </si>
  <si>
    <t xml:space="preserve">Mtx16</t>
  </si>
  <si>
    <t xml:space="preserve">StMtx16</t>
  </si>
  <si>
    <t xml:space="preserve">Aux17</t>
  </si>
  <si>
    <t xml:space="preserve">StAux17</t>
  </si>
  <si>
    <t xml:space="preserve">Grp17</t>
  </si>
  <si>
    <t xml:space="preserve">StGrp17</t>
  </si>
  <si>
    <t xml:space="preserve">Mtx17</t>
  </si>
  <si>
    <t xml:space="preserve">StMtx17</t>
  </si>
  <si>
    <t xml:space="preserve">Aux18</t>
  </si>
  <si>
    <t xml:space="preserve">StAux18</t>
  </si>
  <si>
    <t xml:space="preserve">Grp18</t>
  </si>
  <si>
    <t xml:space="preserve">StGrp18</t>
  </si>
  <si>
    <t xml:space="preserve">Mtx18</t>
  </si>
  <si>
    <t xml:space="preserve">StMtx18</t>
  </si>
  <si>
    <t xml:space="preserve">Aux19</t>
  </si>
  <si>
    <t xml:space="preserve">StAux19</t>
  </si>
  <si>
    <t xml:space="preserve">Grp19</t>
  </si>
  <si>
    <t xml:space="preserve">StGrp19</t>
  </si>
  <si>
    <t xml:space="preserve">Mtx19</t>
  </si>
  <si>
    <t xml:space="preserve">StMtx19</t>
  </si>
  <si>
    <t xml:space="preserve">Aux20</t>
  </si>
  <si>
    <t xml:space="preserve">StAux20</t>
  </si>
  <si>
    <t xml:space="preserve">Grp20</t>
  </si>
  <si>
    <t xml:space="preserve">StGrp20</t>
  </si>
  <si>
    <t xml:space="preserve">Mtx20</t>
  </si>
  <si>
    <t xml:space="preserve">StMtx20</t>
  </si>
  <si>
    <t xml:space="preserve">Aux21</t>
  </si>
  <si>
    <t xml:space="preserve">Grp21</t>
  </si>
  <si>
    <t xml:space="preserve">Mtx21</t>
  </si>
  <si>
    <t xml:space="preserve">Aux22</t>
  </si>
  <si>
    <t xml:space="preserve">Grp22</t>
  </si>
  <si>
    <t xml:space="preserve">Mtx22</t>
  </si>
  <si>
    <t xml:space="preserve">Aux23</t>
  </si>
  <si>
    <t xml:space="preserve">Grp23</t>
  </si>
  <si>
    <t xml:space="preserve">Mtx23</t>
  </si>
  <si>
    <t xml:space="preserve">Aux24</t>
  </si>
  <si>
    <t xml:space="preserve">Grp24</t>
  </si>
  <si>
    <t xml:space="preserve">Mtx24</t>
  </si>
  <si>
    <t xml:space="preserve">Aux25</t>
  </si>
  <si>
    <t xml:space="preserve">Grp25</t>
  </si>
  <si>
    <t xml:space="preserve">Mtx25</t>
  </si>
  <si>
    <t xml:space="preserve">Aux26</t>
  </si>
  <si>
    <t xml:space="preserve">Grp26</t>
  </si>
  <si>
    <t xml:space="preserve">Mtx26</t>
  </si>
  <si>
    <t xml:space="preserve">Aux27</t>
  </si>
  <si>
    <t xml:space="preserve">Grp27</t>
  </si>
  <si>
    <t xml:space="preserve">Mtx27</t>
  </si>
  <si>
    <t xml:space="preserve">Aux28</t>
  </si>
  <si>
    <t xml:space="preserve">Grp28</t>
  </si>
  <si>
    <t xml:space="preserve">Mtx28</t>
  </si>
  <si>
    <t xml:space="preserve">Aux29</t>
  </si>
  <si>
    <t xml:space="preserve">Grp29</t>
  </si>
  <si>
    <t xml:space="preserve">Mtx29</t>
  </si>
  <si>
    <t xml:space="preserve">Aux30</t>
  </si>
  <si>
    <t xml:space="preserve">Grp30</t>
  </si>
  <si>
    <t xml:space="preserve">Mtx30</t>
  </si>
  <si>
    <t xml:space="preserve">Aux31</t>
  </si>
  <si>
    <t xml:space="preserve">Grp31</t>
  </si>
  <si>
    <t xml:space="preserve">Mtx31</t>
  </si>
  <si>
    <t xml:space="preserve">Aux32</t>
  </si>
  <si>
    <t xml:space="preserve">Grp32</t>
  </si>
  <si>
    <t xml:space="preserve">Mtx32</t>
  </si>
  <si>
    <t xml:space="preserve">Aux33</t>
  </si>
  <si>
    <t xml:space="preserve">Grp33</t>
  </si>
  <si>
    <t xml:space="preserve">Mtx33</t>
  </si>
  <si>
    <t xml:space="preserve">Aux34</t>
  </si>
  <si>
    <t xml:space="preserve">Grp34</t>
  </si>
  <si>
    <t xml:space="preserve">Mtx34</t>
  </si>
  <si>
    <t xml:space="preserve">Aux35</t>
  </si>
  <si>
    <t xml:space="preserve">Grp35</t>
  </si>
  <si>
    <t xml:space="preserve">Mtx35</t>
  </si>
  <si>
    <t xml:space="preserve">Aux36</t>
  </si>
  <si>
    <t xml:space="preserve">Grp36</t>
  </si>
  <si>
    <t xml:space="preserve">Mtx36</t>
  </si>
  <si>
    <t xml:space="preserve">Aux37</t>
  </si>
  <si>
    <t xml:space="preserve">Grp37</t>
  </si>
  <si>
    <t xml:space="preserve">Mtx37</t>
  </si>
  <si>
    <t xml:space="preserve">Aux38</t>
  </si>
  <si>
    <t xml:space="preserve">Grp38</t>
  </si>
  <si>
    <t xml:space="preserve">Mtx38</t>
  </si>
  <si>
    <t xml:space="preserve">Aux39</t>
  </si>
  <si>
    <t xml:space="preserve">Grp39</t>
  </si>
  <si>
    <t xml:space="preserve">Mtx39</t>
  </si>
  <si>
    <t xml:space="preserve">Aux40</t>
  </si>
  <si>
    <t xml:space="preserve">Grp40</t>
  </si>
  <si>
    <t xml:space="preserve">Mtx40</t>
  </si>
  <si>
    <t xml:space="preserve">Mono</t>
  </si>
  <si>
    <t xml:space="preserve">Stereo</t>
  </si>
  <si>
    <t xml:space="preserve">Group</t>
  </si>
  <si>
    <t xml:space="preserve">FX</t>
  </si>
  <si>
    <t xml:space="preserve">Aux</t>
  </si>
  <si>
    <t xml:space="preserve">Matrix</t>
  </si>
  <si>
    <t xml:space="preserve">This is a report from the „Groups“ sheet. It does not change the Mixer Config. 
When you change the default name in the „Groups“ sheet, 
the corresponding value is increased here.</t>
  </si>
  <si>
    <t xml:space="preserve">Property</t>
  </si>
  <si>
    <t xml:space="preserve">Value</t>
  </si>
  <si>
    <t xml:space="preserve">Description</t>
  </si>
  <si>
    <t xml:space="preserve">Version</t>
  </si>
  <si>
    <t xml:space="preserve">Version of the sheet, indicates how the cell/columns are arranged.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</si>
</sst>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C9211E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  <fill>
      <patternFill patternType="solid">
        <fgColor rgb="FFB3B3B3"/>
        <bgColor rgb="FFB7B3CA"/>
      </patternFill>
    </fill>
    <fill>
      <patternFill patternType="solid">
        <fgColor rgb="FFCCCCCC"/>
        <bgColor rgb="FFC6D9F1"/>
      </patternFill>
    </fill>
    <fill>
      <patternFill patternType="solid">
        <fgColor rgb="FFBF819E"/>
        <bgColor rgb="FF808080"/>
      </patternFill>
    </fill>
    <fill>
      <patternFill patternType="solid">
        <fgColor rgb="FFB7B3CA"/>
        <bgColor rgb="FFB3B3B3"/>
      </patternFill>
    </fill>
    <fill>
      <patternFill patternType="solid">
        <fgColor rgb="FFFFB66C"/>
        <bgColor rgb="FFFF99CC"/>
      </patternFill>
    </fill>
    <fill>
      <patternFill patternType="solid">
        <fgColor rgb="FFAFD095"/>
        <bgColor rgb="FFCCCCCC"/>
      </patternFill>
    </fill>
    <fill>
      <patternFill patternType="solid">
        <fgColor rgb="FFFF3838"/>
        <bgColor rgb="FFC9211E"/>
      </patternFill>
    </fill>
    <fill>
      <patternFill patternType="solid">
        <fgColor rgb="FF83CAFF"/>
        <bgColor rgb="FFB7B3CA"/>
      </patternFill>
    </fill>
    <fill>
      <patternFill patternType="solid">
        <fgColor rgb="FF004586"/>
        <bgColor rgb="FF333399"/>
      </patternFill>
    </fill>
    <fill>
      <patternFill patternType="solid">
        <fgColor rgb="FFA1467E"/>
        <bgColor rgb="FF7030A0"/>
      </patternFill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7030A0"/>
        </patternFill>
      </fill>
    </dxf>
    <dxf>
      <fill>
        <patternFill>
          <bgColor rgb="FFC6D9F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558ED5"/>
        </patternFill>
      </fill>
    </dxf>
    <dxf>
      <fill>
        <patternFill>
          <bgColor rgb="FF7030A0"/>
        </patternFill>
      </fill>
    </dxf>
    <dxf>
      <fill>
        <patternFill>
          <bgColor rgb="FFC6D9F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558E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A1467E"/>
      <rgbColor rgb="FFFFF5CE"/>
      <rgbColor rgb="FFAFD095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CCCC"/>
      <rgbColor rgb="FFFFFF99"/>
      <rgbColor rgb="FF83CAFF"/>
      <rgbColor rgb="FFFF99CC"/>
      <rgbColor rgb="FFB3B3B3"/>
      <rgbColor rgb="FFFFB66C"/>
      <rgbColor rgb="FF3366FF"/>
      <rgbColor rgb="FF33CCCC"/>
      <rgbColor rgb="FF92D050"/>
      <rgbColor rgb="FFFFCC00"/>
      <rgbColor rgb="FFFF9900"/>
      <rgbColor rgb="FFFF3838"/>
      <rgbColor rgb="FF558ED5"/>
      <rgbColor rgb="FFBF819E"/>
      <rgbColor rgb="FF004586"/>
      <rgbColor rgb="FF00A933"/>
      <rgbColor rgb="FF003300"/>
      <rgbColor rgb="FF333300"/>
      <rgbColor rgb="FFC9211E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0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C2" activeCellId="0" sqref="C2"/>
    </sheetView>
  </sheetViews>
  <sheetFormatPr defaultColWidth="11.00390625" defaultRowHeight="13.8" customHeight="true" zeroHeight="false" outlineLevelRow="0" outlineLevelCol="0"/>
  <cols>
    <col collapsed="false" customWidth="true" hidden="false" outlineLevel="0" max="3" min="3" style="1" width="10.85"/>
    <col collapsed="false" customWidth="true" hidden="false" outlineLevel="0" max="4" min="4" style="2" width="11.19"/>
    <col collapsed="false" customWidth="true" hidden="false" outlineLevel="0" max="5" min="5" style="2" width="17.84"/>
    <col collapsed="false" customWidth="true" hidden="false" outlineLevel="0" max="9" min="6" style="2" width="13.8"/>
    <col collapsed="false" customWidth="true" hidden="false" outlineLevel="0" max="11" min="10" style="2" width="10.85"/>
    <col collapsed="false" customWidth="true" hidden="true" outlineLevel="0" max="12" min="12" style="2" width="10.85"/>
    <col collapsed="false" customWidth="true" hidden="true" outlineLevel="0" max="13" min="13" style="2" width="10"/>
    <col collapsed="false" customWidth="true" hidden="false" outlineLevel="0" max="15" min="14" style="2" width="10.42"/>
    <col collapsed="false" customWidth="true" hidden="true" outlineLevel="0" max="23" min="16" style="2" width="4.29"/>
    <col collapsed="false" customWidth="true" hidden="true" outlineLevel="0" max="24" min="24" style="2" width="10.42"/>
    <col collapsed="false" customWidth="true" hidden="true" outlineLevel="0" max="32" min="25" style="2" width="4.29"/>
    <col collapsed="false" customWidth="true" hidden="true" outlineLevel="0" max="33" min="33" style="3" width="10.42"/>
    <col collapsed="false" customWidth="true" hidden="false" outlineLevel="0" max="34" min="34" style="2" width="10.42"/>
    <col collapsed="false" customWidth="false" hidden="false" outlineLevel="0" max="35" min="35" style="2" width="11"/>
    <col collapsed="false" customWidth="true" hidden="false" outlineLevel="0" max="52" min="37" style="2" width="4.29"/>
    <col collapsed="false" customWidth="true" hidden="true" outlineLevel="0" max="60" min="53" style="2" width="4.29"/>
    <col collapsed="false" customWidth="false" hidden="true" outlineLevel="0" max="61" min="61" style="0" width="11"/>
    <col collapsed="false" customWidth="true" hidden="true" outlineLevel="0" max="69" min="62" style="2" width="4.29"/>
    <col collapsed="false" customWidth="false" hidden="false" outlineLevel="0" max="70" min="70" style="3" width="11"/>
    <col collapsed="false" customWidth="true" hidden="true" outlineLevel="0" max="94" min="71" style="2" width="4.29"/>
    <col collapsed="false" customWidth="false" hidden="true" outlineLevel="0" max="95" min="95" style="2" width="11"/>
    <col collapsed="false" customWidth="true" hidden="true" outlineLevel="0" max="103" min="96" style="2" width="4.29"/>
    <col collapsed="false" customWidth="true" hidden="true" outlineLevel="0" max="107" min="104" style="2" width="3.56"/>
    <col collapsed="false" customWidth="true" hidden="true" outlineLevel="0" max="108" min="108" style="2" width="10.42"/>
    <col collapsed="false" customWidth="true" hidden="true" outlineLevel="0" max="116" min="109" style="2" width="4.29"/>
    <col collapsed="false" customWidth="true" hidden="true" outlineLevel="0" max="120" min="117" style="2" width="3.56"/>
    <col collapsed="false" customWidth="true" hidden="false" outlineLevel="0" max="121" min="121" style="3" width="35.84"/>
    <col collapsed="false" customWidth="false" hidden="false" outlineLevel="0" max="135" min="122" style="2" width="11"/>
    <col collapsed="false" customWidth="false" hidden="false" outlineLevel="0" max="144" min="137" style="2" width="10.98"/>
    <col collapsed="false" customWidth="true" hidden="false" outlineLevel="0" max="16384" min="16377" style="0" width="11.53"/>
  </cols>
  <sheetData>
    <row r="1" s="10" customFormat="true" ht="75.25" hidden="false" customHeight="true" outlineLevel="0" collapsed="false">
      <c r="A1" s="4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/>
      <c r="P1" s="8" t="str">
        <f aca="false">CONCATENATE("Grp1 - ",Groups!P2)</f>
        <v>Grp1 - Grp1</v>
      </c>
      <c r="Q1" s="8" t="str">
        <f aca="false">CONCATENATE("Grp2 - ",Groups!P3)</f>
        <v>Grp2 - Grp2</v>
      </c>
      <c r="R1" s="8" t="str">
        <f aca="false">CONCATENATE("Grp3 - ",Groups!P4)</f>
        <v>Grp3 - Grp3</v>
      </c>
      <c r="S1" s="8" t="str">
        <f aca="false">CONCATENATE("Grp4 - ",Groups!P5)</f>
        <v>Grp4 - Grp4</v>
      </c>
      <c r="T1" s="8" t="str">
        <f aca="false">CONCATENATE("Grp5 - ",Groups!P6)</f>
        <v>Grp5 - Grp5</v>
      </c>
      <c r="U1" s="8" t="str">
        <f aca="false">CONCATENATE("Grp6 - ",Groups!P7)</f>
        <v>Grp6 - Grp6</v>
      </c>
      <c r="V1" s="8" t="str">
        <f aca="false">CONCATENATE("Grp7 - ",Groups!P8)</f>
        <v>Grp7 - Grp7</v>
      </c>
      <c r="W1" s="8" t="str">
        <f aca="false">CONCATENATE("Grp8 - ",Groups!$P9)</f>
        <v>Grp8 - Grp8</v>
      </c>
      <c r="X1" s="5"/>
      <c r="Y1" s="8" t="str">
        <f aca="false">CONCATENATE("StGrp1 - ",Groups!U2)</f>
        <v>StGrp1 - StGrp1</v>
      </c>
      <c r="Z1" s="8" t="str">
        <f aca="false">CONCATENATE("StGrp2 - ",Groups!U3)</f>
        <v>StGrp2 - StGrp2</v>
      </c>
      <c r="AA1" s="8" t="str">
        <f aca="false">CONCATENATE("StGrp3 - ",Groups!U4)</f>
        <v>StGrp3 - StGrp3</v>
      </c>
      <c r="AB1" s="8" t="str">
        <f aca="false">CONCATENATE("StGrp4 - ",Groups!U5)</f>
        <v>StGrp4 - StGrp4</v>
      </c>
      <c r="AC1" s="8" t="str">
        <f aca="false">CONCATENATE("StGrp5 - ",Groups!U6)</f>
        <v>StGrp5 - StGrp5</v>
      </c>
      <c r="AD1" s="8" t="str">
        <f aca="false">CONCATENATE("StGrp6 - ",Groups!U7)</f>
        <v>StGrp6 - StGrp6</v>
      </c>
      <c r="AE1" s="8" t="str">
        <f aca="false">CONCATENATE("StGrp7 - ",Groups!U8)</f>
        <v>StGrp7 - StGrp7</v>
      </c>
      <c r="AF1" s="8" t="str">
        <f aca="false">CONCATENATE("StGrp8 - ",Groups!U9)</f>
        <v>StGrp8 - StGrp8</v>
      </c>
      <c r="AG1" s="9"/>
      <c r="AH1" s="5" t="s">
        <v>14</v>
      </c>
      <c r="AI1" s="5" t="s">
        <v>15</v>
      </c>
      <c r="AK1" s="8" t="str">
        <f aca="false">CONCATENATE("DCA1 - ",Groups!B2)</f>
        <v>DCA1 - Dca1</v>
      </c>
      <c r="AL1" s="8" t="str">
        <f aca="false">CONCATENATE("DCA2 - ",Groups!B3)</f>
        <v>DCA2 - Dca2</v>
      </c>
      <c r="AM1" s="8" t="str">
        <f aca="false">CONCATENATE("DCA3 - ",Groups!B4)</f>
        <v>DCA3 - Dca3</v>
      </c>
      <c r="AN1" s="8" t="str">
        <f aca="false">CONCATENATE("DCA4 - ",Groups!B5)</f>
        <v>DCA4 - Dca4</v>
      </c>
      <c r="AO1" s="8" t="str">
        <f aca="false">CONCATENATE("DCA5 - ",Groups!B6)</f>
        <v>DCA5 - Dca5</v>
      </c>
      <c r="AP1" s="8" t="str">
        <f aca="false">CONCATENATE("DCA6 - ",Groups!B7)</f>
        <v>DCA6 - Dca6</v>
      </c>
      <c r="AQ1" s="8" t="str">
        <f aca="false">CONCATENATE("DCA7 - ",Groups!B8)</f>
        <v>DCA7 - Dca7</v>
      </c>
      <c r="AR1" s="8" t="str">
        <f aca="false">CONCATENATE("DCA8 - ",Groups!B9)</f>
        <v>DCA8 - Dca8</v>
      </c>
      <c r="AS1" s="8" t="str">
        <f aca="false">CONCATENATE("DCA9 - ",Groups!B10)</f>
        <v>DCA9 - Dca9</v>
      </c>
      <c r="AT1" s="8" t="str">
        <f aca="false">CONCATENATE("DCA10 - ",Groups!B11)</f>
        <v>DCA10 - Dca10</v>
      </c>
      <c r="AU1" s="8" t="str">
        <f aca="false">CONCATENATE("DCA11 - ",Groups!B12)</f>
        <v>DCA11 - Dca11</v>
      </c>
      <c r="AV1" s="8" t="str">
        <f aca="false">CONCATENATE("DCA12 - ",Groups!B13)</f>
        <v>DCA12 - Dca12</v>
      </c>
      <c r="AW1" s="8" t="str">
        <f aca="false">CONCATENATE("DCA13 - ",Groups!B14)</f>
        <v>DCA13 - Dca13</v>
      </c>
      <c r="AX1" s="8" t="str">
        <f aca="false">CONCATENATE("DCA14 - ",Groups!B15)</f>
        <v>DCA14 - Dca14</v>
      </c>
      <c r="AY1" s="8" t="str">
        <f aca="false">CONCATENATE("DCA15 - ",Groups!B16)</f>
        <v>DCA15 - Dca15</v>
      </c>
      <c r="AZ1" s="8" t="str">
        <f aca="false">CONCATENATE("DCA16 - ",Groups!B17)</f>
        <v>DCA16 - Dca16</v>
      </c>
      <c r="BA1" s="8" t="str">
        <f aca="false">CONCATENATE("DCA17 - ",Groups!B18)</f>
        <v>DCA17 -</v>
      </c>
      <c r="BB1" s="8" t="str">
        <f aca="false">CONCATENATE("DCA18 - ",Groups!B19)</f>
        <v>DCA18 -</v>
      </c>
      <c r="BC1" s="8" t="str">
        <f aca="false">CONCATENATE("DCA19 - ",Groups!B20)</f>
        <v>DCA19 -</v>
      </c>
      <c r="BD1" s="8" t="str">
        <f aca="false">CONCATENATE("DCA20 - ",Groups!B21)</f>
        <v>DCA20 -</v>
      </c>
      <c r="BE1" s="8" t="str">
        <f aca="false">CONCATENATE("DCA21 - ",Groups!B22)</f>
        <v>DCA21 -</v>
      </c>
      <c r="BF1" s="8" t="str">
        <f aca="false">CONCATENATE("DCA22 - ",Groups!B23)</f>
        <v>DCA22 -</v>
      </c>
      <c r="BG1" s="8" t="str">
        <f aca="false">CONCATENATE("DCA23 - ",Groups!B24)</f>
        <v>DCA23 -</v>
      </c>
      <c r="BH1" s="8" t="str">
        <f aca="false">CONCATENATE("DCA24 - ",Groups!B25)</f>
        <v>DCA24 -</v>
      </c>
      <c r="BJ1" s="8" t="s">
        <v>16</v>
      </c>
      <c r="BK1" s="8" t="s">
        <v>17</v>
      </c>
      <c r="BL1" s="8" t="s">
        <v>18</v>
      </c>
      <c r="BM1" s="8" t="s">
        <v>19</v>
      </c>
      <c r="BN1" s="8" t="s">
        <v>20</v>
      </c>
      <c r="BO1" s="8" t="s">
        <v>21</v>
      </c>
      <c r="BP1" s="8" t="s">
        <v>22</v>
      </c>
      <c r="BQ1" s="8" t="s">
        <v>23</v>
      </c>
      <c r="BS1" s="8" t="s">
        <v>24</v>
      </c>
      <c r="BT1" s="8" t="s">
        <v>25</v>
      </c>
      <c r="BU1" s="8" t="s">
        <v>26</v>
      </c>
      <c r="BV1" s="8" t="s">
        <v>27</v>
      </c>
      <c r="BW1" s="8" t="s">
        <v>28</v>
      </c>
      <c r="BX1" s="8" t="s">
        <v>29</v>
      </c>
      <c r="BY1" s="8" t="s">
        <v>30</v>
      </c>
      <c r="BZ1" s="8" t="s">
        <v>31</v>
      </c>
      <c r="CA1" s="8" t="s">
        <v>32</v>
      </c>
      <c r="CB1" s="8" t="s">
        <v>33</v>
      </c>
      <c r="CC1" s="8" t="s">
        <v>34</v>
      </c>
      <c r="CD1" s="8" t="s">
        <v>35</v>
      </c>
      <c r="CE1" s="8" t="s">
        <v>36</v>
      </c>
      <c r="CF1" s="8" t="s">
        <v>37</v>
      </c>
      <c r="CG1" s="8" t="s">
        <v>38</v>
      </c>
      <c r="CH1" s="8" t="s">
        <v>39</v>
      </c>
      <c r="CI1" s="8" t="s">
        <v>40</v>
      </c>
      <c r="CJ1" s="8" t="s">
        <v>41</v>
      </c>
      <c r="CK1" s="8" t="s">
        <v>42</v>
      </c>
      <c r="CL1" s="8" t="s">
        <v>43</v>
      </c>
      <c r="CM1" s="8" t="s">
        <v>44</v>
      </c>
      <c r="CN1" s="8" t="s">
        <v>45</v>
      </c>
      <c r="CO1" s="8" t="s">
        <v>46</v>
      </c>
      <c r="CP1" s="8" t="s">
        <v>47</v>
      </c>
      <c r="CQ1" s="8"/>
      <c r="CR1" s="8" t="s">
        <v>48</v>
      </c>
      <c r="CS1" s="8" t="s">
        <v>49</v>
      </c>
      <c r="CT1" s="8" t="s">
        <v>50</v>
      </c>
      <c r="CU1" s="8" t="s">
        <v>51</v>
      </c>
      <c r="CV1" s="8" t="s">
        <v>52</v>
      </c>
      <c r="CW1" s="8" t="s">
        <v>53</v>
      </c>
      <c r="CX1" s="8" t="s">
        <v>54</v>
      </c>
      <c r="CY1" s="8" t="s">
        <v>55</v>
      </c>
      <c r="CZ1" s="8" t="s">
        <v>56</v>
      </c>
      <c r="DA1" s="8" t="s">
        <v>57</v>
      </c>
      <c r="DB1" s="8" t="s">
        <v>58</v>
      </c>
      <c r="DC1" s="8" t="s">
        <v>59</v>
      </c>
      <c r="DD1" s="8"/>
      <c r="DE1" s="8" t="s">
        <v>60</v>
      </c>
      <c r="DF1" s="8" t="s">
        <v>61</v>
      </c>
      <c r="DG1" s="8" t="s">
        <v>62</v>
      </c>
      <c r="DH1" s="8" t="s">
        <v>63</v>
      </c>
      <c r="DI1" s="8" t="s">
        <v>64</v>
      </c>
      <c r="DJ1" s="8" t="s">
        <v>65</v>
      </c>
      <c r="DK1" s="8" t="s">
        <v>66</v>
      </c>
      <c r="DL1" s="8" t="s">
        <v>67</v>
      </c>
      <c r="DM1" s="8" t="s">
        <v>68</v>
      </c>
      <c r="DN1" s="8" t="s">
        <v>69</v>
      </c>
      <c r="DO1" s="8" t="s">
        <v>70</v>
      </c>
      <c r="DP1" s="8" t="s">
        <v>71</v>
      </c>
      <c r="DQ1" s="10" t="s">
        <v>72</v>
      </c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G1" s="8"/>
      <c r="EH1" s="8"/>
      <c r="EI1" s="8"/>
      <c r="EJ1" s="8"/>
      <c r="EK1" s="8"/>
      <c r="EL1" s="8"/>
      <c r="EM1" s="8"/>
      <c r="EN1" s="8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XEW1" s="0"/>
      <c r="XEX1" s="0"/>
      <c r="XEY1" s="0"/>
      <c r="XEZ1" s="0"/>
      <c r="XFA1" s="0"/>
      <c r="XFB1" s="0"/>
      <c r="XFC1" s="0"/>
      <c r="XFD1" s="0"/>
    </row>
    <row r="2" customFormat="false" ht="13.8" hidden="false" customHeight="false" outlineLevel="0" collapsed="false">
      <c r="A2" s="11" t="s">
        <v>73</v>
      </c>
      <c r="B2" s="2" t="n">
        <v>1</v>
      </c>
      <c r="C2" s="12" t="s">
        <v>74</v>
      </c>
      <c r="D2" s="11" t="s">
        <v>75</v>
      </c>
      <c r="E2" s="11" t="s">
        <v>76</v>
      </c>
      <c r="F2" s="11" t="n">
        <v>1</v>
      </c>
      <c r="G2" s="11" t="n">
        <v>5</v>
      </c>
      <c r="H2" s="11" t="s">
        <v>77</v>
      </c>
      <c r="I2" s="11" t="s">
        <v>77</v>
      </c>
      <c r="J2" s="11" t="s">
        <v>73</v>
      </c>
      <c r="K2" s="11" t="s">
        <v>78</v>
      </c>
      <c r="L2" s="11"/>
      <c r="M2" s="2" t="n">
        <v>20</v>
      </c>
      <c r="N2" s="11" t="s">
        <v>73</v>
      </c>
      <c r="O2" s="11"/>
      <c r="P2" s="11" t="s">
        <v>79</v>
      </c>
      <c r="Q2" s="11"/>
      <c r="R2" s="11"/>
      <c r="S2" s="11"/>
      <c r="T2" s="11"/>
      <c r="U2" s="11"/>
      <c r="V2" s="11"/>
      <c r="W2" s="11"/>
      <c r="X2" s="11"/>
      <c r="Y2" s="11" t="s">
        <v>78</v>
      </c>
      <c r="Z2" s="11" t="s">
        <v>78</v>
      </c>
      <c r="AA2" s="11" t="s">
        <v>78</v>
      </c>
      <c r="AB2" s="11" t="s">
        <v>78</v>
      </c>
      <c r="AC2" s="11" t="s">
        <v>78</v>
      </c>
      <c r="AD2" s="11" t="s">
        <v>78</v>
      </c>
      <c r="AE2" s="11" t="s">
        <v>78</v>
      </c>
      <c r="AF2" s="11" t="s">
        <v>78</v>
      </c>
      <c r="AH2" s="11" t="s">
        <v>73</v>
      </c>
      <c r="AI2" s="11" t="s">
        <v>73</v>
      </c>
      <c r="AK2" s="11" t="s">
        <v>79</v>
      </c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J2" s="11" t="s">
        <v>78</v>
      </c>
      <c r="BK2" s="11" t="s">
        <v>78</v>
      </c>
      <c r="BL2" s="11" t="s">
        <v>78</v>
      </c>
      <c r="BM2" s="11" t="s">
        <v>78</v>
      </c>
      <c r="BN2" s="11" t="s">
        <v>78</v>
      </c>
      <c r="BO2" s="11" t="s">
        <v>78</v>
      </c>
      <c r="BP2" s="11" t="s">
        <v>78</v>
      </c>
      <c r="BQ2" s="11" t="s">
        <v>78</v>
      </c>
      <c r="BS2" s="2" t="str">
        <f aca="false">IF(AK2="x","x",IF(AK2="-","-",""))</f>
        <v>x</v>
      </c>
      <c r="BT2" s="2" t="str">
        <f aca="false">IF(AL2="x","x",IF(AL2="-","-",""))</f>
        <v/>
      </c>
      <c r="BU2" s="2" t="str">
        <f aca="false">IF(AM2="x","x",IF(AM2="-","-",""))</f>
        <v/>
      </c>
      <c r="BV2" s="2" t="str">
        <f aca="false">IF(AN2="x","x",IF(AN2="-","-",""))</f>
        <v/>
      </c>
      <c r="BW2" s="2" t="str">
        <f aca="false">IF(AO2="x","x",IF(AO2="-","-",""))</f>
        <v/>
      </c>
      <c r="BX2" s="2" t="str">
        <f aca="false">IF(AP2="x","x",IF(AP2="-","-",""))</f>
        <v/>
      </c>
      <c r="BY2" s="2" t="str">
        <f aca="false">IF(AQ2="x","x",IF(AQ2="-","-",""))</f>
        <v/>
      </c>
      <c r="BZ2" s="2" t="str">
        <f aca="false">IF(AR2="x","x",IF(AR2="-","-",""))</f>
        <v/>
      </c>
      <c r="CA2" s="2" t="str">
        <f aca="false">IF(AS2="x","x",IF(AS2="-","-",""))</f>
        <v/>
      </c>
      <c r="CB2" s="2" t="str">
        <f aca="false">IF(AT2="x","x",IF(AT2="-","-",""))</f>
        <v/>
      </c>
      <c r="CC2" s="2" t="str">
        <f aca="false">IF(AU2="x","x",IF(AU2="-","-",""))</f>
        <v/>
      </c>
      <c r="CD2" s="2" t="str">
        <f aca="false">IF(AV2="x","x",IF(AV2="-","-",""))</f>
        <v/>
      </c>
      <c r="CE2" s="2" t="str">
        <f aca="false">IF(AW2="x","x",IF(AW2="-","-",""))</f>
        <v/>
      </c>
      <c r="CF2" s="2" t="str">
        <f aca="false">IF(AX2="x","x",IF(AX2="-","-",""))</f>
        <v/>
      </c>
      <c r="CG2" s="2" t="str">
        <f aca="false">IF(AY2="x","x",IF(AY2="-","-",""))</f>
        <v/>
      </c>
      <c r="CH2" s="2" t="str">
        <f aca="false">IF(AZ2="x","x",IF(AZ2="-","-",""))</f>
        <v/>
      </c>
      <c r="CI2" s="2" t="str">
        <f aca="false">IF(BA2="x","x",IF(BA2="-","-",""))</f>
        <v/>
      </c>
      <c r="CJ2" s="2" t="str">
        <f aca="false">IF(BB2="x","x",IF(BB2="-","-",""))</f>
        <v/>
      </c>
      <c r="CK2" s="2" t="str">
        <f aca="false">IF(BC2="x","x",IF(BC2="-","-",""))</f>
        <v/>
      </c>
      <c r="CL2" s="2" t="str">
        <f aca="false">IF(BD2="x","x",IF(BD2="-","-",""))</f>
        <v/>
      </c>
      <c r="CM2" s="2" t="str">
        <f aca="false">IF(BE2="x","x",IF(BE2="-","-",""))</f>
        <v/>
      </c>
      <c r="CN2" s="2" t="str">
        <f aca="false">IF(BF2="x","x",IF(BF2="-","-",""))</f>
        <v/>
      </c>
      <c r="CO2" s="2" t="str">
        <f aca="false">IF(BG2="x","x",IF(BG2="-","-",""))</f>
        <v/>
      </c>
      <c r="CP2" s="2" t="str">
        <f aca="false">IF(BH2="x","x",IF(BH2="-","-",""))</f>
        <v/>
      </c>
      <c r="CR2" s="2" t="str">
        <f aca="false">IF(P2="x","x",IF(P2="-","-",""))</f>
        <v>x</v>
      </c>
      <c r="CS2" s="2" t="str">
        <f aca="false">IF(Q2="x","x",IF(Q2="-","-",""))</f>
        <v/>
      </c>
      <c r="CT2" s="2" t="str">
        <f aca="false">IF(R2="x","x",IF(R2="-","-",""))</f>
        <v/>
      </c>
      <c r="CU2" s="2" t="str">
        <f aca="false">IF(S2="x","x",IF(S2="-","-",""))</f>
        <v/>
      </c>
      <c r="CV2" s="2" t="str">
        <f aca="false">IF(T2="x","x",IF(T2="-","-",""))</f>
        <v/>
      </c>
      <c r="CW2" s="2" t="str">
        <f aca="false">IF(U2="x","x",IF(U2="-","-",""))</f>
        <v/>
      </c>
      <c r="CX2" s="2" t="str">
        <f aca="false">IF(V2="x","x",IF(V2="-","-",""))</f>
        <v/>
      </c>
      <c r="CY2" s="2" t="str">
        <f aca="false">IF(W2="x","x",IF(W2="-","-",""))</f>
        <v/>
      </c>
      <c r="CZ2" s="2" t="s">
        <v>78</v>
      </c>
      <c r="DA2" s="2" t="s">
        <v>78</v>
      </c>
      <c r="DB2" s="2" t="s">
        <v>78</v>
      </c>
      <c r="DC2" s="2" t="s">
        <v>78</v>
      </c>
      <c r="DE2" s="2" t="str">
        <f aca="false">IF(Y2="x","x",IF(Y2="-","-",""))</f>
        <v>-</v>
      </c>
      <c r="DF2" s="2" t="str">
        <f aca="false">IF(Z2="x","x",IF(Z2="-","-",""))</f>
        <v>-</v>
      </c>
      <c r="DG2" s="2" t="str">
        <f aca="false">IF(AA2="x","x",IF(AA2="-","-",""))</f>
        <v>-</v>
      </c>
      <c r="DH2" s="2" t="str">
        <f aca="false">IF(AB2="x","x",IF(AB2="-","-",""))</f>
        <v>-</v>
      </c>
      <c r="DI2" s="2" t="str">
        <f aca="false">IF(AC2="x","x",IF(AC2="-","-",""))</f>
        <v>-</v>
      </c>
      <c r="DJ2" s="2" t="str">
        <f aca="false">IF(AD2="x","x",IF(AD2="-","-",""))</f>
        <v>-</v>
      </c>
      <c r="DK2" s="2" t="str">
        <f aca="false">IF(AE2="x","x",IF(AE2="-","-",""))</f>
        <v>-</v>
      </c>
      <c r="DL2" s="2" t="str">
        <f aca="false">IF(AF2="x","x",IF(AF2="-","-",""))</f>
        <v>-</v>
      </c>
      <c r="DM2" s="2" t="s">
        <v>78</v>
      </c>
      <c r="DN2" s="2" t="s">
        <v>78</v>
      </c>
      <c r="DO2" s="2" t="s">
        <v>78</v>
      </c>
      <c r="DP2" s="2" t="s">
        <v>78</v>
      </c>
      <c r="EG2" s="11"/>
      <c r="EH2" s="11"/>
      <c r="EI2" s="11"/>
      <c r="EJ2" s="11"/>
      <c r="EK2" s="11"/>
      <c r="EL2" s="11"/>
      <c r="EM2" s="11"/>
      <c r="EN2" s="11"/>
    </row>
    <row r="3" customFormat="false" ht="13.8" hidden="false" customHeight="false" outlineLevel="0" collapsed="false">
      <c r="A3" s="11" t="s">
        <v>73</v>
      </c>
      <c r="B3" s="2" t="n">
        <v>2</v>
      </c>
      <c r="C3" s="12" t="s">
        <v>80</v>
      </c>
      <c r="D3" s="11" t="s">
        <v>75</v>
      </c>
      <c r="E3" s="11" t="s">
        <v>76</v>
      </c>
      <c r="F3" s="11" t="n">
        <v>2</v>
      </c>
      <c r="G3" s="11" t="n">
        <v>10</v>
      </c>
      <c r="H3" s="11" t="s">
        <v>77</v>
      </c>
      <c r="I3" s="11" t="s">
        <v>73</v>
      </c>
      <c r="J3" s="11" t="s">
        <v>77</v>
      </c>
      <c r="K3" s="11"/>
      <c r="L3" s="11" t="s">
        <v>78</v>
      </c>
      <c r="M3" s="2" t="n">
        <v>40</v>
      </c>
      <c r="N3" s="11" t="s">
        <v>73</v>
      </c>
      <c r="O3" s="11"/>
      <c r="P3" s="11"/>
      <c r="Q3" s="11" t="s">
        <v>79</v>
      </c>
      <c r="R3" s="11"/>
      <c r="S3" s="11"/>
      <c r="T3" s="11"/>
      <c r="U3" s="11"/>
      <c r="V3" s="11"/>
      <c r="W3" s="11"/>
      <c r="X3" s="11"/>
      <c r="Y3" s="11" t="s">
        <v>78</v>
      </c>
      <c r="Z3" s="11" t="s">
        <v>78</v>
      </c>
      <c r="AA3" s="11" t="s">
        <v>78</v>
      </c>
      <c r="AB3" s="11" t="s">
        <v>78</v>
      </c>
      <c r="AC3" s="11" t="s">
        <v>78</v>
      </c>
      <c r="AD3" s="11" t="s">
        <v>78</v>
      </c>
      <c r="AE3" s="11" t="s">
        <v>78</v>
      </c>
      <c r="AF3" s="11" t="s">
        <v>78</v>
      </c>
      <c r="AH3" s="11" t="s">
        <v>73</v>
      </c>
      <c r="AI3" s="11" t="s">
        <v>73</v>
      </c>
      <c r="AK3" s="11" t="s">
        <v>79</v>
      </c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J3" s="11" t="s">
        <v>78</v>
      </c>
      <c r="BK3" s="11" t="s">
        <v>78</v>
      </c>
      <c r="BL3" s="11" t="s">
        <v>78</v>
      </c>
      <c r="BM3" s="11" t="s">
        <v>78</v>
      </c>
      <c r="BN3" s="11" t="s">
        <v>78</v>
      </c>
      <c r="BO3" s="11" t="s">
        <v>78</v>
      </c>
      <c r="BP3" s="11" t="s">
        <v>78</v>
      </c>
      <c r="BQ3" s="11" t="s">
        <v>78</v>
      </c>
      <c r="BS3" s="2" t="str">
        <f aca="false">IF(AK3="x","x",IF(AK3="-","-",""))</f>
        <v>x</v>
      </c>
      <c r="BT3" s="2" t="str">
        <f aca="false">IF(AL3="x","x",IF(AL3="-","-",""))</f>
        <v/>
      </c>
      <c r="BU3" s="2" t="str">
        <f aca="false">IF(AM3="x","x",IF(AM3="-","-",""))</f>
        <v/>
      </c>
      <c r="BV3" s="2" t="str">
        <f aca="false">IF(AN3="x","x",IF(AN3="-","-",""))</f>
        <v/>
      </c>
      <c r="BW3" s="2" t="str">
        <f aca="false">IF(AO3="x","x",IF(AO3="-","-",""))</f>
        <v/>
      </c>
      <c r="BX3" s="2" t="str">
        <f aca="false">IF(AP3="x","x",IF(AP3="-","-",""))</f>
        <v/>
      </c>
      <c r="BY3" s="2" t="str">
        <f aca="false">IF(AQ3="x","x",IF(AQ3="-","-",""))</f>
        <v/>
      </c>
      <c r="BZ3" s="2" t="str">
        <f aca="false">IF(AR3="x","x",IF(AR3="-","-",""))</f>
        <v/>
      </c>
      <c r="CA3" s="2" t="str">
        <f aca="false">IF(AS3="x","x",IF(AS3="-","-",""))</f>
        <v/>
      </c>
      <c r="CB3" s="2" t="str">
        <f aca="false">IF(AT3="x","x",IF(AT3="-","-",""))</f>
        <v/>
      </c>
      <c r="CC3" s="2" t="str">
        <f aca="false">IF(AU3="x","x",IF(AU3="-","-",""))</f>
        <v/>
      </c>
      <c r="CD3" s="2" t="str">
        <f aca="false">IF(AV3="x","x",IF(AV3="-","-",""))</f>
        <v/>
      </c>
      <c r="CE3" s="2" t="str">
        <f aca="false">IF(AW3="x","x",IF(AW3="-","-",""))</f>
        <v/>
      </c>
      <c r="CF3" s="2" t="str">
        <f aca="false">IF(AX3="x","x",IF(AX3="-","-",""))</f>
        <v/>
      </c>
      <c r="CG3" s="2" t="str">
        <f aca="false">IF(AY3="x","x",IF(AY3="-","-",""))</f>
        <v/>
      </c>
      <c r="CH3" s="2" t="str">
        <f aca="false">IF(AZ3="x","x",IF(AZ3="-","-",""))</f>
        <v/>
      </c>
      <c r="CI3" s="2" t="str">
        <f aca="false">IF(BA3="x","x",IF(BA3="-","-",""))</f>
        <v/>
      </c>
      <c r="CJ3" s="2" t="str">
        <f aca="false">IF(BB3="x","x",IF(BB3="-","-",""))</f>
        <v/>
      </c>
      <c r="CK3" s="2" t="str">
        <f aca="false">IF(BC3="x","x",IF(BC3="-","-",""))</f>
        <v/>
      </c>
      <c r="CL3" s="2" t="str">
        <f aca="false">IF(BD3="x","x",IF(BD3="-","-",""))</f>
        <v/>
      </c>
      <c r="CM3" s="2" t="str">
        <f aca="false">IF(BE3="x","x",IF(BE3="-","-",""))</f>
        <v/>
      </c>
      <c r="CN3" s="2" t="str">
        <f aca="false">IF(BF3="x","x",IF(BF3="-","-",""))</f>
        <v/>
      </c>
      <c r="CO3" s="2" t="str">
        <f aca="false">IF(BG3="x","x",IF(BG3="-","-",""))</f>
        <v/>
      </c>
      <c r="CP3" s="2" t="str">
        <f aca="false">IF(BH3="x","x",IF(BH3="-","-",""))</f>
        <v/>
      </c>
      <c r="CR3" s="2" t="str">
        <f aca="false">IF(P3="x","x",IF(P3="-","-",""))</f>
        <v/>
      </c>
      <c r="CS3" s="2" t="str">
        <f aca="false">IF(Q3="x","x",IF(Q3="-","-",""))</f>
        <v>x</v>
      </c>
      <c r="CT3" s="2" t="str">
        <f aca="false">IF(R3="x","x",IF(R3="-","-",""))</f>
        <v/>
      </c>
      <c r="CU3" s="2" t="str">
        <f aca="false">IF(S3="x","x",IF(S3="-","-",""))</f>
        <v/>
      </c>
      <c r="CV3" s="2" t="str">
        <f aca="false">IF(T3="x","x",IF(T3="-","-",""))</f>
        <v/>
      </c>
      <c r="CW3" s="2" t="str">
        <f aca="false">IF(U3="x","x",IF(U3="-","-",""))</f>
        <v/>
      </c>
      <c r="CX3" s="2" t="str">
        <f aca="false">IF(V3="x","x",IF(V3="-","-",""))</f>
        <v/>
      </c>
      <c r="CY3" s="2" t="str">
        <f aca="false">IF(W3="x","x",IF(W3="-","-",""))</f>
        <v/>
      </c>
      <c r="CZ3" s="2" t="s">
        <v>78</v>
      </c>
      <c r="DA3" s="2" t="s">
        <v>78</v>
      </c>
      <c r="DB3" s="2" t="s">
        <v>78</v>
      </c>
      <c r="DC3" s="2" t="s">
        <v>78</v>
      </c>
      <c r="DE3" s="2" t="str">
        <f aca="false">IF(Y3="x","x",IF(Y3="-","-",""))</f>
        <v>-</v>
      </c>
      <c r="DF3" s="2" t="str">
        <f aca="false">IF(Z3="x","x",IF(Z3="-","-",""))</f>
        <v>-</v>
      </c>
      <c r="DG3" s="2" t="str">
        <f aca="false">IF(AA3="x","x",IF(AA3="-","-",""))</f>
        <v>-</v>
      </c>
      <c r="DH3" s="2" t="str">
        <f aca="false">IF(AB3="x","x",IF(AB3="-","-",""))</f>
        <v>-</v>
      </c>
      <c r="DI3" s="2" t="str">
        <f aca="false">IF(AC3="x","x",IF(AC3="-","-",""))</f>
        <v>-</v>
      </c>
      <c r="DJ3" s="2" t="str">
        <f aca="false">IF(AD3="x","x",IF(AD3="-","-",""))</f>
        <v>-</v>
      </c>
      <c r="DK3" s="2" t="str">
        <f aca="false">IF(AE3="x","x",IF(AE3="-","-",""))</f>
        <v>-</v>
      </c>
      <c r="DL3" s="2" t="str">
        <f aca="false">IF(AF3="x","x",IF(AF3="-","-",""))</f>
        <v>-</v>
      </c>
      <c r="DM3" s="2" t="s">
        <v>78</v>
      </c>
      <c r="DN3" s="2" t="s">
        <v>78</v>
      </c>
      <c r="DO3" s="2" t="s">
        <v>78</v>
      </c>
      <c r="DP3" s="2" t="s">
        <v>78</v>
      </c>
      <c r="EG3" s="11"/>
      <c r="EH3" s="11"/>
      <c r="EI3" s="11"/>
      <c r="EJ3" s="11"/>
      <c r="EK3" s="11"/>
      <c r="EL3" s="11"/>
      <c r="EM3" s="11"/>
      <c r="EN3" s="11"/>
    </row>
    <row r="4" customFormat="false" ht="13.8" hidden="false" customHeight="false" outlineLevel="0" collapsed="false">
      <c r="A4" s="11" t="s">
        <v>73</v>
      </c>
      <c r="B4" s="2" t="n">
        <v>3</v>
      </c>
      <c r="C4" s="12" t="s">
        <v>81</v>
      </c>
      <c r="D4" s="11" t="s">
        <v>75</v>
      </c>
      <c r="E4" s="11" t="s">
        <v>76</v>
      </c>
      <c r="F4" s="11" t="n">
        <v>3</v>
      </c>
      <c r="G4" s="11" t="n">
        <v>15</v>
      </c>
      <c r="H4" s="11" t="s">
        <v>77</v>
      </c>
      <c r="I4" s="11" t="s">
        <v>77</v>
      </c>
      <c r="J4" s="11" t="s">
        <v>73</v>
      </c>
      <c r="K4" s="11" t="s">
        <v>78</v>
      </c>
      <c r="L4" s="11" t="s">
        <v>73</v>
      </c>
      <c r="M4" s="2" t="n">
        <v>60</v>
      </c>
      <c r="N4" s="11" t="s">
        <v>73</v>
      </c>
      <c r="O4" s="11"/>
      <c r="P4" s="11"/>
      <c r="Q4" s="11"/>
      <c r="R4" s="11" t="s">
        <v>79</v>
      </c>
      <c r="S4" s="11"/>
      <c r="T4" s="11"/>
      <c r="U4" s="11"/>
      <c r="V4" s="11"/>
      <c r="W4" s="11"/>
      <c r="X4" s="11"/>
      <c r="Y4" s="11" t="s">
        <v>78</v>
      </c>
      <c r="Z4" s="11" t="s">
        <v>78</v>
      </c>
      <c r="AA4" s="11" t="s">
        <v>78</v>
      </c>
      <c r="AB4" s="11" t="s">
        <v>78</v>
      </c>
      <c r="AC4" s="11" t="s">
        <v>78</v>
      </c>
      <c r="AD4" s="11" t="s">
        <v>78</v>
      </c>
      <c r="AE4" s="11" t="s">
        <v>78</v>
      </c>
      <c r="AF4" s="11" t="s">
        <v>78</v>
      </c>
      <c r="AH4" s="11" t="s">
        <v>73</v>
      </c>
      <c r="AI4" s="11" t="s">
        <v>73</v>
      </c>
      <c r="AK4" s="11" t="s">
        <v>79</v>
      </c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J4" s="11" t="s">
        <v>78</v>
      </c>
      <c r="BK4" s="11" t="s">
        <v>78</v>
      </c>
      <c r="BL4" s="11" t="s">
        <v>78</v>
      </c>
      <c r="BM4" s="11" t="s">
        <v>78</v>
      </c>
      <c r="BN4" s="11" t="s">
        <v>78</v>
      </c>
      <c r="BO4" s="11" t="s">
        <v>78</v>
      </c>
      <c r="BP4" s="11" t="s">
        <v>78</v>
      </c>
      <c r="BQ4" s="11" t="s">
        <v>78</v>
      </c>
      <c r="BS4" s="2" t="str">
        <f aca="false">IF(AK4="x","x",IF(AK4="-","-",""))</f>
        <v>x</v>
      </c>
      <c r="BT4" s="2" t="str">
        <f aca="false">IF(AL4="x","x",IF(AL4="-","-",""))</f>
        <v/>
      </c>
      <c r="BU4" s="2" t="str">
        <f aca="false">IF(AM4="x","x",IF(AM4="-","-",""))</f>
        <v/>
      </c>
      <c r="BV4" s="2" t="str">
        <f aca="false">IF(AN4="x","x",IF(AN4="-","-",""))</f>
        <v/>
      </c>
      <c r="BW4" s="2" t="str">
        <f aca="false">IF(AO4="x","x",IF(AO4="-","-",""))</f>
        <v/>
      </c>
      <c r="BX4" s="2" t="str">
        <f aca="false">IF(AP4="x","x",IF(AP4="-","-",""))</f>
        <v/>
      </c>
      <c r="BY4" s="2" t="str">
        <f aca="false">IF(AQ4="x","x",IF(AQ4="-","-",""))</f>
        <v/>
      </c>
      <c r="BZ4" s="2" t="str">
        <f aca="false">IF(AR4="x","x",IF(AR4="-","-",""))</f>
        <v/>
      </c>
      <c r="CA4" s="2" t="str">
        <f aca="false">IF(AS4="x","x",IF(AS4="-","-",""))</f>
        <v/>
      </c>
      <c r="CB4" s="2" t="str">
        <f aca="false">IF(AT4="x","x",IF(AT4="-","-",""))</f>
        <v/>
      </c>
      <c r="CC4" s="2" t="str">
        <f aca="false">IF(AU4="x","x",IF(AU4="-","-",""))</f>
        <v/>
      </c>
      <c r="CD4" s="2" t="str">
        <f aca="false">IF(AV4="x","x",IF(AV4="-","-",""))</f>
        <v/>
      </c>
      <c r="CE4" s="2" t="str">
        <f aca="false">IF(AW4="x","x",IF(AW4="-","-",""))</f>
        <v/>
      </c>
      <c r="CF4" s="2" t="str">
        <f aca="false">IF(AX4="x","x",IF(AX4="-","-",""))</f>
        <v/>
      </c>
      <c r="CG4" s="2" t="str">
        <f aca="false">IF(AY4="x","x",IF(AY4="-","-",""))</f>
        <v/>
      </c>
      <c r="CH4" s="2" t="str">
        <f aca="false">IF(AZ4="x","x",IF(AZ4="-","-",""))</f>
        <v/>
      </c>
      <c r="CI4" s="2" t="str">
        <f aca="false">IF(BA4="x","x",IF(BA4="-","-",""))</f>
        <v/>
      </c>
      <c r="CJ4" s="2" t="str">
        <f aca="false">IF(BB4="x","x",IF(BB4="-","-",""))</f>
        <v/>
      </c>
      <c r="CK4" s="2" t="str">
        <f aca="false">IF(BC4="x","x",IF(BC4="-","-",""))</f>
        <v/>
      </c>
      <c r="CL4" s="2" t="str">
        <f aca="false">IF(BD4="x","x",IF(BD4="-","-",""))</f>
        <v/>
      </c>
      <c r="CM4" s="2" t="str">
        <f aca="false">IF(BE4="x","x",IF(BE4="-","-",""))</f>
        <v/>
      </c>
      <c r="CN4" s="2" t="str">
        <f aca="false">IF(BF4="x","x",IF(BF4="-","-",""))</f>
        <v/>
      </c>
      <c r="CO4" s="2" t="str">
        <f aca="false">IF(BG4="x","x",IF(BG4="-","-",""))</f>
        <v/>
      </c>
      <c r="CP4" s="2" t="str">
        <f aca="false">IF(BH4="x","x",IF(BH4="-","-",""))</f>
        <v/>
      </c>
      <c r="CR4" s="2" t="str">
        <f aca="false">IF(P4="x","x",IF(P4="-","-",""))</f>
        <v/>
      </c>
      <c r="CS4" s="2" t="str">
        <f aca="false">IF(Q4="x","x",IF(Q4="-","-",""))</f>
        <v/>
      </c>
      <c r="CT4" s="2" t="str">
        <f aca="false">IF(R4="x","x",IF(R4="-","-",""))</f>
        <v>x</v>
      </c>
      <c r="CU4" s="2" t="str">
        <f aca="false">IF(S4="x","x",IF(S4="-","-",""))</f>
        <v/>
      </c>
      <c r="CV4" s="2" t="str">
        <f aca="false">IF(T4="x","x",IF(T4="-","-",""))</f>
        <v/>
      </c>
      <c r="CW4" s="2" t="str">
        <f aca="false">IF(U4="x","x",IF(U4="-","-",""))</f>
        <v/>
      </c>
      <c r="CX4" s="2" t="str">
        <f aca="false">IF(V4="x","x",IF(V4="-","-",""))</f>
        <v/>
      </c>
      <c r="CY4" s="2" t="str">
        <f aca="false">IF(W4="x","x",IF(W4="-","-",""))</f>
        <v/>
      </c>
      <c r="CZ4" s="2" t="s">
        <v>78</v>
      </c>
      <c r="DA4" s="2" t="s">
        <v>78</v>
      </c>
      <c r="DB4" s="2" t="s">
        <v>78</v>
      </c>
      <c r="DC4" s="2" t="s">
        <v>78</v>
      </c>
      <c r="DE4" s="2" t="str">
        <f aca="false">IF(Y4="x","x",IF(Y4="-","-",""))</f>
        <v>-</v>
      </c>
      <c r="DF4" s="2" t="str">
        <f aca="false">IF(Z4="x","x",IF(Z4="-","-",""))</f>
        <v>-</v>
      </c>
      <c r="DG4" s="2" t="str">
        <f aca="false">IF(AA4="x","x",IF(AA4="-","-",""))</f>
        <v>-</v>
      </c>
      <c r="DH4" s="2" t="str">
        <f aca="false">IF(AB4="x","x",IF(AB4="-","-",""))</f>
        <v>-</v>
      </c>
      <c r="DI4" s="2" t="str">
        <f aca="false">IF(AC4="x","x",IF(AC4="-","-",""))</f>
        <v>-</v>
      </c>
      <c r="DJ4" s="2" t="str">
        <f aca="false">IF(AD4="x","x",IF(AD4="-","-",""))</f>
        <v>-</v>
      </c>
      <c r="DK4" s="2" t="str">
        <f aca="false">IF(AE4="x","x",IF(AE4="-","-",""))</f>
        <v>-</v>
      </c>
      <c r="DL4" s="2" t="str">
        <f aca="false">IF(AF4="x","x",IF(AF4="-","-",""))</f>
        <v>-</v>
      </c>
      <c r="DM4" s="2" t="s">
        <v>78</v>
      </c>
      <c r="DN4" s="2" t="s">
        <v>78</v>
      </c>
      <c r="DO4" s="2" t="s">
        <v>78</v>
      </c>
      <c r="DP4" s="2" t="s">
        <v>78</v>
      </c>
      <c r="EG4" s="11"/>
      <c r="EH4" s="11"/>
      <c r="EI4" s="11"/>
      <c r="EJ4" s="11"/>
      <c r="EK4" s="11"/>
      <c r="EL4" s="11"/>
      <c r="EM4" s="11"/>
      <c r="EN4" s="11"/>
    </row>
    <row r="5" customFormat="false" ht="13.8" hidden="false" customHeight="false" outlineLevel="0" collapsed="false">
      <c r="A5" s="11" t="s">
        <v>73</v>
      </c>
      <c r="B5" s="2" t="n">
        <v>4</v>
      </c>
      <c r="C5" s="12" t="s">
        <v>82</v>
      </c>
      <c r="D5" s="11" t="s">
        <v>75</v>
      </c>
      <c r="E5" s="11" t="s">
        <v>76</v>
      </c>
      <c r="F5" s="11" t="n">
        <v>4</v>
      </c>
      <c r="G5" s="11" t="n">
        <v>20</v>
      </c>
      <c r="H5" s="11" t="s">
        <v>77</v>
      </c>
      <c r="I5" s="11" t="s">
        <v>73</v>
      </c>
      <c r="J5" s="11" t="s">
        <v>77</v>
      </c>
      <c r="K5" s="11"/>
      <c r="L5" s="11" t="s">
        <v>77</v>
      </c>
      <c r="M5" s="2" t="n">
        <v>80</v>
      </c>
      <c r="N5" s="11" t="s">
        <v>73</v>
      </c>
      <c r="O5" s="11"/>
      <c r="P5" s="11"/>
      <c r="Q5" s="11"/>
      <c r="R5" s="11"/>
      <c r="S5" s="11" t="s">
        <v>79</v>
      </c>
      <c r="T5" s="11"/>
      <c r="U5" s="11"/>
      <c r="V5" s="11"/>
      <c r="W5" s="11"/>
      <c r="X5" s="11"/>
      <c r="Y5" s="11" t="s">
        <v>78</v>
      </c>
      <c r="Z5" s="11" t="s">
        <v>78</v>
      </c>
      <c r="AA5" s="11" t="s">
        <v>78</v>
      </c>
      <c r="AB5" s="11" t="s">
        <v>78</v>
      </c>
      <c r="AC5" s="11" t="s">
        <v>78</v>
      </c>
      <c r="AD5" s="11" t="s">
        <v>78</v>
      </c>
      <c r="AE5" s="11" t="s">
        <v>78</v>
      </c>
      <c r="AF5" s="11" t="s">
        <v>78</v>
      </c>
      <c r="AH5" s="11" t="s">
        <v>73</v>
      </c>
      <c r="AI5" s="11" t="s">
        <v>73</v>
      </c>
      <c r="AK5" s="11" t="s">
        <v>79</v>
      </c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J5" s="11" t="s">
        <v>78</v>
      </c>
      <c r="BK5" s="11" t="s">
        <v>78</v>
      </c>
      <c r="BL5" s="11" t="s">
        <v>78</v>
      </c>
      <c r="BM5" s="11" t="s">
        <v>78</v>
      </c>
      <c r="BN5" s="11" t="s">
        <v>78</v>
      </c>
      <c r="BO5" s="11" t="s">
        <v>78</v>
      </c>
      <c r="BP5" s="11" t="s">
        <v>78</v>
      </c>
      <c r="BQ5" s="11" t="s">
        <v>78</v>
      </c>
      <c r="BS5" s="2" t="str">
        <f aca="false">IF(AK5="x","x",IF(AK5="-","-",""))</f>
        <v>x</v>
      </c>
      <c r="BT5" s="2" t="str">
        <f aca="false">IF(AL5="x","x",IF(AL5="-","-",""))</f>
        <v/>
      </c>
      <c r="BU5" s="2" t="str">
        <f aca="false">IF(AM5="x","x",IF(AM5="-","-",""))</f>
        <v/>
      </c>
      <c r="BV5" s="2" t="str">
        <f aca="false">IF(AN5="x","x",IF(AN5="-","-",""))</f>
        <v/>
      </c>
      <c r="BW5" s="2" t="str">
        <f aca="false">IF(AO5="x","x",IF(AO5="-","-",""))</f>
        <v/>
      </c>
      <c r="BX5" s="2" t="str">
        <f aca="false">IF(AP5="x","x",IF(AP5="-","-",""))</f>
        <v/>
      </c>
      <c r="BY5" s="2" t="str">
        <f aca="false">IF(AQ5="x","x",IF(AQ5="-","-",""))</f>
        <v/>
      </c>
      <c r="BZ5" s="2" t="str">
        <f aca="false">IF(AR5="x","x",IF(AR5="-","-",""))</f>
        <v/>
      </c>
      <c r="CA5" s="2" t="str">
        <f aca="false">IF(AS5="x","x",IF(AS5="-","-",""))</f>
        <v/>
      </c>
      <c r="CB5" s="2" t="str">
        <f aca="false">IF(AT5="x","x",IF(AT5="-","-",""))</f>
        <v/>
      </c>
      <c r="CC5" s="2" t="str">
        <f aca="false">IF(AU5="x","x",IF(AU5="-","-",""))</f>
        <v/>
      </c>
      <c r="CD5" s="2" t="str">
        <f aca="false">IF(AV5="x","x",IF(AV5="-","-",""))</f>
        <v/>
      </c>
      <c r="CE5" s="2" t="str">
        <f aca="false">IF(AW5="x","x",IF(AW5="-","-",""))</f>
        <v/>
      </c>
      <c r="CF5" s="2" t="str">
        <f aca="false">IF(AX5="x","x",IF(AX5="-","-",""))</f>
        <v/>
      </c>
      <c r="CG5" s="2" t="str">
        <f aca="false">IF(AY5="x","x",IF(AY5="-","-",""))</f>
        <v/>
      </c>
      <c r="CH5" s="2" t="str">
        <f aca="false">IF(AZ5="x","x",IF(AZ5="-","-",""))</f>
        <v/>
      </c>
      <c r="CI5" s="2" t="str">
        <f aca="false">IF(BA5="x","x",IF(BA5="-","-",""))</f>
        <v/>
      </c>
      <c r="CJ5" s="2" t="str">
        <f aca="false">IF(BB5="x","x",IF(BB5="-","-",""))</f>
        <v/>
      </c>
      <c r="CK5" s="2" t="str">
        <f aca="false">IF(BC5="x","x",IF(BC5="-","-",""))</f>
        <v/>
      </c>
      <c r="CL5" s="2" t="str">
        <f aca="false">IF(BD5="x","x",IF(BD5="-","-",""))</f>
        <v/>
      </c>
      <c r="CM5" s="2" t="str">
        <f aca="false">IF(BE5="x","x",IF(BE5="-","-",""))</f>
        <v/>
      </c>
      <c r="CN5" s="2" t="str">
        <f aca="false">IF(BF5="x","x",IF(BF5="-","-",""))</f>
        <v/>
      </c>
      <c r="CO5" s="2" t="str">
        <f aca="false">IF(BG5="x","x",IF(BG5="-","-",""))</f>
        <v/>
      </c>
      <c r="CP5" s="2" t="str">
        <f aca="false">IF(BH5="x","x",IF(BH5="-","-",""))</f>
        <v/>
      </c>
      <c r="CR5" s="2" t="str">
        <f aca="false">IF(P5="x","x",IF(P5="-","-",""))</f>
        <v/>
      </c>
      <c r="CS5" s="2" t="str">
        <f aca="false">IF(Q5="x","x",IF(Q5="-","-",""))</f>
        <v/>
      </c>
      <c r="CT5" s="2" t="str">
        <f aca="false">IF(R5="x","x",IF(R5="-","-",""))</f>
        <v/>
      </c>
      <c r="CU5" s="2" t="str">
        <f aca="false">IF(S5="x","x",IF(S5="-","-",""))</f>
        <v>x</v>
      </c>
      <c r="CV5" s="2" t="str">
        <f aca="false">IF(T5="x","x",IF(T5="-","-",""))</f>
        <v/>
      </c>
      <c r="CW5" s="2" t="str">
        <f aca="false">IF(U5="x","x",IF(U5="-","-",""))</f>
        <v/>
      </c>
      <c r="CX5" s="2" t="str">
        <f aca="false">IF(V5="x","x",IF(V5="-","-",""))</f>
        <v/>
      </c>
      <c r="CY5" s="2" t="str">
        <f aca="false">IF(W5="x","x",IF(W5="-","-",""))</f>
        <v/>
      </c>
      <c r="CZ5" s="2" t="s">
        <v>78</v>
      </c>
      <c r="DA5" s="2" t="s">
        <v>78</v>
      </c>
      <c r="DB5" s="2" t="s">
        <v>78</v>
      </c>
      <c r="DC5" s="2" t="s">
        <v>78</v>
      </c>
      <c r="DE5" s="2" t="str">
        <f aca="false">IF(Y5="x","x",IF(Y5="-","-",""))</f>
        <v>-</v>
      </c>
      <c r="DF5" s="2" t="str">
        <f aca="false">IF(Z5="x","x",IF(Z5="-","-",""))</f>
        <v>-</v>
      </c>
      <c r="DG5" s="2" t="str">
        <f aca="false">IF(AA5="x","x",IF(AA5="-","-",""))</f>
        <v>-</v>
      </c>
      <c r="DH5" s="2" t="str">
        <f aca="false">IF(AB5="x","x",IF(AB5="-","-",""))</f>
        <v>-</v>
      </c>
      <c r="DI5" s="2" t="str">
        <f aca="false">IF(AC5="x","x",IF(AC5="-","-",""))</f>
        <v>-</v>
      </c>
      <c r="DJ5" s="2" t="str">
        <f aca="false">IF(AD5="x","x",IF(AD5="-","-",""))</f>
        <v>-</v>
      </c>
      <c r="DK5" s="2" t="str">
        <f aca="false">IF(AE5="x","x",IF(AE5="-","-",""))</f>
        <v>-</v>
      </c>
      <c r="DL5" s="2" t="str">
        <f aca="false">IF(AF5="x","x",IF(AF5="-","-",""))</f>
        <v>-</v>
      </c>
      <c r="DM5" s="2" t="s">
        <v>78</v>
      </c>
      <c r="DN5" s="2" t="s">
        <v>78</v>
      </c>
      <c r="DO5" s="2" t="s">
        <v>78</v>
      </c>
      <c r="DP5" s="2" t="s">
        <v>78</v>
      </c>
      <c r="EG5" s="11"/>
      <c r="EH5" s="11"/>
      <c r="EI5" s="11"/>
      <c r="EJ5" s="11"/>
      <c r="EK5" s="11"/>
      <c r="EL5" s="11"/>
      <c r="EM5" s="11"/>
      <c r="EN5" s="11"/>
    </row>
    <row r="6" customFormat="false" ht="13.8" hidden="false" customHeight="false" outlineLevel="0" collapsed="false">
      <c r="A6" s="11" t="s">
        <v>73</v>
      </c>
      <c r="B6" s="2" t="n">
        <v>5</v>
      </c>
      <c r="C6" s="12" t="s">
        <v>83</v>
      </c>
      <c r="D6" s="11" t="s">
        <v>75</v>
      </c>
      <c r="E6" s="11" t="s">
        <v>76</v>
      </c>
      <c r="F6" s="11" t="n">
        <v>5</v>
      </c>
      <c r="G6" s="11" t="n">
        <v>25</v>
      </c>
      <c r="H6" s="11" t="s">
        <v>77</v>
      </c>
      <c r="I6" s="11" t="s">
        <v>77</v>
      </c>
      <c r="J6" s="11" t="s">
        <v>73</v>
      </c>
      <c r="K6" s="11" t="s">
        <v>78</v>
      </c>
      <c r="L6" s="11" t="s">
        <v>73</v>
      </c>
      <c r="M6" s="2" t="n">
        <v>100</v>
      </c>
      <c r="N6" s="11" t="s">
        <v>73</v>
      </c>
      <c r="O6" s="11"/>
      <c r="P6" s="11"/>
      <c r="Q6" s="11"/>
      <c r="R6" s="11"/>
      <c r="S6" s="11"/>
      <c r="T6" s="11" t="s">
        <v>79</v>
      </c>
      <c r="U6" s="11"/>
      <c r="V6" s="11"/>
      <c r="W6" s="11"/>
      <c r="X6" s="11"/>
      <c r="Y6" s="11" t="s">
        <v>78</v>
      </c>
      <c r="Z6" s="11" t="s">
        <v>78</v>
      </c>
      <c r="AA6" s="11" t="s">
        <v>78</v>
      </c>
      <c r="AB6" s="11" t="s">
        <v>78</v>
      </c>
      <c r="AC6" s="11" t="s">
        <v>78</v>
      </c>
      <c r="AD6" s="11" t="s">
        <v>78</v>
      </c>
      <c r="AE6" s="11" t="s">
        <v>78</v>
      </c>
      <c r="AF6" s="11" t="s">
        <v>78</v>
      </c>
      <c r="AH6" s="11" t="s">
        <v>73</v>
      </c>
      <c r="AI6" s="11" t="s">
        <v>73</v>
      </c>
      <c r="AK6" s="11" t="s">
        <v>79</v>
      </c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J6" s="11" t="s">
        <v>78</v>
      </c>
      <c r="BK6" s="11" t="s">
        <v>78</v>
      </c>
      <c r="BL6" s="11" t="s">
        <v>78</v>
      </c>
      <c r="BM6" s="11" t="s">
        <v>78</v>
      </c>
      <c r="BN6" s="11" t="s">
        <v>78</v>
      </c>
      <c r="BO6" s="11" t="s">
        <v>78</v>
      </c>
      <c r="BP6" s="11" t="s">
        <v>78</v>
      </c>
      <c r="BQ6" s="11" t="s">
        <v>78</v>
      </c>
      <c r="BS6" s="2" t="str">
        <f aca="false">IF(AK6="x","x",IF(AK6="-","-",""))</f>
        <v>x</v>
      </c>
      <c r="BT6" s="2" t="str">
        <f aca="false">IF(AL6="x","x",IF(AL6="-","-",""))</f>
        <v/>
      </c>
      <c r="BU6" s="2" t="str">
        <f aca="false">IF(AM6="x","x",IF(AM6="-","-",""))</f>
        <v/>
      </c>
      <c r="BV6" s="2" t="str">
        <f aca="false">IF(AN6="x","x",IF(AN6="-","-",""))</f>
        <v/>
      </c>
      <c r="BW6" s="2" t="str">
        <f aca="false">IF(AO6="x","x",IF(AO6="-","-",""))</f>
        <v/>
      </c>
      <c r="BX6" s="2" t="str">
        <f aca="false">IF(AP6="x","x",IF(AP6="-","-",""))</f>
        <v/>
      </c>
      <c r="BY6" s="2" t="str">
        <f aca="false">IF(AQ6="x","x",IF(AQ6="-","-",""))</f>
        <v/>
      </c>
      <c r="BZ6" s="2" t="str">
        <f aca="false">IF(AR6="x","x",IF(AR6="-","-",""))</f>
        <v/>
      </c>
      <c r="CA6" s="2" t="str">
        <f aca="false">IF(AS6="x","x",IF(AS6="-","-",""))</f>
        <v/>
      </c>
      <c r="CB6" s="2" t="str">
        <f aca="false">IF(AT6="x","x",IF(AT6="-","-",""))</f>
        <v/>
      </c>
      <c r="CC6" s="2" t="str">
        <f aca="false">IF(AU6="x","x",IF(AU6="-","-",""))</f>
        <v/>
      </c>
      <c r="CD6" s="2" t="str">
        <f aca="false">IF(AV6="x","x",IF(AV6="-","-",""))</f>
        <v/>
      </c>
      <c r="CE6" s="2" t="str">
        <f aca="false">IF(AW6="x","x",IF(AW6="-","-",""))</f>
        <v/>
      </c>
      <c r="CF6" s="2" t="str">
        <f aca="false">IF(AX6="x","x",IF(AX6="-","-",""))</f>
        <v/>
      </c>
      <c r="CG6" s="2" t="str">
        <f aca="false">IF(AY6="x","x",IF(AY6="-","-",""))</f>
        <v/>
      </c>
      <c r="CH6" s="2" t="str">
        <f aca="false">IF(AZ6="x","x",IF(AZ6="-","-",""))</f>
        <v/>
      </c>
      <c r="CI6" s="2" t="str">
        <f aca="false">IF(BA6="x","x",IF(BA6="-","-",""))</f>
        <v/>
      </c>
      <c r="CJ6" s="2" t="str">
        <f aca="false">IF(BB6="x","x",IF(BB6="-","-",""))</f>
        <v/>
      </c>
      <c r="CK6" s="2" t="str">
        <f aca="false">IF(BC6="x","x",IF(BC6="-","-",""))</f>
        <v/>
      </c>
      <c r="CL6" s="2" t="str">
        <f aca="false">IF(BD6="x","x",IF(BD6="-","-",""))</f>
        <v/>
      </c>
      <c r="CM6" s="2" t="str">
        <f aca="false">IF(BE6="x","x",IF(BE6="-","-",""))</f>
        <v/>
      </c>
      <c r="CN6" s="2" t="str">
        <f aca="false">IF(BF6="x","x",IF(BF6="-","-",""))</f>
        <v/>
      </c>
      <c r="CO6" s="2" t="str">
        <f aca="false">IF(BG6="x","x",IF(BG6="-","-",""))</f>
        <v/>
      </c>
      <c r="CP6" s="2" t="str">
        <f aca="false">IF(BH6="x","x",IF(BH6="-","-",""))</f>
        <v/>
      </c>
      <c r="CR6" s="2" t="str">
        <f aca="false">IF(P6="x","x",IF(P6="-","-",""))</f>
        <v/>
      </c>
      <c r="CS6" s="2" t="str">
        <f aca="false">IF(Q6="x","x",IF(Q6="-","-",""))</f>
        <v/>
      </c>
      <c r="CT6" s="2" t="str">
        <f aca="false">IF(R6="x","x",IF(R6="-","-",""))</f>
        <v/>
      </c>
      <c r="CU6" s="2" t="str">
        <f aca="false">IF(S6="x","x",IF(S6="-","-",""))</f>
        <v/>
      </c>
      <c r="CV6" s="2" t="str">
        <f aca="false">IF(T6="x","x",IF(T6="-","-",""))</f>
        <v>x</v>
      </c>
      <c r="CW6" s="2" t="str">
        <f aca="false">IF(U6="x","x",IF(U6="-","-",""))</f>
        <v/>
      </c>
      <c r="CX6" s="2" t="str">
        <f aca="false">IF(V6="x","x",IF(V6="-","-",""))</f>
        <v/>
      </c>
      <c r="CY6" s="2" t="str">
        <f aca="false">IF(W6="x","x",IF(W6="-","-",""))</f>
        <v/>
      </c>
      <c r="CZ6" s="2" t="s">
        <v>78</v>
      </c>
      <c r="DA6" s="2" t="s">
        <v>78</v>
      </c>
      <c r="DB6" s="2" t="s">
        <v>78</v>
      </c>
      <c r="DC6" s="2" t="s">
        <v>78</v>
      </c>
      <c r="DE6" s="2" t="str">
        <f aca="false">IF(Y6="x","x",IF(Y6="-","-",""))</f>
        <v>-</v>
      </c>
      <c r="DF6" s="2" t="str">
        <f aca="false">IF(Z6="x","x",IF(Z6="-","-",""))</f>
        <v>-</v>
      </c>
      <c r="DG6" s="2" t="str">
        <f aca="false">IF(AA6="x","x",IF(AA6="-","-",""))</f>
        <v>-</v>
      </c>
      <c r="DH6" s="2" t="str">
        <f aca="false">IF(AB6="x","x",IF(AB6="-","-",""))</f>
        <v>-</v>
      </c>
      <c r="DI6" s="2" t="str">
        <f aca="false">IF(AC6="x","x",IF(AC6="-","-",""))</f>
        <v>-</v>
      </c>
      <c r="DJ6" s="2" t="str">
        <f aca="false">IF(AD6="x","x",IF(AD6="-","-",""))</f>
        <v>-</v>
      </c>
      <c r="DK6" s="2" t="str">
        <f aca="false">IF(AE6="x","x",IF(AE6="-","-",""))</f>
        <v>-</v>
      </c>
      <c r="DL6" s="2" t="str">
        <f aca="false">IF(AF6="x","x",IF(AF6="-","-",""))</f>
        <v>-</v>
      </c>
      <c r="DM6" s="2" t="s">
        <v>78</v>
      </c>
      <c r="DN6" s="2" t="s">
        <v>78</v>
      </c>
      <c r="DO6" s="2" t="s">
        <v>78</v>
      </c>
      <c r="DP6" s="2" t="s">
        <v>78</v>
      </c>
      <c r="EG6" s="11"/>
      <c r="EH6" s="11"/>
      <c r="EI6" s="11"/>
      <c r="EJ6" s="11"/>
      <c r="EK6" s="11"/>
      <c r="EL6" s="11"/>
      <c r="EM6" s="11"/>
      <c r="EN6" s="11"/>
    </row>
    <row r="7" customFormat="false" ht="13.8" hidden="false" customHeight="false" outlineLevel="0" collapsed="false">
      <c r="A7" s="11" t="s">
        <v>73</v>
      </c>
      <c r="B7" s="2" t="n">
        <v>6</v>
      </c>
      <c r="C7" s="12" t="s">
        <v>84</v>
      </c>
      <c r="D7" s="11" t="s">
        <v>75</v>
      </c>
      <c r="E7" s="11" t="s">
        <v>76</v>
      </c>
      <c r="F7" s="11" t="n">
        <v>6</v>
      </c>
      <c r="G7" s="11" t="n">
        <v>30</v>
      </c>
      <c r="H7" s="11" t="s">
        <v>77</v>
      </c>
      <c r="I7" s="11" t="s">
        <v>73</v>
      </c>
      <c r="J7" s="11" t="s">
        <v>77</v>
      </c>
      <c r="K7" s="11"/>
      <c r="L7" s="11" t="s">
        <v>77</v>
      </c>
      <c r="M7" s="2" t="n">
        <v>120</v>
      </c>
      <c r="N7" s="11" t="s">
        <v>73</v>
      </c>
      <c r="O7" s="11"/>
      <c r="P7" s="11"/>
      <c r="Q7" s="11"/>
      <c r="R7" s="11"/>
      <c r="S7" s="11"/>
      <c r="T7" s="11"/>
      <c r="U7" s="11" t="s">
        <v>79</v>
      </c>
      <c r="V7" s="11"/>
      <c r="W7" s="11"/>
      <c r="X7" s="11"/>
      <c r="Y7" s="11" t="s">
        <v>78</v>
      </c>
      <c r="Z7" s="11" t="s">
        <v>78</v>
      </c>
      <c r="AA7" s="11" t="s">
        <v>78</v>
      </c>
      <c r="AB7" s="11" t="s">
        <v>78</v>
      </c>
      <c r="AC7" s="11" t="s">
        <v>78</v>
      </c>
      <c r="AD7" s="11" t="s">
        <v>78</v>
      </c>
      <c r="AE7" s="11" t="s">
        <v>78</v>
      </c>
      <c r="AF7" s="11" t="s">
        <v>78</v>
      </c>
      <c r="AH7" s="11" t="s">
        <v>73</v>
      </c>
      <c r="AI7" s="11" t="s">
        <v>73</v>
      </c>
      <c r="AK7" s="11" t="s">
        <v>79</v>
      </c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J7" s="11" t="s">
        <v>78</v>
      </c>
      <c r="BK7" s="11" t="s">
        <v>78</v>
      </c>
      <c r="BL7" s="11" t="s">
        <v>78</v>
      </c>
      <c r="BM7" s="11" t="s">
        <v>78</v>
      </c>
      <c r="BN7" s="11" t="s">
        <v>78</v>
      </c>
      <c r="BO7" s="11" t="s">
        <v>78</v>
      </c>
      <c r="BP7" s="11" t="s">
        <v>78</v>
      </c>
      <c r="BQ7" s="11" t="s">
        <v>78</v>
      </c>
      <c r="BS7" s="2" t="str">
        <f aca="false">IF(AK7="x","x",IF(AK7="-","-",""))</f>
        <v>x</v>
      </c>
      <c r="BT7" s="2" t="str">
        <f aca="false">IF(AL7="x","x",IF(AL7="-","-",""))</f>
        <v/>
      </c>
      <c r="BU7" s="2" t="str">
        <f aca="false">IF(AM7="x","x",IF(AM7="-","-",""))</f>
        <v/>
      </c>
      <c r="BV7" s="2" t="str">
        <f aca="false">IF(AN7="x","x",IF(AN7="-","-",""))</f>
        <v/>
      </c>
      <c r="BW7" s="2" t="str">
        <f aca="false">IF(AO7="x","x",IF(AO7="-","-",""))</f>
        <v/>
      </c>
      <c r="BX7" s="2" t="str">
        <f aca="false">IF(AP7="x","x",IF(AP7="-","-",""))</f>
        <v/>
      </c>
      <c r="BY7" s="2" t="str">
        <f aca="false">IF(AQ7="x","x",IF(AQ7="-","-",""))</f>
        <v/>
      </c>
      <c r="BZ7" s="2" t="str">
        <f aca="false">IF(AR7="x","x",IF(AR7="-","-",""))</f>
        <v/>
      </c>
      <c r="CA7" s="2" t="str">
        <f aca="false">IF(AS7="x","x",IF(AS7="-","-",""))</f>
        <v/>
      </c>
      <c r="CB7" s="2" t="str">
        <f aca="false">IF(AT7="x","x",IF(AT7="-","-",""))</f>
        <v/>
      </c>
      <c r="CC7" s="2" t="str">
        <f aca="false">IF(AU7="x","x",IF(AU7="-","-",""))</f>
        <v/>
      </c>
      <c r="CD7" s="2" t="str">
        <f aca="false">IF(AV7="x","x",IF(AV7="-","-",""))</f>
        <v/>
      </c>
      <c r="CE7" s="2" t="str">
        <f aca="false">IF(AW7="x","x",IF(AW7="-","-",""))</f>
        <v/>
      </c>
      <c r="CF7" s="2" t="str">
        <f aca="false">IF(AX7="x","x",IF(AX7="-","-",""))</f>
        <v/>
      </c>
      <c r="CG7" s="2" t="str">
        <f aca="false">IF(AY7="x","x",IF(AY7="-","-",""))</f>
        <v/>
      </c>
      <c r="CH7" s="2" t="str">
        <f aca="false">IF(AZ7="x","x",IF(AZ7="-","-",""))</f>
        <v/>
      </c>
      <c r="CI7" s="2" t="str">
        <f aca="false">IF(BA7="x","x",IF(BA7="-","-",""))</f>
        <v/>
      </c>
      <c r="CJ7" s="2" t="str">
        <f aca="false">IF(BB7="x","x",IF(BB7="-","-",""))</f>
        <v/>
      </c>
      <c r="CK7" s="2" t="str">
        <f aca="false">IF(BC7="x","x",IF(BC7="-","-",""))</f>
        <v/>
      </c>
      <c r="CL7" s="2" t="str">
        <f aca="false">IF(BD7="x","x",IF(BD7="-","-",""))</f>
        <v/>
      </c>
      <c r="CM7" s="2" t="str">
        <f aca="false">IF(BE7="x","x",IF(BE7="-","-",""))</f>
        <v/>
      </c>
      <c r="CN7" s="2" t="str">
        <f aca="false">IF(BF7="x","x",IF(BF7="-","-",""))</f>
        <v/>
      </c>
      <c r="CO7" s="2" t="str">
        <f aca="false">IF(BG7="x","x",IF(BG7="-","-",""))</f>
        <v/>
      </c>
      <c r="CP7" s="2" t="str">
        <f aca="false">IF(BH7="x","x",IF(BH7="-","-",""))</f>
        <v/>
      </c>
      <c r="CR7" s="2" t="str">
        <f aca="false">IF(P7="x","x",IF(P7="-","-",""))</f>
        <v/>
      </c>
      <c r="CS7" s="2" t="str">
        <f aca="false">IF(Q7="x","x",IF(Q7="-","-",""))</f>
        <v/>
      </c>
      <c r="CT7" s="2" t="str">
        <f aca="false">IF(R7="x","x",IF(R7="-","-",""))</f>
        <v/>
      </c>
      <c r="CU7" s="2" t="str">
        <f aca="false">IF(S7="x","x",IF(S7="-","-",""))</f>
        <v/>
      </c>
      <c r="CV7" s="2" t="str">
        <f aca="false">IF(T7="x","x",IF(T7="-","-",""))</f>
        <v/>
      </c>
      <c r="CW7" s="2" t="str">
        <f aca="false">IF(U7="x","x",IF(U7="-","-",""))</f>
        <v>x</v>
      </c>
      <c r="CX7" s="2" t="str">
        <f aca="false">IF(V7="x","x",IF(V7="-","-",""))</f>
        <v/>
      </c>
      <c r="CY7" s="2" t="str">
        <f aca="false">IF(W7="x","x",IF(W7="-","-",""))</f>
        <v/>
      </c>
      <c r="CZ7" s="2" t="s">
        <v>78</v>
      </c>
      <c r="DA7" s="2" t="s">
        <v>78</v>
      </c>
      <c r="DB7" s="2" t="s">
        <v>78</v>
      </c>
      <c r="DC7" s="2" t="s">
        <v>78</v>
      </c>
      <c r="DE7" s="2" t="str">
        <f aca="false">IF(Y7="x","x",IF(Y7="-","-",""))</f>
        <v>-</v>
      </c>
      <c r="DF7" s="2" t="str">
        <f aca="false">IF(Z7="x","x",IF(Z7="-","-",""))</f>
        <v>-</v>
      </c>
      <c r="DG7" s="2" t="str">
        <f aca="false">IF(AA7="x","x",IF(AA7="-","-",""))</f>
        <v>-</v>
      </c>
      <c r="DH7" s="2" t="str">
        <f aca="false">IF(AB7="x","x",IF(AB7="-","-",""))</f>
        <v>-</v>
      </c>
      <c r="DI7" s="2" t="str">
        <f aca="false">IF(AC7="x","x",IF(AC7="-","-",""))</f>
        <v>-</v>
      </c>
      <c r="DJ7" s="2" t="str">
        <f aca="false">IF(AD7="x","x",IF(AD7="-","-",""))</f>
        <v>-</v>
      </c>
      <c r="DK7" s="2" t="str">
        <f aca="false">IF(AE7="x","x",IF(AE7="-","-",""))</f>
        <v>-</v>
      </c>
      <c r="DL7" s="2" t="str">
        <f aca="false">IF(AF7="x","x",IF(AF7="-","-",""))</f>
        <v>-</v>
      </c>
      <c r="DM7" s="2" t="s">
        <v>78</v>
      </c>
      <c r="DN7" s="2" t="s">
        <v>78</v>
      </c>
      <c r="DO7" s="2" t="s">
        <v>78</v>
      </c>
      <c r="DP7" s="2" t="s">
        <v>78</v>
      </c>
      <c r="EG7" s="11"/>
      <c r="EH7" s="11"/>
      <c r="EI7" s="11"/>
      <c r="EJ7" s="11"/>
      <c r="EK7" s="11"/>
      <c r="EL7" s="11"/>
      <c r="EM7" s="11"/>
      <c r="EN7" s="11"/>
    </row>
    <row r="8" customFormat="false" ht="13.8" hidden="false" customHeight="false" outlineLevel="0" collapsed="false">
      <c r="A8" s="11" t="s">
        <v>73</v>
      </c>
      <c r="B8" s="2" t="n">
        <v>7</v>
      </c>
      <c r="C8" s="12" t="s">
        <v>85</v>
      </c>
      <c r="D8" s="11" t="s">
        <v>75</v>
      </c>
      <c r="E8" s="11" t="s">
        <v>76</v>
      </c>
      <c r="F8" s="11" t="n">
        <v>7</v>
      </c>
      <c r="G8" s="11" t="n">
        <v>35</v>
      </c>
      <c r="H8" s="11" t="s">
        <v>77</v>
      </c>
      <c r="I8" s="11" t="s">
        <v>77</v>
      </c>
      <c r="J8" s="11" t="s">
        <v>73</v>
      </c>
      <c r="K8" s="11" t="s">
        <v>78</v>
      </c>
      <c r="L8" s="11" t="s">
        <v>73</v>
      </c>
      <c r="M8" s="2" t="n">
        <v>140</v>
      </c>
      <c r="N8" s="11" t="s">
        <v>73</v>
      </c>
      <c r="O8" s="11"/>
      <c r="P8" s="11"/>
      <c r="Q8" s="11"/>
      <c r="R8" s="11"/>
      <c r="S8" s="11"/>
      <c r="T8" s="11"/>
      <c r="U8" s="11"/>
      <c r="V8" s="11" t="s">
        <v>79</v>
      </c>
      <c r="W8" s="11"/>
      <c r="X8" s="11"/>
      <c r="Y8" s="11" t="s">
        <v>78</v>
      </c>
      <c r="Z8" s="11" t="s">
        <v>78</v>
      </c>
      <c r="AA8" s="11" t="s">
        <v>78</v>
      </c>
      <c r="AB8" s="11" t="s">
        <v>78</v>
      </c>
      <c r="AC8" s="11" t="s">
        <v>78</v>
      </c>
      <c r="AD8" s="11" t="s">
        <v>78</v>
      </c>
      <c r="AE8" s="11" t="s">
        <v>78</v>
      </c>
      <c r="AF8" s="11" t="s">
        <v>78</v>
      </c>
      <c r="AH8" s="11" t="s">
        <v>73</v>
      </c>
      <c r="AI8" s="11" t="s">
        <v>73</v>
      </c>
      <c r="AK8" s="11" t="s">
        <v>79</v>
      </c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J8" s="11" t="s">
        <v>78</v>
      </c>
      <c r="BK8" s="11" t="s">
        <v>78</v>
      </c>
      <c r="BL8" s="11" t="s">
        <v>78</v>
      </c>
      <c r="BM8" s="11" t="s">
        <v>78</v>
      </c>
      <c r="BN8" s="11" t="s">
        <v>78</v>
      </c>
      <c r="BO8" s="11" t="s">
        <v>78</v>
      </c>
      <c r="BP8" s="11" t="s">
        <v>78</v>
      </c>
      <c r="BQ8" s="11" t="s">
        <v>78</v>
      </c>
      <c r="BS8" s="2" t="str">
        <f aca="false">IF(AK8="x","x",IF(AK8="-","-",""))</f>
        <v>x</v>
      </c>
      <c r="BT8" s="2" t="str">
        <f aca="false">IF(AL8="x","x",IF(AL8="-","-",""))</f>
        <v/>
      </c>
      <c r="BU8" s="2" t="str">
        <f aca="false">IF(AM8="x","x",IF(AM8="-","-",""))</f>
        <v/>
      </c>
      <c r="BV8" s="2" t="str">
        <f aca="false">IF(AN8="x","x",IF(AN8="-","-",""))</f>
        <v/>
      </c>
      <c r="BW8" s="2" t="str">
        <f aca="false">IF(AO8="x","x",IF(AO8="-","-",""))</f>
        <v/>
      </c>
      <c r="BX8" s="2" t="str">
        <f aca="false">IF(AP8="x","x",IF(AP8="-","-",""))</f>
        <v/>
      </c>
      <c r="BY8" s="2" t="str">
        <f aca="false">IF(AQ8="x","x",IF(AQ8="-","-",""))</f>
        <v/>
      </c>
      <c r="BZ8" s="2" t="str">
        <f aca="false">IF(AR8="x","x",IF(AR8="-","-",""))</f>
        <v/>
      </c>
      <c r="CA8" s="2" t="str">
        <f aca="false">IF(AS8="x","x",IF(AS8="-","-",""))</f>
        <v/>
      </c>
      <c r="CB8" s="2" t="str">
        <f aca="false">IF(AT8="x","x",IF(AT8="-","-",""))</f>
        <v/>
      </c>
      <c r="CC8" s="2" t="str">
        <f aca="false">IF(AU8="x","x",IF(AU8="-","-",""))</f>
        <v/>
      </c>
      <c r="CD8" s="2" t="str">
        <f aca="false">IF(AV8="x","x",IF(AV8="-","-",""))</f>
        <v/>
      </c>
      <c r="CE8" s="2" t="str">
        <f aca="false">IF(AW8="x","x",IF(AW8="-","-",""))</f>
        <v/>
      </c>
      <c r="CF8" s="2" t="str">
        <f aca="false">IF(AX8="x","x",IF(AX8="-","-",""))</f>
        <v/>
      </c>
      <c r="CG8" s="2" t="str">
        <f aca="false">IF(AY8="x","x",IF(AY8="-","-",""))</f>
        <v/>
      </c>
      <c r="CH8" s="2" t="str">
        <f aca="false">IF(AZ8="x","x",IF(AZ8="-","-",""))</f>
        <v/>
      </c>
      <c r="CI8" s="2" t="str">
        <f aca="false">IF(BA8="x","x",IF(BA8="-","-",""))</f>
        <v/>
      </c>
      <c r="CJ8" s="2" t="str">
        <f aca="false">IF(BB8="x","x",IF(BB8="-","-",""))</f>
        <v/>
      </c>
      <c r="CK8" s="2" t="str">
        <f aca="false">IF(BC8="x","x",IF(BC8="-","-",""))</f>
        <v/>
      </c>
      <c r="CL8" s="2" t="str">
        <f aca="false">IF(BD8="x","x",IF(BD8="-","-",""))</f>
        <v/>
      </c>
      <c r="CM8" s="2" t="str">
        <f aca="false">IF(BE8="x","x",IF(BE8="-","-",""))</f>
        <v/>
      </c>
      <c r="CN8" s="2" t="str">
        <f aca="false">IF(BF8="x","x",IF(BF8="-","-",""))</f>
        <v/>
      </c>
      <c r="CO8" s="2" t="str">
        <f aca="false">IF(BG8="x","x",IF(BG8="-","-",""))</f>
        <v/>
      </c>
      <c r="CP8" s="2" t="str">
        <f aca="false">IF(BH8="x","x",IF(BH8="-","-",""))</f>
        <v/>
      </c>
      <c r="CR8" s="2" t="str">
        <f aca="false">IF(P8="x","x",IF(P8="-","-",""))</f>
        <v/>
      </c>
      <c r="CS8" s="2" t="str">
        <f aca="false">IF(Q8="x","x",IF(Q8="-","-",""))</f>
        <v/>
      </c>
      <c r="CT8" s="2" t="str">
        <f aca="false">IF(R8="x","x",IF(R8="-","-",""))</f>
        <v/>
      </c>
      <c r="CU8" s="2" t="str">
        <f aca="false">IF(S8="x","x",IF(S8="-","-",""))</f>
        <v/>
      </c>
      <c r="CV8" s="2" t="str">
        <f aca="false">IF(T8="x","x",IF(T8="-","-",""))</f>
        <v/>
      </c>
      <c r="CW8" s="2" t="str">
        <f aca="false">IF(U8="x","x",IF(U8="-","-",""))</f>
        <v/>
      </c>
      <c r="CX8" s="2" t="str">
        <f aca="false">IF(V8="x","x",IF(V8="-","-",""))</f>
        <v>x</v>
      </c>
      <c r="CY8" s="2" t="str">
        <f aca="false">IF(W8="x","x",IF(W8="-","-",""))</f>
        <v/>
      </c>
      <c r="CZ8" s="2" t="s">
        <v>78</v>
      </c>
      <c r="DA8" s="2" t="s">
        <v>78</v>
      </c>
      <c r="DB8" s="2" t="s">
        <v>78</v>
      </c>
      <c r="DC8" s="2" t="s">
        <v>78</v>
      </c>
      <c r="DE8" s="2" t="str">
        <f aca="false">IF(Y8="x","x",IF(Y8="-","-",""))</f>
        <v>-</v>
      </c>
      <c r="DF8" s="2" t="str">
        <f aca="false">IF(Z8="x","x",IF(Z8="-","-",""))</f>
        <v>-</v>
      </c>
      <c r="DG8" s="2" t="str">
        <f aca="false">IF(AA8="x","x",IF(AA8="-","-",""))</f>
        <v>-</v>
      </c>
      <c r="DH8" s="2" t="str">
        <f aca="false">IF(AB8="x","x",IF(AB8="-","-",""))</f>
        <v>-</v>
      </c>
      <c r="DI8" s="2" t="str">
        <f aca="false">IF(AC8="x","x",IF(AC8="-","-",""))</f>
        <v>-</v>
      </c>
      <c r="DJ8" s="2" t="str">
        <f aca="false">IF(AD8="x","x",IF(AD8="-","-",""))</f>
        <v>-</v>
      </c>
      <c r="DK8" s="2" t="str">
        <f aca="false">IF(AE8="x","x",IF(AE8="-","-",""))</f>
        <v>-</v>
      </c>
      <c r="DL8" s="2" t="str">
        <f aca="false">IF(AF8="x","x",IF(AF8="-","-",""))</f>
        <v>-</v>
      </c>
      <c r="DM8" s="2" t="s">
        <v>78</v>
      </c>
      <c r="DN8" s="2" t="s">
        <v>78</v>
      </c>
      <c r="DO8" s="2" t="s">
        <v>78</v>
      </c>
      <c r="DP8" s="2" t="s">
        <v>78</v>
      </c>
      <c r="EG8" s="11"/>
      <c r="EH8" s="11"/>
      <c r="EI8" s="11"/>
      <c r="EJ8" s="11"/>
      <c r="EK8" s="11"/>
      <c r="EL8" s="11"/>
      <c r="EM8" s="11"/>
      <c r="EN8" s="11"/>
    </row>
    <row r="9" customFormat="false" ht="13.8" hidden="false" customHeight="false" outlineLevel="0" collapsed="false">
      <c r="A9" s="11" t="s">
        <v>73</v>
      </c>
      <c r="B9" s="2" t="n">
        <v>8</v>
      </c>
      <c r="C9" s="12" t="s">
        <v>86</v>
      </c>
      <c r="D9" s="11" t="s">
        <v>75</v>
      </c>
      <c r="E9" s="11" t="s">
        <v>76</v>
      </c>
      <c r="F9" s="11" t="n">
        <v>8</v>
      </c>
      <c r="G9" s="11" t="n">
        <v>40</v>
      </c>
      <c r="H9" s="11" t="s">
        <v>77</v>
      </c>
      <c r="I9" s="11" t="s">
        <v>73</v>
      </c>
      <c r="J9" s="11" t="s">
        <v>77</v>
      </c>
      <c r="K9" s="11"/>
      <c r="L9" s="11" t="s">
        <v>77</v>
      </c>
      <c r="M9" s="2" t="n">
        <v>160</v>
      </c>
      <c r="N9" s="11" t="s">
        <v>73</v>
      </c>
      <c r="O9" s="11"/>
      <c r="P9" s="11"/>
      <c r="Q9" s="11"/>
      <c r="R9" s="11"/>
      <c r="S9" s="11"/>
      <c r="T9" s="11"/>
      <c r="U9" s="11"/>
      <c r="V9" s="11"/>
      <c r="W9" s="11" t="s">
        <v>79</v>
      </c>
      <c r="X9" s="11"/>
      <c r="Y9" s="11" t="s">
        <v>78</v>
      </c>
      <c r="Z9" s="11" t="s">
        <v>78</v>
      </c>
      <c r="AA9" s="11" t="s">
        <v>78</v>
      </c>
      <c r="AB9" s="11" t="s">
        <v>78</v>
      </c>
      <c r="AC9" s="11" t="s">
        <v>78</v>
      </c>
      <c r="AD9" s="11" t="s">
        <v>78</v>
      </c>
      <c r="AE9" s="11" t="s">
        <v>78</v>
      </c>
      <c r="AF9" s="11" t="s">
        <v>78</v>
      </c>
      <c r="AH9" s="11" t="s">
        <v>73</v>
      </c>
      <c r="AI9" s="11" t="s">
        <v>73</v>
      </c>
      <c r="AK9" s="11" t="s">
        <v>79</v>
      </c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J9" s="11" t="s">
        <v>78</v>
      </c>
      <c r="BK9" s="11" t="s">
        <v>78</v>
      </c>
      <c r="BL9" s="11" t="s">
        <v>78</v>
      </c>
      <c r="BM9" s="11" t="s">
        <v>78</v>
      </c>
      <c r="BN9" s="11" t="s">
        <v>78</v>
      </c>
      <c r="BO9" s="11" t="s">
        <v>78</v>
      </c>
      <c r="BP9" s="11" t="s">
        <v>78</v>
      </c>
      <c r="BQ9" s="11" t="s">
        <v>78</v>
      </c>
      <c r="BS9" s="2" t="str">
        <f aca="false">IF(AK9="x","x",IF(AK9="-","-",""))</f>
        <v>x</v>
      </c>
      <c r="BT9" s="2" t="str">
        <f aca="false">IF(AL9="x","x",IF(AL9="-","-",""))</f>
        <v/>
      </c>
      <c r="BU9" s="2" t="str">
        <f aca="false">IF(AM9="x","x",IF(AM9="-","-",""))</f>
        <v/>
      </c>
      <c r="BV9" s="2" t="str">
        <f aca="false">IF(AN9="x","x",IF(AN9="-","-",""))</f>
        <v/>
      </c>
      <c r="BW9" s="2" t="str">
        <f aca="false">IF(AO9="x","x",IF(AO9="-","-",""))</f>
        <v/>
      </c>
      <c r="BX9" s="2" t="str">
        <f aca="false">IF(AP9="x","x",IF(AP9="-","-",""))</f>
        <v/>
      </c>
      <c r="BY9" s="2" t="str">
        <f aca="false">IF(AQ9="x","x",IF(AQ9="-","-",""))</f>
        <v/>
      </c>
      <c r="BZ9" s="2" t="str">
        <f aca="false">IF(AR9="x","x",IF(AR9="-","-",""))</f>
        <v/>
      </c>
      <c r="CA9" s="2" t="str">
        <f aca="false">IF(AS9="x","x",IF(AS9="-","-",""))</f>
        <v/>
      </c>
      <c r="CB9" s="2" t="str">
        <f aca="false">IF(AT9="x","x",IF(AT9="-","-",""))</f>
        <v/>
      </c>
      <c r="CC9" s="2" t="str">
        <f aca="false">IF(AU9="x","x",IF(AU9="-","-",""))</f>
        <v/>
      </c>
      <c r="CD9" s="2" t="str">
        <f aca="false">IF(AV9="x","x",IF(AV9="-","-",""))</f>
        <v/>
      </c>
      <c r="CE9" s="2" t="str">
        <f aca="false">IF(AW9="x","x",IF(AW9="-","-",""))</f>
        <v/>
      </c>
      <c r="CF9" s="2" t="str">
        <f aca="false">IF(AX9="x","x",IF(AX9="-","-",""))</f>
        <v/>
      </c>
      <c r="CG9" s="2" t="str">
        <f aca="false">IF(AY9="x","x",IF(AY9="-","-",""))</f>
        <v/>
      </c>
      <c r="CH9" s="2" t="str">
        <f aca="false">IF(AZ9="x","x",IF(AZ9="-","-",""))</f>
        <v/>
      </c>
      <c r="CI9" s="2" t="str">
        <f aca="false">IF(BA9="x","x",IF(BA9="-","-",""))</f>
        <v/>
      </c>
      <c r="CJ9" s="2" t="str">
        <f aca="false">IF(BB9="x","x",IF(BB9="-","-",""))</f>
        <v/>
      </c>
      <c r="CK9" s="2" t="str">
        <f aca="false">IF(BC9="x","x",IF(BC9="-","-",""))</f>
        <v/>
      </c>
      <c r="CL9" s="2" t="str">
        <f aca="false">IF(BD9="x","x",IF(BD9="-","-",""))</f>
        <v/>
      </c>
      <c r="CM9" s="2" t="str">
        <f aca="false">IF(BE9="x","x",IF(BE9="-","-",""))</f>
        <v/>
      </c>
      <c r="CN9" s="2" t="str">
        <f aca="false">IF(BF9="x","x",IF(BF9="-","-",""))</f>
        <v/>
      </c>
      <c r="CO9" s="2" t="str">
        <f aca="false">IF(BG9="x","x",IF(BG9="-","-",""))</f>
        <v/>
      </c>
      <c r="CP9" s="2" t="str">
        <f aca="false">IF(BH9="x","x",IF(BH9="-","-",""))</f>
        <v/>
      </c>
      <c r="CR9" s="2" t="str">
        <f aca="false">IF(P9="x","x",IF(P9="-","-",""))</f>
        <v/>
      </c>
      <c r="CS9" s="2" t="str">
        <f aca="false">IF(Q9="x","x",IF(Q9="-","-",""))</f>
        <v/>
      </c>
      <c r="CT9" s="2" t="str">
        <f aca="false">IF(R9="x","x",IF(R9="-","-",""))</f>
        <v/>
      </c>
      <c r="CU9" s="2" t="str">
        <f aca="false">IF(S9="x","x",IF(S9="-","-",""))</f>
        <v/>
      </c>
      <c r="CV9" s="2" t="str">
        <f aca="false">IF(T9="x","x",IF(T9="-","-",""))</f>
        <v/>
      </c>
      <c r="CW9" s="2" t="str">
        <f aca="false">IF(U9="x","x",IF(U9="-","-",""))</f>
        <v/>
      </c>
      <c r="CX9" s="2" t="str">
        <f aca="false">IF(V9="x","x",IF(V9="-","-",""))</f>
        <v/>
      </c>
      <c r="CY9" s="2" t="str">
        <f aca="false">IF(W9="x","x",IF(W9="-","-",""))</f>
        <v>x</v>
      </c>
      <c r="CZ9" s="2" t="s">
        <v>78</v>
      </c>
      <c r="DA9" s="2" t="s">
        <v>78</v>
      </c>
      <c r="DB9" s="2" t="s">
        <v>78</v>
      </c>
      <c r="DC9" s="2" t="s">
        <v>78</v>
      </c>
      <c r="DE9" s="2" t="str">
        <f aca="false">IF(Y9="x","x",IF(Y9="-","-",""))</f>
        <v>-</v>
      </c>
      <c r="DF9" s="2" t="str">
        <f aca="false">IF(Z9="x","x",IF(Z9="-","-",""))</f>
        <v>-</v>
      </c>
      <c r="DG9" s="2" t="str">
        <f aca="false">IF(AA9="x","x",IF(AA9="-","-",""))</f>
        <v>-</v>
      </c>
      <c r="DH9" s="2" t="str">
        <f aca="false">IF(AB9="x","x",IF(AB9="-","-",""))</f>
        <v>-</v>
      </c>
      <c r="DI9" s="2" t="str">
        <f aca="false">IF(AC9="x","x",IF(AC9="-","-",""))</f>
        <v>-</v>
      </c>
      <c r="DJ9" s="2" t="str">
        <f aca="false">IF(AD9="x","x",IF(AD9="-","-",""))</f>
        <v>-</v>
      </c>
      <c r="DK9" s="2" t="str">
        <f aca="false">IF(AE9="x","x",IF(AE9="-","-",""))</f>
        <v>-</v>
      </c>
      <c r="DL9" s="2" t="str">
        <f aca="false">IF(AF9="x","x",IF(AF9="-","-",""))</f>
        <v>-</v>
      </c>
      <c r="DM9" s="2" t="s">
        <v>78</v>
      </c>
      <c r="DN9" s="2" t="s">
        <v>78</v>
      </c>
      <c r="DO9" s="2" t="s">
        <v>78</v>
      </c>
      <c r="DP9" s="2" t="s">
        <v>78</v>
      </c>
      <c r="EG9" s="11"/>
      <c r="EH9" s="11"/>
      <c r="EI9" s="11"/>
      <c r="EJ9" s="11"/>
      <c r="EK9" s="11"/>
      <c r="EL9" s="11"/>
      <c r="EM9" s="11"/>
      <c r="EN9" s="11"/>
    </row>
    <row r="10" customFormat="false" ht="13.8" hidden="false" customHeight="false" outlineLevel="0" collapsed="false">
      <c r="A10" s="11" t="s">
        <v>73</v>
      </c>
      <c r="B10" s="2" t="n">
        <v>9</v>
      </c>
      <c r="C10" s="12" t="s">
        <v>87</v>
      </c>
      <c r="D10" s="11" t="s">
        <v>75</v>
      </c>
      <c r="E10" s="11" t="s">
        <v>76</v>
      </c>
      <c r="F10" s="11" t="n">
        <v>9</v>
      </c>
      <c r="G10" s="11" t="n">
        <v>45</v>
      </c>
      <c r="H10" s="11" t="s">
        <v>77</v>
      </c>
      <c r="I10" s="11" t="s">
        <v>77</v>
      </c>
      <c r="J10" s="11" t="s">
        <v>73</v>
      </c>
      <c r="K10" s="11" t="s">
        <v>78</v>
      </c>
      <c r="L10" s="11" t="s">
        <v>73</v>
      </c>
      <c r="M10" s="2" t="n">
        <v>180</v>
      </c>
      <c r="N10" s="11" t="s">
        <v>73</v>
      </c>
      <c r="O10" s="11"/>
      <c r="P10" s="11" t="s">
        <v>78</v>
      </c>
      <c r="Q10" s="11" t="s">
        <v>78</v>
      </c>
      <c r="R10" s="11" t="s">
        <v>78</v>
      </c>
      <c r="S10" s="11" t="s">
        <v>78</v>
      </c>
      <c r="T10" s="11" t="s">
        <v>78</v>
      </c>
      <c r="U10" s="11" t="s">
        <v>78</v>
      </c>
      <c r="V10" s="11" t="s">
        <v>78</v>
      </c>
      <c r="W10" s="11" t="s">
        <v>78</v>
      </c>
      <c r="X10" s="11"/>
      <c r="Y10" s="11" t="s">
        <v>78</v>
      </c>
      <c r="Z10" s="11" t="s">
        <v>78</v>
      </c>
      <c r="AA10" s="11" t="s">
        <v>78</v>
      </c>
      <c r="AB10" s="11" t="s">
        <v>78</v>
      </c>
      <c r="AC10" s="11" t="s">
        <v>78</v>
      </c>
      <c r="AD10" s="11" t="s">
        <v>78</v>
      </c>
      <c r="AE10" s="11" t="s">
        <v>78</v>
      </c>
      <c r="AF10" s="11" t="s">
        <v>78</v>
      </c>
      <c r="AH10" s="11" t="s">
        <v>73</v>
      </c>
      <c r="AI10" s="11" t="s">
        <v>73</v>
      </c>
      <c r="AK10" s="11" t="s">
        <v>79</v>
      </c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J10" s="11" t="s">
        <v>78</v>
      </c>
      <c r="BK10" s="11" t="s">
        <v>78</v>
      </c>
      <c r="BL10" s="11" t="s">
        <v>78</v>
      </c>
      <c r="BM10" s="11" t="s">
        <v>78</v>
      </c>
      <c r="BN10" s="11" t="s">
        <v>78</v>
      </c>
      <c r="BO10" s="11" t="s">
        <v>78</v>
      </c>
      <c r="BP10" s="11" t="s">
        <v>78</v>
      </c>
      <c r="BQ10" s="11" t="s">
        <v>78</v>
      </c>
      <c r="BS10" s="2" t="str">
        <f aca="false">IF(AK10="x","x",IF(AK10="-","-",""))</f>
        <v>x</v>
      </c>
      <c r="BT10" s="2" t="str">
        <f aca="false">IF(AL10="x","x",IF(AL10="-","-",""))</f>
        <v/>
      </c>
      <c r="BU10" s="2" t="str">
        <f aca="false">IF(AM10="x","x",IF(AM10="-","-",""))</f>
        <v/>
      </c>
      <c r="BV10" s="2" t="str">
        <f aca="false">IF(AN10="x","x",IF(AN10="-","-",""))</f>
        <v/>
      </c>
      <c r="BW10" s="2" t="str">
        <f aca="false">IF(AO10="x","x",IF(AO10="-","-",""))</f>
        <v/>
      </c>
      <c r="BX10" s="2" t="str">
        <f aca="false">IF(AP10="x","x",IF(AP10="-","-",""))</f>
        <v/>
      </c>
      <c r="BY10" s="2" t="str">
        <f aca="false">IF(AQ10="x","x",IF(AQ10="-","-",""))</f>
        <v/>
      </c>
      <c r="BZ10" s="2" t="str">
        <f aca="false">IF(AR10="x","x",IF(AR10="-","-",""))</f>
        <v/>
      </c>
      <c r="CA10" s="2" t="str">
        <f aca="false">IF(AS10="x","x",IF(AS10="-","-",""))</f>
        <v/>
      </c>
      <c r="CB10" s="2" t="str">
        <f aca="false">IF(AT10="x","x",IF(AT10="-","-",""))</f>
        <v/>
      </c>
      <c r="CC10" s="2" t="str">
        <f aca="false">IF(AU10="x","x",IF(AU10="-","-",""))</f>
        <v/>
      </c>
      <c r="CD10" s="2" t="str">
        <f aca="false">IF(AV10="x","x",IF(AV10="-","-",""))</f>
        <v/>
      </c>
      <c r="CE10" s="2" t="str">
        <f aca="false">IF(AW10="x","x",IF(AW10="-","-",""))</f>
        <v/>
      </c>
      <c r="CF10" s="2" t="str">
        <f aca="false">IF(AX10="x","x",IF(AX10="-","-",""))</f>
        <v/>
      </c>
      <c r="CG10" s="2" t="str">
        <f aca="false">IF(AY10="x","x",IF(AY10="-","-",""))</f>
        <v/>
      </c>
      <c r="CH10" s="2" t="str">
        <f aca="false">IF(AZ10="x","x",IF(AZ10="-","-",""))</f>
        <v/>
      </c>
      <c r="CI10" s="2" t="str">
        <f aca="false">IF(BA10="x","x",IF(BA10="-","-",""))</f>
        <v/>
      </c>
      <c r="CJ10" s="2" t="str">
        <f aca="false">IF(BB10="x","x",IF(BB10="-","-",""))</f>
        <v/>
      </c>
      <c r="CK10" s="2" t="str">
        <f aca="false">IF(BC10="x","x",IF(BC10="-","-",""))</f>
        <v/>
      </c>
      <c r="CL10" s="2" t="str">
        <f aca="false">IF(BD10="x","x",IF(BD10="-","-",""))</f>
        <v/>
      </c>
      <c r="CM10" s="2" t="str">
        <f aca="false">IF(BE10="x","x",IF(BE10="-","-",""))</f>
        <v/>
      </c>
      <c r="CN10" s="2" t="str">
        <f aca="false">IF(BF10="x","x",IF(BF10="-","-",""))</f>
        <v/>
      </c>
      <c r="CO10" s="2" t="str">
        <f aca="false">IF(BG10="x","x",IF(BG10="-","-",""))</f>
        <v/>
      </c>
      <c r="CP10" s="2" t="str">
        <f aca="false">IF(BH10="x","x",IF(BH10="-","-",""))</f>
        <v/>
      </c>
      <c r="CR10" s="2" t="str">
        <f aca="false">IF(P10="x","x",IF(P10="-","-",""))</f>
        <v>-</v>
      </c>
      <c r="CS10" s="2" t="str">
        <f aca="false">IF(Q10="x","x",IF(Q10="-","-",""))</f>
        <v>-</v>
      </c>
      <c r="CT10" s="2" t="str">
        <f aca="false">IF(R10="x","x",IF(R10="-","-",""))</f>
        <v>-</v>
      </c>
      <c r="CU10" s="2" t="str">
        <f aca="false">IF(S10="x","x",IF(S10="-","-",""))</f>
        <v>-</v>
      </c>
      <c r="CV10" s="2" t="str">
        <f aca="false">IF(T10="x","x",IF(T10="-","-",""))</f>
        <v>-</v>
      </c>
      <c r="CW10" s="2" t="str">
        <f aca="false">IF(U10="x","x",IF(U10="-","-",""))</f>
        <v>-</v>
      </c>
      <c r="CX10" s="2" t="str">
        <f aca="false">IF(V10="x","x",IF(V10="-","-",""))</f>
        <v>-</v>
      </c>
      <c r="CY10" s="2" t="str">
        <f aca="false">IF(W10="x","x",IF(W10="-","-",""))</f>
        <v>-</v>
      </c>
      <c r="CZ10" s="2" t="s">
        <v>78</v>
      </c>
      <c r="DA10" s="2" t="s">
        <v>78</v>
      </c>
      <c r="DB10" s="2" t="s">
        <v>78</v>
      </c>
      <c r="DC10" s="2" t="s">
        <v>78</v>
      </c>
      <c r="DE10" s="2" t="str">
        <f aca="false">IF(Y10="x","x",IF(Y10="-","-",""))</f>
        <v>-</v>
      </c>
      <c r="DF10" s="2" t="str">
        <f aca="false">IF(Z10="x","x",IF(Z10="-","-",""))</f>
        <v>-</v>
      </c>
      <c r="DG10" s="2" t="str">
        <f aca="false">IF(AA10="x","x",IF(AA10="-","-",""))</f>
        <v>-</v>
      </c>
      <c r="DH10" s="2" t="str">
        <f aca="false">IF(AB10="x","x",IF(AB10="-","-",""))</f>
        <v>-</v>
      </c>
      <c r="DI10" s="2" t="str">
        <f aca="false">IF(AC10="x","x",IF(AC10="-","-",""))</f>
        <v>-</v>
      </c>
      <c r="DJ10" s="2" t="str">
        <f aca="false">IF(AD10="x","x",IF(AD10="-","-",""))</f>
        <v>-</v>
      </c>
      <c r="DK10" s="2" t="str">
        <f aca="false">IF(AE10="x","x",IF(AE10="-","-",""))</f>
        <v>-</v>
      </c>
      <c r="DL10" s="2" t="str">
        <f aca="false">IF(AF10="x","x",IF(AF10="-","-",""))</f>
        <v>-</v>
      </c>
      <c r="DM10" s="2" t="s">
        <v>78</v>
      </c>
      <c r="DN10" s="2" t="s">
        <v>78</v>
      </c>
      <c r="DO10" s="2" t="s">
        <v>78</v>
      </c>
      <c r="DP10" s="2" t="s">
        <v>78</v>
      </c>
      <c r="EG10" s="11"/>
      <c r="EH10" s="11"/>
      <c r="EI10" s="11"/>
      <c r="EJ10" s="11"/>
      <c r="EK10" s="11"/>
      <c r="EL10" s="11"/>
      <c r="EM10" s="11"/>
      <c r="EN10" s="11"/>
    </row>
    <row r="11" customFormat="false" ht="13.8" hidden="false" customHeight="false" outlineLevel="0" collapsed="false">
      <c r="A11" s="11" t="s">
        <v>73</v>
      </c>
      <c r="B11" s="2" t="n">
        <v>10</v>
      </c>
      <c r="C11" s="12" t="s">
        <v>88</v>
      </c>
      <c r="D11" s="11" t="s">
        <v>75</v>
      </c>
      <c r="E11" s="11" t="s">
        <v>76</v>
      </c>
      <c r="F11" s="11" t="n">
        <v>10</v>
      </c>
      <c r="G11" s="11" t="n">
        <v>50</v>
      </c>
      <c r="H11" s="11" t="s">
        <v>77</v>
      </c>
      <c r="I11" s="11" t="s">
        <v>73</v>
      </c>
      <c r="J11" s="11" t="s">
        <v>77</v>
      </c>
      <c r="K11" s="11"/>
      <c r="L11" s="11" t="s">
        <v>77</v>
      </c>
      <c r="M11" s="2" t="n">
        <v>200</v>
      </c>
      <c r="N11" s="11" t="s">
        <v>73</v>
      </c>
      <c r="O11" s="11"/>
      <c r="P11" s="11" t="s">
        <v>78</v>
      </c>
      <c r="Q11" s="11" t="s">
        <v>78</v>
      </c>
      <c r="R11" s="11" t="s">
        <v>78</v>
      </c>
      <c r="S11" s="11" t="s">
        <v>78</v>
      </c>
      <c r="T11" s="11" t="s">
        <v>78</v>
      </c>
      <c r="U11" s="11" t="s">
        <v>78</v>
      </c>
      <c r="V11" s="11" t="s">
        <v>78</v>
      </c>
      <c r="W11" s="11" t="s">
        <v>78</v>
      </c>
      <c r="X11" s="11"/>
      <c r="Y11" s="11" t="s">
        <v>78</v>
      </c>
      <c r="Z11" s="11" t="s">
        <v>78</v>
      </c>
      <c r="AA11" s="11" t="s">
        <v>78</v>
      </c>
      <c r="AB11" s="11" t="s">
        <v>78</v>
      </c>
      <c r="AC11" s="11" t="s">
        <v>78</v>
      </c>
      <c r="AD11" s="11" t="s">
        <v>78</v>
      </c>
      <c r="AE11" s="11" t="s">
        <v>78</v>
      </c>
      <c r="AF11" s="11" t="s">
        <v>78</v>
      </c>
      <c r="AH11" s="11" t="s">
        <v>73</v>
      </c>
      <c r="AI11" s="11" t="s">
        <v>73</v>
      </c>
      <c r="AK11" s="11" t="s">
        <v>79</v>
      </c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J11" s="11" t="s">
        <v>78</v>
      </c>
      <c r="BK11" s="11" t="s">
        <v>78</v>
      </c>
      <c r="BL11" s="11" t="s">
        <v>78</v>
      </c>
      <c r="BM11" s="11" t="s">
        <v>78</v>
      </c>
      <c r="BN11" s="11" t="s">
        <v>78</v>
      </c>
      <c r="BO11" s="11" t="s">
        <v>78</v>
      </c>
      <c r="BP11" s="11" t="s">
        <v>78</v>
      </c>
      <c r="BQ11" s="11" t="s">
        <v>78</v>
      </c>
      <c r="BS11" s="2" t="str">
        <f aca="false">IF(AK11="x","x",IF(AK11="-","-",""))</f>
        <v>x</v>
      </c>
      <c r="BT11" s="2" t="str">
        <f aca="false">IF(AL11="x","x",IF(AL11="-","-",""))</f>
        <v/>
      </c>
      <c r="BU11" s="2" t="str">
        <f aca="false">IF(AM11="x","x",IF(AM11="-","-",""))</f>
        <v/>
      </c>
      <c r="BV11" s="2" t="str">
        <f aca="false">IF(AN11="x","x",IF(AN11="-","-",""))</f>
        <v/>
      </c>
      <c r="BW11" s="2" t="str">
        <f aca="false">IF(AO11="x","x",IF(AO11="-","-",""))</f>
        <v/>
      </c>
      <c r="BX11" s="2" t="str">
        <f aca="false">IF(AP11="x","x",IF(AP11="-","-",""))</f>
        <v/>
      </c>
      <c r="BY11" s="2" t="str">
        <f aca="false">IF(AQ11="x","x",IF(AQ11="-","-",""))</f>
        <v/>
      </c>
      <c r="BZ11" s="2" t="str">
        <f aca="false">IF(AR11="x","x",IF(AR11="-","-",""))</f>
        <v/>
      </c>
      <c r="CA11" s="2" t="str">
        <f aca="false">IF(AS11="x","x",IF(AS11="-","-",""))</f>
        <v/>
      </c>
      <c r="CB11" s="2" t="str">
        <f aca="false">IF(AT11="x","x",IF(AT11="-","-",""))</f>
        <v/>
      </c>
      <c r="CC11" s="2" t="str">
        <f aca="false">IF(AU11="x","x",IF(AU11="-","-",""))</f>
        <v/>
      </c>
      <c r="CD11" s="2" t="str">
        <f aca="false">IF(AV11="x","x",IF(AV11="-","-",""))</f>
        <v/>
      </c>
      <c r="CE11" s="2" t="str">
        <f aca="false">IF(AW11="x","x",IF(AW11="-","-",""))</f>
        <v/>
      </c>
      <c r="CF11" s="2" t="str">
        <f aca="false">IF(AX11="x","x",IF(AX11="-","-",""))</f>
        <v/>
      </c>
      <c r="CG11" s="2" t="str">
        <f aca="false">IF(AY11="x","x",IF(AY11="-","-",""))</f>
        <v/>
      </c>
      <c r="CH11" s="2" t="str">
        <f aca="false">IF(AZ11="x","x",IF(AZ11="-","-",""))</f>
        <v/>
      </c>
      <c r="CI11" s="2" t="str">
        <f aca="false">IF(BA11="x","x",IF(BA11="-","-",""))</f>
        <v/>
      </c>
      <c r="CJ11" s="2" t="str">
        <f aca="false">IF(BB11="x","x",IF(BB11="-","-",""))</f>
        <v/>
      </c>
      <c r="CK11" s="2" t="str">
        <f aca="false">IF(BC11="x","x",IF(BC11="-","-",""))</f>
        <v/>
      </c>
      <c r="CL11" s="2" t="str">
        <f aca="false">IF(BD11="x","x",IF(BD11="-","-",""))</f>
        <v/>
      </c>
      <c r="CM11" s="2" t="str">
        <f aca="false">IF(BE11="x","x",IF(BE11="-","-",""))</f>
        <v/>
      </c>
      <c r="CN11" s="2" t="str">
        <f aca="false">IF(BF11="x","x",IF(BF11="-","-",""))</f>
        <v/>
      </c>
      <c r="CO11" s="2" t="str">
        <f aca="false">IF(BG11="x","x",IF(BG11="-","-",""))</f>
        <v/>
      </c>
      <c r="CP11" s="2" t="str">
        <f aca="false">IF(BH11="x","x",IF(BH11="-","-",""))</f>
        <v/>
      </c>
      <c r="CR11" s="2" t="str">
        <f aca="false">IF(P11="x","x",IF(P11="-","-",""))</f>
        <v>-</v>
      </c>
      <c r="CS11" s="2" t="str">
        <f aca="false">IF(Q11="x","x",IF(Q11="-","-",""))</f>
        <v>-</v>
      </c>
      <c r="CT11" s="2" t="str">
        <f aca="false">IF(R11="x","x",IF(R11="-","-",""))</f>
        <v>-</v>
      </c>
      <c r="CU11" s="2" t="str">
        <f aca="false">IF(S11="x","x",IF(S11="-","-",""))</f>
        <v>-</v>
      </c>
      <c r="CV11" s="2" t="str">
        <f aca="false">IF(T11="x","x",IF(T11="-","-",""))</f>
        <v>-</v>
      </c>
      <c r="CW11" s="2" t="str">
        <f aca="false">IF(U11="x","x",IF(U11="-","-",""))</f>
        <v>-</v>
      </c>
      <c r="CX11" s="2" t="str">
        <f aca="false">IF(V11="x","x",IF(V11="-","-",""))</f>
        <v>-</v>
      </c>
      <c r="CY11" s="2" t="str">
        <f aca="false">IF(W11="x","x",IF(W11="-","-",""))</f>
        <v>-</v>
      </c>
      <c r="CZ11" s="2" t="s">
        <v>78</v>
      </c>
      <c r="DA11" s="2" t="s">
        <v>78</v>
      </c>
      <c r="DB11" s="2" t="s">
        <v>78</v>
      </c>
      <c r="DC11" s="2" t="s">
        <v>78</v>
      </c>
      <c r="DE11" s="2" t="str">
        <f aca="false">IF(Y11="x","x",IF(Y11="-","-",""))</f>
        <v>-</v>
      </c>
      <c r="DF11" s="2" t="str">
        <f aca="false">IF(Z11="x","x",IF(Z11="-","-",""))</f>
        <v>-</v>
      </c>
      <c r="DG11" s="2" t="str">
        <f aca="false">IF(AA11="x","x",IF(AA11="-","-",""))</f>
        <v>-</v>
      </c>
      <c r="DH11" s="2" t="str">
        <f aca="false">IF(AB11="x","x",IF(AB11="-","-",""))</f>
        <v>-</v>
      </c>
      <c r="DI11" s="2" t="str">
        <f aca="false">IF(AC11="x","x",IF(AC11="-","-",""))</f>
        <v>-</v>
      </c>
      <c r="DJ11" s="2" t="str">
        <f aca="false">IF(AD11="x","x",IF(AD11="-","-",""))</f>
        <v>-</v>
      </c>
      <c r="DK11" s="2" t="str">
        <f aca="false">IF(AE11="x","x",IF(AE11="-","-",""))</f>
        <v>-</v>
      </c>
      <c r="DL11" s="2" t="str">
        <f aca="false">IF(AF11="x","x",IF(AF11="-","-",""))</f>
        <v>-</v>
      </c>
      <c r="DM11" s="2" t="s">
        <v>78</v>
      </c>
      <c r="DN11" s="2" t="s">
        <v>78</v>
      </c>
      <c r="DO11" s="2" t="s">
        <v>78</v>
      </c>
      <c r="DP11" s="2" t="s">
        <v>78</v>
      </c>
      <c r="EG11" s="11"/>
      <c r="EH11" s="11"/>
      <c r="EI11" s="11"/>
      <c r="EJ11" s="11"/>
      <c r="EK11" s="11"/>
      <c r="EL11" s="11"/>
      <c r="EM11" s="11"/>
      <c r="EN11" s="11"/>
    </row>
    <row r="12" customFormat="false" ht="13.8" hidden="false" customHeight="false" outlineLevel="0" collapsed="false">
      <c r="A12" s="11" t="s">
        <v>73</v>
      </c>
      <c r="B12" s="2" t="n">
        <v>11</v>
      </c>
      <c r="C12" s="12" t="s">
        <v>89</v>
      </c>
      <c r="D12" s="11" t="s">
        <v>75</v>
      </c>
      <c r="E12" s="11" t="s">
        <v>76</v>
      </c>
      <c r="F12" s="11" t="n">
        <v>11</v>
      </c>
      <c r="G12" s="11" t="n">
        <v>55</v>
      </c>
      <c r="H12" s="11" t="s">
        <v>77</v>
      </c>
      <c r="I12" s="11" t="s">
        <v>77</v>
      </c>
      <c r="J12" s="11" t="s">
        <v>73</v>
      </c>
      <c r="K12" s="11" t="s">
        <v>78</v>
      </c>
      <c r="L12" s="11" t="s">
        <v>73</v>
      </c>
      <c r="M12" s="2" t="n">
        <v>220</v>
      </c>
      <c r="N12" s="11" t="s">
        <v>73</v>
      </c>
      <c r="O12" s="11"/>
      <c r="P12" s="11" t="s">
        <v>78</v>
      </c>
      <c r="Q12" s="11" t="s">
        <v>78</v>
      </c>
      <c r="R12" s="11" t="s">
        <v>78</v>
      </c>
      <c r="S12" s="11" t="s">
        <v>78</v>
      </c>
      <c r="T12" s="11" t="s">
        <v>78</v>
      </c>
      <c r="U12" s="11" t="s">
        <v>78</v>
      </c>
      <c r="V12" s="11" t="s">
        <v>78</v>
      </c>
      <c r="W12" s="11" t="s">
        <v>78</v>
      </c>
      <c r="X12" s="11"/>
      <c r="Y12" s="11" t="s">
        <v>78</v>
      </c>
      <c r="Z12" s="11" t="s">
        <v>78</v>
      </c>
      <c r="AA12" s="11" t="s">
        <v>78</v>
      </c>
      <c r="AB12" s="11" t="s">
        <v>78</v>
      </c>
      <c r="AC12" s="11" t="s">
        <v>78</v>
      </c>
      <c r="AD12" s="11" t="s">
        <v>78</v>
      </c>
      <c r="AE12" s="11" t="s">
        <v>78</v>
      </c>
      <c r="AF12" s="11" t="s">
        <v>78</v>
      </c>
      <c r="AH12" s="11" t="s">
        <v>73</v>
      </c>
      <c r="AI12" s="11" t="s">
        <v>73</v>
      </c>
      <c r="AK12" s="11" t="s">
        <v>79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J12" s="11" t="s">
        <v>78</v>
      </c>
      <c r="BK12" s="11" t="s">
        <v>78</v>
      </c>
      <c r="BL12" s="11" t="s">
        <v>78</v>
      </c>
      <c r="BM12" s="11" t="s">
        <v>78</v>
      </c>
      <c r="BN12" s="11" t="s">
        <v>78</v>
      </c>
      <c r="BO12" s="11" t="s">
        <v>78</v>
      </c>
      <c r="BP12" s="11" t="s">
        <v>78</v>
      </c>
      <c r="BQ12" s="11" t="s">
        <v>78</v>
      </c>
      <c r="BS12" s="2" t="str">
        <f aca="false">IF(AK12="x","x",IF(AK12="-","-",""))</f>
        <v>x</v>
      </c>
      <c r="BT12" s="2" t="str">
        <f aca="false">IF(AL12="x","x",IF(AL12="-","-",""))</f>
        <v/>
      </c>
      <c r="BU12" s="2" t="str">
        <f aca="false">IF(AM12="x","x",IF(AM12="-","-",""))</f>
        <v/>
      </c>
      <c r="BV12" s="2" t="str">
        <f aca="false">IF(AN12="x","x",IF(AN12="-","-",""))</f>
        <v/>
      </c>
      <c r="BW12" s="2" t="str">
        <f aca="false">IF(AO12="x","x",IF(AO12="-","-",""))</f>
        <v/>
      </c>
      <c r="BX12" s="2" t="str">
        <f aca="false">IF(AP12="x","x",IF(AP12="-","-",""))</f>
        <v/>
      </c>
      <c r="BY12" s="2" t="str">
        <f aca="false">IF(AQ12="x","x",IF(AQ12="-","-",""))</f>
        <v/>
      </c>
      <c r="BZ12" s="2" t="str">
        <f aca="false">IF(AR12="x","x",IF(AR12="-","-",""))</f>
        <v/>
      </c>
      <c r="CA12" s="2" t="str">
        <f aca="false">IF(AS12="x","x",IF(AS12="-","-",""))</f>
        <v/>
      </c>
      <c r="CB12" s="2" t="str">
        <f aca="false">IF(AT12="x","x",IF(AT12="-","-",""))</f>
        <v/>
      </c>
      <c r="CC12" s="2" t="str">
        <f aca="false">IF(AU12="x","x",IF(AU12="-","-",""))</f>
        <v/>
      </c>
      <c r="CD12" s="2" t="str">
        <f aca="false">IF(AV12="x","x",IF(AV12="-","-",""))</f>
        <v/>
      </c>
      <c r="CE12" s="2" t="str">
        <f aca="false">IF(AW12="x","x",IF(AW12="-","-",""))</f>
        <v/>
      </c>
      <c r="CF12" s="2" t="str">
        <f aca="false">IF(AX12="x","x",IF(AX12="-","-",""))</f>
        <v/>
      </c>
      <c r="CG12" s="2" t="str">
        <f aca="false">IF(AY12="x","x",IF(AY12="-","-",""))</f>
        <v/>
      </c>
      <c r="CH12" s="2" t="str">
        <f aca="false">IF(AZ12="x","x",IF(AZ12="-","-",""))</f>
        <v/>
      </c>
      <c r="CI12" s="2" t="str">
        <f aca="false">IF(BA12="x","x",IF(BA12="-","-",""))</f>
        <v/>
      </c>
      <c r="CJ12" s="2" t="str">
        <f aca="false">IF(BB12="x","x",IF(BB12="-","-",""))</f>
        <v/>
      </c>
      <c r="CK12" s="2" t="str">
        <f aca="false">IF(BC12="x","x",IF(BC12="-","-",""))</f>
        <v/>
      </c>
      <c r="CL12" s="2" t="str">
        <f aca="false">IF(BD12="x","x",IF(BD12="-","-",""))</f>
        <v/>
      </c>
      <c r="CM12" s="2" t="str">
        <f aca="false">IF(BE12="x","x",IF(BE12="-","-",""))</f>
        <v/>
      </c>
      <c r="CN12" s="2" t="str">
        <f aca="false">IF(BF12="x","x",IF(BF12="-","-",""))</f>
        <v/>
      </c>
      <c r="CO12" s="2" t="str">
        <f aca="false">IF(BG12="x","x",IF(BG12="-","-",""))</f>
        <v/>
      </c>
      <c r="CP12" s="2" t="str">
        <f aca="false">IF(BH12="x","x",IF(BH12="-","-",""))</f>
        <v/>
      </c>
      <c r="CR12" s="2" t="str">
        <f aca="false">IF(P12="x","x",IF(P12="-","-",""))</f>
        <v>-</v>
      </c>
      <c r="CS12" s="2" t="str">
        <f aca="false">IF(Q12="x","x",IF(Q12="-","-",""))</f>
        <v>-</v>
      </c>
      <c r="CT12" s="2" t="str">
        <f aca="false">IF(R12="x","x",IF(R12="-","-",""))</f>
        <v>-</v>
      </c>
      <c r="CU12" s="2" t="str">
        <f aca="false">IF(S12="x","x",IF(S12="-","-",""))</f>
        <v>-</v>
      </c>
      <c r="CV12" s="2" t="str">
        <f aca="false">IF(T12="x","x",IF(T12="-","-",""))</f>
        <v>-</v>
      </c>
      <c r="CW12" s="2" t="str">
        <f aca="false">IF(U12="x","x",IF(U12="-","-",""))</f>
        <v>-</v>
      </c>
      <c r="CX12" s="2" t="str">
        <f aca="false">IF(V12="x","x",IF(V12="-","-",""))</f>
        <v>-</v>
      </c>
      <c r="CY12" s="2" t="str">
        <f aca="false">IF(W12="x","x",IF(W12="-","-",""))</f>
        <v>-</v>
      </c>
      <c r="CZ12" s="2" t="s">
        <v>78</v>
      </c>
      <c r="DA12" s="2" t="s">
        <v>78</v>
      </c>
      <c r="DB12" s="2" t="s">
        <v>78</v>
      </c>
      <c r="DC12" s="2" t="s">
        <v>78</v>
      </c>
      <c r="DE12" s="2" t="str">
        <f aca="false">IF(Y12="x","x",IF(Y12="-","-",""))</f>
        <v>-</v>
      </c>
      <c r="DF12" s="2" t="str">
        <f aca="false">IF(Z12="x","x",IF(Z12="-","-",""))</f>
        <v>-</v>
      </c>
      <c r="DG12" s="2" t="str">
        <f aca="false">IF(AA12="x","x",IF(AA12="-","-",""))</f>
        <v>-</v>
      </c>
      <c r="DH12" s="2" t="str">
        <f aca="false">IF(AB12="x","x",IF(AB12="-","-",""))</f>
        <v>-</v>
      </c>
      <c r="DI12" s="2" t="str">
        <f aca="false">IF(AC12="x","x",IF(AC12="-","-",""))</f>
        <v>-</v>
      </c>
      <c r="DJ12" s="2" t="str">
        <f aca="false">IF(AD12="x","x",IF(AD12="-","-",""))</f>
        <v>-</v>
      </c>
      <c r="DK12" s="2" t="str">
        <f aca="false">IF(AE12="x","x",IF(AE12="-","-",""))</f>
        <v>-</v>
      </c>
      <c r="DL12" s="2" t="str">
        <f aca="false">IF(AF12="x","x",IF(AF12="-","-",""))</f>
        <v>-</v>
      </c>
      <c r="DM12" s="2" t="s">
        <v>78</v>
      </c>
      <c r="DN12" s="2" t="s">
        <v>78</v>
      </c>
      <c r="DO12" s="2" t="s">
        <v>78</v>
      </c>
      <c r="DP12" s="2" t="s">
        <v>78</v>
      </c>
      <c r="EG12" s="11"/>
      <c r="EH12" s="11"/>
      <c r="EI12" s="11"/>
      <c r="EJ12" s="11"/>
      <c r="EK12" s="11"/>
      <c r="EL12" s="11"/>
      <c r="EM12" s="11"/>
      <c r="EN12" s="11"/>
    </row>
    <row r="13" customFormat="false" ht="13.8" hidden="false" customHeight="false" outlineLevel="0" collapsed="false">
      <c r="A13" s="11" t="s">
        <v>73</v>
      </c>
      <c r="B13" s="2" t="n">
        <v>12</v>
      </c>
      <c r="C13" s="12" t="s">
        <v>90</v>
      </c>
      <c r="D13" s="11" t="s">
        <v>75</v>
      </c>
      <c r="E13" s="11" t="s">
        <v>76</v>
      </c>
      <c r="F13" s="11" t="n">
        <v>12</v>
      </c>
      <c r="G13" s="11" t="n">
        <v>60</v>
      </c>
      <c r="H13" s="11" t="s">
        <v>77</v>
      </c>
      <c r="I13" s="11" t="s">
        <v>73</v>
      </c>
      <c r="J13" s="11" t="s">
        <v>77</v>
      </c>
      <c r="K13" s="11"/>
      <c r="L13" s="11" t="s">
        <v>77</v>
      </c>
      <c r="M13" s="2" t="n">
        <v>240</v>
      </c>
      <c r="N13" s="11" t="s">
        <v>73</v>
      </c>
      <c r="O13" s="11"/>
      <c r="P13" s="11" t="s">
        <v>78</v>
      </c>
      <c r="Q13" s="11" t="s">
        <v>78</v>
      </c>
      <c r="R13" s="11" t="s">
        <v>78</v>
      </c>
      <c r="S13" s="11" t="s">
        <v>78</v>
      </c>
      <c r="T13" s="11" t="s">
        <v>78</v>
      </c>
      <c r="U13" s="11" t="s">
        <v>78</v>
      </c>
      <c r="V13" s="11" t="s">
        <v>78</v>
      </c>
      <c r="W13" s="11" t="s">
        <v>78</v>
      </c>
      <c r="X13" s="11"/>
      <c r="Y13" s="11" t="s">
        <v>78</v>
      </c>
      <c r="Z13" s="11" t="s">
        <v>78</v>
      </c>
      <c r="AA13" s="11" t="s">
        <v>78</v>
      </c>
      <c r="AB13" s="11" t="s">
        <v>78</v>
      </c>
      <c r="AC13" s="11" t="s">
        <v>78</v>
      </c>
      <c r="AD13" s="11" t="s">
        <v>78</v>
      </c>
      <c r="AE13" s="11" t="s">
        <v>78</v>
      </c>
      <c r="AF13" s="11" t="s">
        <v>78</v>
      </c>
      <c r="AH13" s="11" t="s">
        <v>73</v>
      </c>
      <c r="AI13" s="11" t="s">
        <v>73</v>
      </c>
      <c r="AK13" s="11" t="s">
        <v>79</v>
      </c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J13" s="11" t="s">
        <v>78</v>
      </c>
      <c r="BK13" s="11" t="s">
        <v>78</v>
      </c>
      <c r="BL13" s="11" t="s">
        <v>78</v>
      </c>
      <c r="BM13" s="11" t="s">
        <v>78</v>
      </c>
      <c r="BN13" s="11" t="s">
        <v>78</v>
      </c>
      <c r="BO13" s="11" t="s">
        <v>78</v>
      </c>
      <c r="BP13" s="11" t="s">
        <v>78</v>
      </c>
      <c r="BQ13" s="11" t="s">
        <v>78</v>
      </c>
      <c r="BS13" s="2" t="str">
        <f aca="false">IF(AK13="x","x",IF(AK13="-","-",""))</f>
        <v>x</v>
      </c>
      <c r="BT13" s="2" t="str">
        <f aca="false">IF(AL13="x","x",IF(AL13="-","-",""))</f>
        <v/>
      </c>
      <c r="BU13" s="2" t="str">
        <f aca="false">IF(AM13="x","x",IF(AM13="-","-",""))</f>
        <v/>
      </c>
      <c r="BV13" s="2" t="str">
        <f aca="false">IF(AN13="x","x",IF(AN13="-","-",""))</f>
        <v/>
      </c>
      <c r="BW13" s="2" t="str">
        <f aca="false">IF(AO13="x","x",IF(AO13="-","-",""))</f>
        <v/>
      </c>
      <c r="BX13" s="2" t="str">
        <f aca="false">IF(AP13="x","x",IF(AP13="-","-",""))</f>
        <v/>
      </c>
      <c r="BY13" s="2" t="str">
        <f aca="false">IF(AQ13="x","x",IF(AQ13="-","-",""))</f>
        <v/>
      </c>
      <c r="BZ13" s="2" t="str">
        <f aca="false">IF(AR13="x","x",IF(AR13="-","-",""))</f>
        <v/>
      </c>
      <c r="CA13" s="2" t="str">
        <f aca="false">IF(AS13="x","x",IF(AS13="-","-",""))</f>
        <v/>
      </c>
      <c r="CB13" s="2" t="str">
        <f aca="false">IF(AT13="x","x",IF(AT13="-","-",""))</f>
        <v/>
      </c>
      <c r="CC13" s="2" t="str">
        <f aca="false">IF(AU13="x","x",IF(AU13="-","-",""))</f>
        <v/>
      </c>
      <c r="CD13" s="2" t="str">
        <f aca="false">IF(AV13="x","x",IF(AV13="-","-",""))</f>
        <v/>
      </c>
      <c r="CE13" s="2" t="str">
        <f aca="false">IF(AW13="x","x",IF(AW13="-","-",""))</f>
        <v/>
      </c>
      <c r="CF13" s="2" t="str">
        <f aca="false">IF(AX13="x","x",IF(AX13="-","-",""))</f>
        <v/>
      </c>
      <c r="CG13" s="2" t="str">
        <f aca="false">IF(AY13="x","x",IF(AY13="-","-",""))</f>
        <v/>
      </c>
      <c r="CH13" s="2" t="str">
        <f aca="false">IF(AZ13="x","x",IF(AZ13="-","-",""))</f>
        <v/>
      </c>
      <c r="CI13" s="2" t="str">
        <f aca="false">IF(BA13="x","x",IF(BA13="-","-",""))</f>
        <v/>
      </c>
      <c r="CJ13" s="2" t="str">
        <f aca="false">IF(BB13="x","x",IF(BB13="-","-",""))</f>
        <v/>
      </c>
      <c r="CK13" s="2" t="str">
        <f aca="false">IF(BC13="x","x",IF(BC13="-","-",""))</f>
        <v/>
      </c>
      <c r="CL13" s="2" t="str">
        <f aca="false">IF(BD13="x","x",IF(BD13="-","-",""))</f>
        <v/>
      </c>
      <c r="CM13" s="2" t="str">
        <f aca="false">IF(BE13="x","x",IF(BE13="-","-",""))</f>
        <v/>
      </c>
      <c r="CN13" s="2" t="str">
        <f aca="false">IF(BF13="x","x",IF(BF13="-","-",""))</f>
        <v/>
      </c>
      <c r="CO13" s="2" t="str">
        <f aca="false">IF(BG13="x","x",IF(BG13="-","-",""))</f>
        <v/>
      </c>
      <c r="CP13" s="2" t="str">
        <f aca="false">IF(BH13="x","x",IF(BH13="-","-",""))</f>
        <v/>
      </c>
      <c r="CR13" s="2" t="str">
        <f aca="false">IF(P13="x","x",IF(P13="-","-",""))</f>
        <v>-</v>
      </c>
      <c r="CS13" s="2" t="str">
        <f aca="false">IF(Q13="x","x",IF(Q13="-","-",""))</f>
        <v>-</v>
      </c>
      <c r="CT13" s="2" t="str">
        <f aca="false">IF(R13="x","x",IF(R13="-","-",""))</f>
        <v>-</v>
      </c>
      <c r="CU13" s="2" t="str">
        <f aca="false">IF(S13="x","x",IF(S13="-","-",""))</f>
        <v>-</v>
      </c>
      <c r="CV13" s="2" t="str">
        <f aca="false">IF(T13="x","x",IF(T13="-","-",""))</f>
        <v>-</v>
      </c>
      <c r="CW13" s="2" t="str">
        <f aca="false">IF(U13="x","x",IF(U13="-","-",""))</f>
        <v>-</v>
      </c>
      <c r="CX13" s="2" t="str">
        <f aca="false">IF(V13="x","x",IF(V13="-","-",""))</f>
        <v>-</v>
      </c>
      <c r="CY13" s="2" t="str">
        <f aca="false">IF(W13="x","x",IF(W13="-","-",""))</f>
        <v>-</v>
      </c>
      <c r="CZ13" s="2" t="s">
        <v>78</v>
      </c>
      <c r="DA13" s="2" t="s">
        <v>78</v>
      </c>
      <c r="DB13" s="2" t="s">
        <v>78</v>
      </c>
      <c r="DC13" s="2" t="s">
        <v>78</v>
      </c>
      <c r="DE13" s="2" t="str">
        <f aca="false">IF(Y13="x","x",IF(Y13="-","-",""))</f>
        <v>-</v>
      </c>
      <c r="DF13" s="2" t="str">
        <f aca="false">IF(Z13="x","x",IF(Z13="-","-",""))</f>
        <v>-</v>
      </c>
      <c r="DG13" s="2" t="str">
        <f aca="false">IF(AA13="x","x",IF(AA13="-","-",""))</f>
        <v>-</v>
      </c>
      <c r="DH13" s="2" t="str">
        <f aca="false">IF(AB13="x","x",IF(AB13="-","-",""))</f>
        <v>-</v>
      </c>
      <c r="DI13" s="2" t="str">
        <f aca="false">IF(AC13="x","x",IF(AC13="-","-",""))</f>
        <v>-</v>
      </c>
      <c r="DJ13" s="2" t="str">
        <f aca="false">IF(AD13="x","x",IF(AD13="-","-",""))</f>
        <v>-</v>
      </c>
      <c r="DK13" s="2" t="str">
        <f aca="false">IF(AE13="x","x",IF(AE13="-","-",""))</f>
        <v>-</v>
      </c>
      <c r="DL13" s="2" t="str">
        <f aca="false">IF(AF13="x","x",IF(AF13="-","-",""))</f>
        <v>-</v>
      </c>
      <c r="DM13" s="2" t="s">
        <v>78</v>
      </c>
      <c r="DN13" s="2" t="s">
        <v>78</v>
      </c>
      <c r="DO13" s="2" t="s">
        <v>78</v>
      </c>
      <c r="DP13" s="2" t="s">
        <v>78</v>
      </c>
      <c r="EG13" s="11"/>
      <c r="EH13" s="11"/>
      <c r="EI13" s="11"/>
      <c r="EJ13" s="11"/>
      <c r="EK13" s="11"/>
      <c r="EL13" s="11"/>
      <c r="EM13" s="11"/>
      <c r="EN13" s="11"/>
    </row>
    <row r="14" customFormat="false" ht="13.8" hidden="false" customHeight="false" outlineLevel="0" collapsed="false">
      <c r="A14" s="11" t="s">
        <v>73</v>
      </c>
      <c r="B14" s="2" t="n">
        <v>13</v>
      </c>
      <c r="C14" s="12" t="s">
        <v>91</v>
      </c>
      <c r="D14" s="11" t="s">
        <v>92</v>
      </c>
      <c r="E14" s="11" t="s">
        <v>76</v>
      </c>
      <c r="F14" s="11" t="n">
        <v>13</v>
      </c>
      <c r="G14" s="3"/>
      <c r="H14" s="3"/>
      <c r="I14" s="3"/>
      <c r="J14" s="11" t="s">
        <v>73</v>
      </c>
      <c r="K14" s="11" t="n">
        <v>10</v>
      </c>
      <c r="L14" s="11" t="s">
        <v>73</v>
      </c>
      <c r="M14" s="2" t="n">
        <v>260</v>
      </c>
      <c r="N14" s="11" t="s">
        <v>77</v>
      </c>
      <c r="O14" s="11"/>
      <c r="P14" s="11" t="s">
        <v>78</v>
      </c>
      <c r="Q14" s="11" t="s">
        <v>78</v>
      </c>
      <c r="R14" s="11" t="s">
        <v>78</v>
      </c>
      <c r="S14" s="11" t="s">
        <v>78</v>
      </c>
      <c r="T14" s="11" t="s">
        <v>78</v>
      </c>
      <c r="U14" s="11" t="s">
        <v>78</v>
      </c>
      <c r="V14" s="11" t="s">
        <v>78</v>
      </c>
      <c r="W14" s="11" t="s">
        <v>78</v>
      </c>
      <c r="X14" s="11"/>
      <c r="Y14" s="11" t="s">
        <v>79</v>
      </c>
      <c r="Z14" s="11"/>
      <c r="AA14" s="11"/>
      <c r="AB14" s="11"/>
      <c r="AC14" s="11"/>
      <c r="AD14" s="11"/>
      <c r="AE14" s="11"/>
      <c r="AF14" s="11"/>
      <c r="AH14" s="11" t="s">
        <v>73</v>
      </c>
      <c r="AI14" s="11" t="s">
        <v>73</v>
      </c>
      <c r="AK14" s="11"/>
      <c r="AL14" s="11" t="s">
        <v>79</v>
      </c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J14" s="11" t="s">
        <v>78</v>
      </c>
      <c r="BK14" s="11" t="s">
        <v>78</v>
      </c>
      <c r="BL14" s="11" t="s">
        <v>78</v>
      </c>
      <c r="BM14" s="11" t="s">
        <v>78</v>
      </c>
      <c r="BN14" s="11" t="s">
        <v>78</v>
      </c>
      <c r="BO14" s="11" t="s">
        <v>78</v>
      </c>
      <c r="BP14" s="11" t="s">
        <v>78</v>
      </c>
      <c r="BQ14" s="11" t="s">
        <v>78</v>
      </c>
      <c r="BS14" s="2" t="str">
        <f aca="false">IF(AK14="x","x",IF(AK14="-","-",""))</f>
        <v/>
      </c>
      <c r="BT14" s="2" t="str">
        <f aca="false">IF(AL14="x","x",IF(AL14="-","-",""))</f>
        <v>x</v>
      </c>
      <c r="BU14" s="2" t="str">
        <f aca="false">IF(AM14="x","x",IF(AM14="-","-",""))</f>
        <v/>
      </c>
      <c r="BV14" s="2" t="str">
        <f aca="false">IF(AN14="x","x",IF(AN14="-","-",""))</f>
        <v/>
      </c>
      <c r="BW14" s="2" t="str">
        <f aca="false">IF(AO14="x","x",IF(AO14="-","-",""))</f>
        <v/>
      </c>
      <c r="BX14" s="2" t="str">
        <f aca="false">IF(AP14="x","x",IF(AP14="-","-",""))</f>
        <v/>
      </c>
      <c r="BY14" s="2" t="str">
        <f aca="false">IF(AQ14="x","x",IF(AQ14="-","-",""))</f>
        <v/>
      </c>
      <c r="BZ14" s="2" t="str">
        <f aca="false">IF(AR14="x","x",IF(AR14="-","-",""))</f>
        <v/>
      </c>
      <c r="CA14" s="2" t="str">
        <f aca="false">IF(AS14="x","x",IF(AS14="-","-",""))</f>
        <v/>
      </c>
      <c r="CB14" s="2" t="str">
        <f aca="false">IF(AT14="x","x",IF(AT14="-","-",""))</f>
        <v/>
      </c>
      <c r="CC14" s="2" t="str">
        <f aca="false">IF(AU14="x","x",IF(AU14="-","-",""))</f>
        <v/>
      </c>
      <c r="CD14" s="2" t="str">
        <f aca="false">IF(AV14="x","x",IF(AV14="-","-",""))</f>
        <v/>
      </c>
      <c r="CE14" s="2" t="str">
        <f aca="false">IF(AW14="x","x",IF(AW14="-","-",""))</f>
        <v/>
      </c>
      <c r="CF14" s="2" t="str">
        <f aca="false">IF(AX14="x","x",IF(AX14="-","-",""))</f>
        <v/>
      </c>
      <c r="CG14" s="2" t="str">
        <f aca="false">IF(AY14="x","x",IF(AY14="-","-",""))</f>
        <v/>
      </c>
      <c r="CH14" s="2" t="str">
        <f aca="false">IF(AZ14="x","x",IF(AZ14="-","-",""))</f>
        <v/>
      </c>
      <c r="CI14" s="2" t="str">
        <f aca="false">IF(BA14="x","x",IF(BA14="-","-",""))</f>
        <v/>
      </c>
      <c r="CJ14" s="2" t="str">
        <f aca="false">IF(BB14="x","x",IF(BB14="-","-",""))</f>
        <v/>
      </c>
      <c r="CK14" s="2" t="str">
        <f aca="false">IF(BC14="x","x",IF(BC14="-","-",""))</f>
        <v/>
      </c>
      <c r="CL14" s="2" t="str">
        <f aca="false">IF(BD14="x","x",IF(BD14="-","-",""))</f>
        <v/>
      </c>
      <c r="CM14" s="2" t="str">
        <f aca="false">IF(BE14="x","x",IF(BE14="-","-",""))</f>
        <v/>
      </c>
      <c r="CN14" s="2" t="str">
        <f aca="false">IF(BF14="x","x",IF(BF14="-","-",""))</f>
        <v/>
      </c>
      <c r="CO14" s="2" t="str">
        <f aca="false">IF(BG14="x","x",IF(BG14="-","-",""))</f>
        <v/>
      </c>
      <c r="CP14" s="2" t="str">
        <f aca="false">IF(BH14="x","x",IF(BH14="-","-",""))</f>
        <v/>
      </c>
      <c r="CR14" s="2" t="str">
        <f aca="false">IF(P14="x","x",IF(P14="-","-",""))</f>
        <v>-</v>
      </c>
      <c r="CS14" s="2" t="str">
        <f aca="false">IF(Q14="x","x",IF(Q14="-","-",""))</f>
        <v>-</v>
      </c>
      <c r="CT14" s="2" t="str">
        <f aca="false">IF(R14="x","x",IF(R14="-","-",""))</f>
        <v>-</v>
      </c>
      <c r="CU14" s="2" t="str">
        <f aca="false">IF(S14="x","x",IF(S14="-","-",""))</f>
        <v>-</v>
      </c>
      <c r="CV14" s="2" t="str">
        <f aca="false">IF(T14="x","x",IF(T14="-","-",""))</f>
        <v>-</v>
      </c>
      <c r="CW14" s="2" t="str">
        <f aca="false">IF(U14="x","x",IF(U14="-","-",""))</f>
        <v>-</v>
      </c>
      <c r="CX14" s="2" t="str">
        <f aca="false">IF(V14="x","x",IF(V14="-","-",""))</f>
        <v>-</v>
      </c>
      <c r="CY14" s="2" t="str">
        <f aca="false">IF(W14="x","x",IF(W14="-","-",""))</f>
        <v>-</v>
      </c>
      <c r="CZ14" s="2" t="s">
        <v>78</v>
      </c>
      <c r="DA14" s="2" t="s">
        <v>78</v>
      </c>
      <c r="DB14" s="2" t="s">
        <v>78</v>
      </c>
      <c r="DC14" s="2" t="s">
        <v>78</v>
      </c>
      <c r="DE14" s="2" t="str">
        <f aca="false">IF(Y14="x","x",IF(Y14="-","-",""))</f>
        <v>x</v>
      </c>
      <c r="DF14" s="2" t="str">
        <f aca="false">IF(Z14="x","x",IF(Z14="-","-",""))</f>
        <v/>
      </c>
      <c r="DG14" s="2" t="str">
        <f aca="false">IF(AA14="x","x",IF(AA14="-","-",""))</f>
        <v/>
      </c>
      <c r="DH14" s="2" t="str">
        <f aca="false">IF(AB14="x","x",IF(AB14="-","-",""))</f>
        <v/>
      </c>
      <c r="DI14" s="2" t="str">
        <f aca="false">IF(AC14="x","x",IF(AC14="-","-",""))</f>
        <v/>
      </c>
      <c r="DJ14" s="2" t="str">
        <f aca="false">IF(AD14="x","x",IF(AD14="-","-",""))</f>
        <v/>
      </c>
      <c r="DK14" s="2" t="str">
        <f aca="false">IF(AE14="x","x",IF(AE14="-","-",""))</f>
        <v/>
      </c>
      <c r="DL14" s="2" t="str">
        <f aca="false">IF(AF14="x","x",IF(AF14="-","-",""))</f>
        <v/>
      </c>
      <c r="DM14" s="2" t="s">
        <v>78</v>
      </c>
      <c r="DN14" s="2" t="s">
        <v>78</v>
      </c>
      <c r="DO14" s="2" t="s">
        <v>78</v>
      </c>
      <c r="DP14" s="2" t="s">
        <v>78</v>
      </c>
      <c r="EG14" s="11"/>
      <c r="EH14" s="11"/>
      <c r="EI14" s="11"/>
      <c r="EJ14" s="11"/>
      <c r="EK14" s="11"/>
      <c r="EL14" s="11"/>
      <c r="EM14" s="11"/>
      <c r="EN14" s="11"/>
    </row>
    <row r="15" customFormat="false" ht="13.8" hidden="false" customHeight="false" outlineLevel="0" collapsed="false">
      <c r="A15" s="11" t="s">
        <v>73</v>
      </c>
      <c r="B15" s="2" t="n">
        <v>14</v>
      </c>
      <c r="C15" s="12" t="s">
        <v>93</v>
      </c>
      <c r="D15" s="11" t="s">
        <v>92</v>
      </c>
      <c r="E15" s="11" t="s">
        <v>76</v>
      </c>
      <c r="F15" s="11" t="n">
        <v>14</v>
      </c>
      <c r="G15" s="11" t="s">
        <v>78</v>
      </c>
      <c r="H15" s="11" t="s">
        <v>78</v>
      </c>
      <c r="I15" s="11" t="s">
        <v>78</v>
      </c>
      <c r="J15" s="11" t="s">
        <v>77</v>
      </c>
      <c r="K15" s="11" t="n">
        <v>5</v>
      </c>
      <c r="L15" s="11" t="s">
        <v>77</v>
      </c>
      <c r="M15" s="2" t="n">
        <v>280</v>
      </c>
      <c r="N15" s="11" t="s">
        <v>77</v>
      </c>
      <c r="O15" s="11"/>
      <c r="P15" s="11" t="s">
        <v>78</v>
      </c>
      <c r="Q15" s="11" t="s">
        <v>78</v>
      </c>
      <c r="R15" s="11" t="s">
        <v>78</v>
      </c>
      <c r="S15" s="11" t="s">
        <v>78</v>
      </c>
      <c r="T15" s="11" t="s">
        <v>78</v>
      </c>
      <c r="U15" s="11" t="s">
        <v>78</v>
      </c>
      <c r="V15" s="11" t="s">
        <v>78</v>
      </c>
      <c r="W15" s="11" t="s">
        <v>78</v>
      </c>
      <c r="X15" s="11"/>
      <c r="Y15" s="11"/>
      <c r="Z15" s="11" t="s">
        <v>79</v>
      </c>
      <c r="AA15" s="11"/>
      <c r="AB15" s="11"/>
      <c r="AC15" s="11"/>
      <c r="AD15" s="11"/>
      <c r="AE15" s="11"/>
      <c r="AF15" s="11"/>
      <c r="AH15" s="11" t="s">
        <v>73</v>
      </c>
      <c r="AI15" s="11" t="s">
        <v>73</v>
      </c>
      <c r="AK15" s="11"/>
      <c r="AL15" s="11" t="s">
        <v>79</v>
      </c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J15" s="11" t="s">
        <v>78</v>
      </c>
      <c r="BK15" s="11" t="s">
        <v>78</v>
      </c>
      <c r="BL15" s="11" t="s">
        <v>78</v>
      </c>
      <c r="BM15" s="11" t="s">
        <v>78</v>
      </c>
      <c r="BN15" s="11" t="s">
        <v>78</v>
      </c>
      <c r="BO15" s="11" t="s">
        <v>78</v>
      </c>
      <c r="BP15" s="11" t="s">
        <v>78</v>
      </c>
      <c r="BQ15" s="11" t="s">
        <v>78</v>
      </c>
      <c r="BS15" s="2" t="str">
        <f aca="false">IF(AK15="x","x",IF(AK15="-","-",""))</f>
        <v/>
      </c>
      <c r="BT15" s="2" t="str">
        <f aca="false">IF(AL15="x","x",IF(AL15="-","-",""))</f>
        <v>x</v>
      </c>
      <c r="BU15" s="2" t="str">
        <f aca="false">IF(AM15="x","x",IF(AM15="-","-",""))</f>
        <v/>
      </c>
      <c r="BV15" s="2" t="str">
        <f aca="false">IF(AN15="x","x",IF(AN15="-","-",""))</f>
        <v/>
      </c>
      <c r="BW15" s="2" t="str">
        <f aca="false">IF(AO15="x","x",IF(AO15="-","-",""))</f>
        <v/>
      </c>
      <c r="BX15" s="2" t="str">
        <f aca="false">IF(AP15="x","x",IF(AP15="-","-",""))</f>
        <v/>
      </c>
      <c r="BY15" s="2" t="str">
        <f aca="false">IF(AQ15="x","x",IF(AQ15="-","-",""))</f>
        <v/>
      </c>
      <c r="BZ15" s="2" t="str">
        <f aca="false">IF(AR15="x","x",IF(AR15="-","-",""))</f>
        <v/>
      </c>
      <c r="CA15" s="2" t="str">
        <f aca="false">IF(AS15="x","x",IF(AS15="-","-",""))</f>
        <v/>
      </c>
      <c r="CB15" s="2" t="str">
        <f aca="false">IF(AT15="x","x",IF(AT15="-","-",""))</f>
        <v/>
      </c>
      <c r="CC15" s="2" t="str">
        <f aca="false">IF(AU15="x","x",IF(AU15="-","-",""))</f>
        <v/>
      </c>
      <c r="CD15" s="2" t="str">
        <f aca="false">IF(AV15="x","x",IF(AV15="-","-",""))</f>
        <v/>
      </c>
      <c r="CE15" s="2" t="str">
        <f aca="false">IF(AW15="x","x",IF(AW15="-","-",""))</f>
        <v/>
      </c>
      <c r="CF15" s="2" t="str">
        <f aca="false">IF(AX15="x","x",IF(AX15="-","-",""))</f>
        <v/>
      </c>
      <c r="CG15" s="2" t="str">
        <f aca="false">IF(AY15="x","x",IF(AY15="-","-",""))</f>
        <v/>
      </c>
      <c r="CH15" s="2" t="str">
        <f aca="false">IF(AZ15="x","x",IF(AZ15="-","-",""))</f>
        <v/>
      </c>
      <c r="CI15" s="2" t="str">
        <f aca="false">IF(BA15="x","x",IF(BA15="-","-",""))</f>
        <v/>
      </c>
      <c r="CJ15" s="2" t="str">
        <f aca="false">IF(BB15="x","x",IF(BB15="-","-",""))</f>
        <v/>
      </c>
      <c r="CK15" s="2" t="str">
        <f aca="false">IF(BC15="x","x",IF(BC15="-","-",""))</f>
        <v/>
      </c>
      <c r="CL15" s="2" t="str">
        <f aca="false">IF(BD15="x","x",IF(BD15="-","-",""))</f>
        <v/>
      </c>
      <c r="CM15" s="2" t="str">
        <f aca="false">IF(BE15="x","x",IF(BE15="-","-",""))</f>
        <v/>
      </c>
      <c r="CN15" s="2" t="str">
        <f aca="false">IF(BF15="x","x",IF(BF15="-","-",""))</f>
        <v/>
      </c>
      <c r="CO15" s="2" t="str">
        <f aca="false">IF(BG15="x","x",IF(BG15="-","-",""))</f>
        <v/>
      </c>
      <c r="CP15" s="2" t="str">
        <f aca="false">IF(BH15="x","x",IF(BH15="-","-",""))</f>
        <v/>
      </c>
      <c r="CR15" s="2" t="str">
        <f aca="false">IF(P15="x","x",IF(P15="-","-",""))</f>
        <v>-</v>
      </c>
      <c r="CS15" s="2" t="str">
        <f aca="false">IF(Q15="x","x",IF(Q15="-","-",""))</f>
        <v>-</v>
      </c>
      <c r="CT15" s="2" t="str">
        <f aca="false">IF(R15="x","x",IF(R15="-","-",""))</f>
        <v>-</v>
      </c>
      <c r="CU15" s="2" t="str">
        <f aca="false">IF(S15="x","x",IF(S15="-","-",""))</f>
        <v>-</v>
      </c>
      <c r="CV15" s="2" t="str">
        <f aca="false">IF(T15="x","x",IF(T15="-","-",""))</f>
        <v>-</v>
      </c>
      <c r="CW15" s="2" t="str">
        <f aca="false">IF(U15="x","x",IF(U15="-","-",""))</f>
        <v>-</v>
      </c>
      <c r="CX15" s="2" t="str">
        <f aca="false">IF(V15="x","x",IF(V15="-","-",""))</f>
        <v>-</v>
      </c>
      <c r="CY15" s="2" t="str">
        <f aca="false">IF(W15="x","x",IF(W15="-","-",""))</f>
        <v>-</v>
      </c>
      <c r="CZ15" s="2" t="s">
        <v>78</v>
      </c>
      <c r="DA15" s="2" t="s">
        <v>78</v>
      </c>
      <c r="DB15" s="2" t="s">
        <v>78</v>
      </c>
      <c r="DC15" s="2" t="s">
        <v>78</v>
      </c>
      <c r="DE15" s="2" t="str">
        <f aca="false">IF(Y15="x","x",IF(Y15="-","-",""))</f>
        <v/>
      </c>
      <c r="DF15" s="2" t="str">
        <f aca="false">IF(Z15="x","x",IF(Z15="-","-",""))</f>
        <v>x</v>
      </c>
      <c r="DG15" s="2" t="str">
        <f aca="false">IF(AA15="x","x",IF(AA15="-","-",""))</f>
        <v/>
      </c>
      <c r="DH15" s="2" t="str">
        <f aca="false">IF(AB15="x","x",IF(AB15="-","-",""))</f>
        <v/>
      </c>
      <c r="DI15" s="2" t="str">
        <f aca="false">IF(AC15="x","x",IF(AC15="-","-",""))</f>
        <v/>
      </c>
      <c r="DJ15" s="2" t="str">
        <f aca="false">IF(AD15="x","x",IF(AD15="-","-",""))</f>
        <v/>
      </c>
      <c r="DK15" s="2" t="str">
        <f aca="false">IF(AE15="x","x",IF(AE15="-","-",""))</f>
        <v/>
      </c>
      <c r="DL15" s="2" t="str">
        <f aca="false">IF(AF15="x","x",IF(AF15="-","-",""))</f>
        <v/>
      </c>
      <c r="DM15" s="2" t="s">
        <v>78</v>
      </c>
      <c r="DN15" s="2" t="s">
        <v>78</v>
      </c>
      <c r="DO15" s="2" t="s">
        <v>78</v>
      </c>
      <c r="DP15" s="2" t="s">
        <v>78</v>
      </c>
      <c r="EG15" s="11"/>
      <c r="EH15" s="11"/>
      <c r="EI15" s="11"/>
      <c r="EJ15" s="11"/>
      <c r="EK15" s="11"/>
      <c r="EL15" s="11"/>
      <c r="EM15" s="11"/>
      <c r="EN15" s="11"/>
    </row>
    <row r="16" customFormat="false" ht="13.8" hidden="false" customHeight="false" outlineLevel="0" collapsed="false">
      <c r="A16" s="11" t="s">
        <v>73</v>
      </c>
      <c r="B16" s="2" t="n">
        <v>15</v>
      </c>
      <c r="C16" s="12" t="s">
        <v>94</v>
      </c>
      <c r="D16" s="11" t="s">
        <v>92</v>
      </c>
      <c r="E16" s="11" t="s">
        <v>76</v>
      </c>
      <c r="F16" s="11" t="n">
        <v>15</v>
      </c>
      <c r="G16" s="11" t="n">
        <v>5</v>
      </c>
      <c r="H16" s="11" t="s">
        <v>73</v>
      </c>
      <c r="I16" s="11" t="s">
        <v>77</v>
      </c>
      <c r="J16" s="11" t="s">
        <v>73</v>
      </c>
      <c r="K16" s="11" t="n">
        <v>0</v>
      </c>
      <c r="L16" s="11" t="s">
        <v>73</v>
      </c>
      <c r="M16" s="2" t="n">
        <v>300</v>
      </c>
      <c r="N16" s="11" t="s">
        <v>77</v>
      </c>
      <c r="O16" s="11"/>
      <c r="P16" s="11" t="s">
        <v>78</v>
      </c>
      <c r="Q16" s="11" t="s">
        <v>78</v>
      </c>
      <c r="R16" s="11" t="s">
        <v>78</v>
      </c>
      <c r="S16" s="11" t="s">
        <v>78</v>
      </c>
      <c r="T16" s="11" t="s">
        <v>78</v>
      </c>
      <c r="U16" s="11" t="s">
        <v>78</v>
      </c>
      <c r="V16" s="11" t="s">
        <v>78</v>
      </c>
      <c r="W16" s="11" t="s">
        <v>78</v>
      </c>
      <c r="X16" s="11"/>
      <c r="Y16" s="11"/>
      <c r="Z16" s="11"/>
      <c r="AA16" s="11" t="s">
        <v>79</v>
      </c>
      <c r="AB16" s="11"/>
      <c r="AC16" s="11"/>
      <c r="AD16" s="11"/>
      <c r="AE16" s="11"/>
      <c r="AF16" s="11"/>
      <c r="AH16" s="11" t="s">
        <v>73</v>
      </c>
      <c r="AI16" s="11" t="s">
        <v>73</v>
      </c>
      <c r="AK16" s="11"/>
      <c r="AL16" s="11" t="s">
        <v>79</v>
      </c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J16" s="11" t="s">
        <v>78</v>
      </c>
      <c r="BK16" s="11" t="s">
        <v>78</v>
      </c>
      <c r="BL16" s="11" t="s">
        <v>78</v>
      </c>
      <c r="BM16" s="11" t="s">
        <v>78</v>
      </c>
      <c r="BN16" s="11" t="s">
        <v>78</v>
      </c>
      <c r="BO16" s="11" t="s">
        <v>78</v>
      </c>
      <c r="BP16" s="11" t="s">
        <v>78</v>
      </c>
      <c r="BQ16" s="11" t="s">
        <v>78</v>
      </c>
      <c r="BS16" s="2" t="str">
        <f aca="false">IF(AK16="x","x",IF(AK16="-","-",""))</f>
        <v/>
      </c>
      <c r="BT16" s="2" t="str">
        <f aca="false">IF(AL16="x","x",IF(AL16="-","-",""))</f>
        <v>x</v>
      </c>
      <c r="BU16" s="2" t="str">
        <f aca="false">IF(AM16="x","x",IF(AM16="-","-",""))</f>
        <v/>
      </c>
      <c r="BV16" s="2" t="str">
        <f aca="false">IF(AN16="x","x",IF(AN16="-","-",""))</f>
        <v/>
      </c>
      <c r="BW16" s="2" t="str">
        <f aca="false">IF(AO16="x","x",IF(AO16="-","-",""))</f>
        <v/>
      </c>
      <c r="BX16" s="2" t="str">
        <f aca="false">IF(AP16="x","x",IF(AP16="-","-",""))</f>
        <v/>
      </c>
      <c r="BY16" s="2" t="str">
        <f aca="false">IF(AQ16="x","x",IF(AQ16="-","-",""))</f>
        <v/>
      </c>
      <c r="BZ16" s="2" t="str">
        <f aca="false">IF(AR16="x","x",IF(AR16="-","-",""))</f>
        <v/>
      </c>
      <c r="CA16" s="2" t="str">
        <f aca="false">IF(AS16="x","x",IF(AS16="-","-",""))</f>
        <v/>
      </c>
      <c r="CB16" s="2" t="str">
        <f aca="false">IF(AT16="x","x",IF(AT16="-","-",""))</f>
        <v/>
      </c>
      <c r="CC16" s="2" t="str">
        <f aca="false">IF(AU16="x","x",IF(AU16="-","-",""))</f>
        <v/>
      </c>
      <c r="CD16" s="2" t="str">
        <f aca="false">IF(AV16="x","x",IF(AV16="-","-",""))</f>
        <v/>
      </c>
      <c r="CE16" s="2" t="str">
        <f aca="false">IF(AW16="x","x",IF(AW16="-","-",""))</f>
        <v/>
      </c>
      <c r="CF16" s="2" t="str">
        <f aca="false">IF(AX16="x","x",IF(AX16="-","-",""))</f>
        <v/>
      </c>
      <c r="CG16" s="2" t="str">
        <f aca="false">IF(AY16="x","x",IF(AY16="-","-",""))</f>
        <v/>
      </c>
      <c r="CH16" s="2" t="str">
        <f aca="false">IF(AZ16="x","x",IF(AZ16="-","-",""))</f>
        <v/>
      </c>
      <c r="CI16" s="2" t="str">
        <f aca="false">IF(BA16="x","x",IF(BA16="-","-",""))</f>
        <v/>
      </c>
      <c r="CJ16" s="2" t="str">
        <f aca="false">IF(BB16="x","x",IF(BB16="-","-",""))</f>
        <v/>
      </c>
      <c r="CK16" s="2" t="str">
        <f aca="false">IF(BC16="x","x",IF(BC16="-","-",""))</f>
        <v/>
      </c>
      <c r="CL16" s="2" t="str">
        <f aca="false">IF(BD16="x","x",IF(BD16="-","-",""))</f>
        <v/>
      </c>
      <c r="CM16" s="2" t="str">
        <f aca="false">IF(BE16="x","x",IF(BE16="-","-",""))</f>
        <v/>
      </c>
      <c r="CN16" s="2" t="str">
        <f aca="false">IF(BF16="x","x",IF(BF16="-","-",""))</f>
        <v/>
      </c>
      <c r="CO16" s="2" t="str">
        <f aca="false">IF(BG16="x","x",IF(BG16="-","-",""))</f>
        <v/>
      </c>
      <c r="CP16" s="2" t="str">
        <f aca="false">IF(BH16="x","x",IF(BH16="-","-",""))</f>
        <v/>
      </c>
      <c r="CR16" s="2" t="str">
        <f aca="false">IF(P16="x","x",IF(P16="-","-",""))</f>
        <v>-</v>
      </c>
      <c r="CS16" s="2" t="str">
        <f aca="false">IF(Q16="x","x",IF(Q16="-","-",""))</f>
        <v>-</v>
      </c>
      <c r="CT16" s="2" t="str">
        <f aca="false">IF(R16="x","x",IF(R16="-","-",""))</f>
        <v>-</v>
      </c>
      <c r="CU16" s="2" t="str">
        <f aca="false">IF(S16="x","x",IF(S16="-","-",""))</f>
        <v>-</v>
      </c>
      <c r="CV16" s="2" t="str">
        <f aca="false">IF(T16="x","x",IF(T16="-","-",""))</f>
        <v>-</v>
      </c>
      <c r="CW16" s="2" t="str">
        <f aca="false">IF(U16="x","x",IF(U16="-","-",""))</f>
        <v>-</v>
      </c>
      <c r="CX16" s="2" t="str">
        <f aca="false">IF(V16="x","x",IF(V16="-","-",""))</f>
        <v>-</v>
      </c>
      <c r="CY16" s="2" t="str">
        <f aca="false">IF(W16="x","x",IF(W16="-","-",""))</f>
        <v>-</v>
      </c>
      <c r="CZ16" s="2" t="s">
        <v>78</v>
      </c>
      <c r="DA16" s="2" t="s">
        <v>78</v>
      </c>
      <c r="DB16" s="2" t="s">
        <v>78</v>
      </c>
      <c r="DC16" s="2" t="s">
        <v>78</v>
      </c>
      <c r="DE16" s="2" t="str">
        <f aca="false">IF(Y16="x","x",IF(Y16="-","-",""))</f>
        <v/>
      </c>
      <c r="DF16" s="2" t="str">
        <f aca="false">IF(Z16="x","x",IF(Z16="-","-",""))</f>
        <v/>
      </c>
      <c r="DG16" s="2" t="str">
        <f aca="false">IF(AA16="x","x",IF(AA16="-","-",""))</f>
        <v>x</v>
      </c>
      <c r="DH16" s="2" t="str">
        <f aca="false">IF(AB16="x","x",IF(AB16="-","-",""))</f>
        <v/>
      </c>
      <c r="DI16" s="2" t="str">
        <f aca="false">IF(AC16="x","x",IF(AC16="-","-",""))</f>
        <v/>
      </c>
      <c r="DJ16" s="2" t="str">
        <f aca="false">IF(AD16="x","x",IF(AD16="-","-",""))</f>
        <v/>
      </c>
      <c r="DK16" s="2" t="str">
        <f aca="false">IF(AE16="x","x",IF(AE16="-","-",""))</f>
        <v/>
      </c>
      <c r="DL16" s="2" t="str">
        <f aca="false">IF(AF16="x","x",IF(AF16="-","-",""))</f>
        <v/>
      </c>
      <c r="DM16" s="2" t="s">
        <v>78</v>
      </c>
      <c r="DN16" s="2" t="s">
        <v>78</v>
      </c>
      <c r="DO16" s="2" t="s">
        <v>78</v>
      </c>
      <c r="DP16" s="2" t="s">
        <v>78</v>
      </c>
      <c r="EG16" s="11"/>
      <c r="EH16" s="11"/>
      <c r="EI16" s="11"/>
      <c r="EJ16" s="11"/>
      <c r="EK16" s="11"/>
      <c r="EL16" s="11"/>
      <c r="EM16" s="11"/>
      <c r="EN16" s="11"/>
    </row>
    <row r="17" customFormat="false" ht="13.8" hidden="false" customHeight="false" outlineLevel="0" collapsed="false">
      <c r="A17" s="11" t="s">
        <v>73</v>
      </c>
      <c r="B17" s="2" t="n">
        <v>16</v>
      </c>
      <c r="C17" s="12" t="s">
        <v>95</v>
      </c>
      <c r="D17" s="11" t="s">
        <v>92</v>
      </c>
      <c r="E17" s="11" t="s">
        <v>76</v>
      </c>
      <c r="F17" s="11" t="n">
        <v>16</v>
      </c>
      <c r="G17" s="11" t="n">
        <v>10</v>
      </c>
      <c r="H17" s="11" t="s">
        <v>77</v>
      </c>
      <c r="I17" s="11" t="s">
        <v>73</v>
      </c>
      <c r="J17" s="11" t="s">
        <v>77</v>
      </c>
      <c r="K17" s="11" t="n">
        <v>-5</v>
      </c>
      <c r="L17" s="11" t="s">
        <v>77</v>
      </c>
      <c r="M17" s="2" t="n">
        <v>320</v>
      </c>
      <c r="N17" s="11" t="s">
        <v>77</v>
      </c>
      <c r="O17" s="11"/>
      <c r="P17" s="11" t="s">
        <v>78</v>
      </c>
      <c r="Q17" s="11" t="s">
        <v>78</v>
      </c>
      <c r="R17" s="11" t="s">
        <v>78</v>
      </c>
      <c r="S17" s="11" t="s">
        <v>78</v>
      </c>
      <c r="T17" s="11" t="s">
        <v>78</v>
      </c>
      <c r="U17" s="11" t="s">
        <v>78</v>
      </c>
      <c r="V17" s="11" t="s">
        <v>78</v>
      </c>
      <c r="W17" s="11" t="s">
        <v>78</v>
      </c>
      <c r="X17" s="11"/>
      <c r="Y17" s="11"/>
      <c r="Z17" s="11"/>
      <c r="AA17" s="11"/>
      <c r="AB17" s="11" t="s">
        <v>79</v>
      </c>
      <c r="AC17" s="11"/>
      <c r="AD17" s="11"/>
      <c r="AE17" s="11"/>
      <c r="AF17" s="11"/>
      <c r="AH17" s="11" t="s">
        <v>73</v>
      </c>
      <c r="AI17" s="11" t="s">
        <v>73</v>
      </c>
      <c r="AK17" s="11"/>
      <c r="AL17" s="11" t="s">
        <v>79</v>
      </c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J17" s="11" t="s">
        <v>78</v>
      </c>
      <c r="BK17" s="11" t="s">
        <v>78</v>
      </c>
      <c r="BL17" s="11" t="s">
        <v>78</v>
      </c>
      <c r="BM17" s="11" t="s">
        <v>78</v>
      </c>
      <c r="BN17" s="11" t="s">
        <v>78</v>
      </c>
      <c r="BO17" s="11" t="s">
        <v>78</v>
      </c>
      <c r="BP17" s="11" t="s">
        <v>78</v>
      </c>
      <c r="BQ17" s="11" t="s">
        <v>78</v>
      </c>
      <c r="BS17" s="2" t="str">
        <f aca="false">IF(AK17="x","x",IF(AK17="-","-",""))</f>
        <v/>
      </c>
      <c r="BT17" s="2" t="str">
        <f aca="false">IF(AL17="x","x",IF(AL17="-","-",""))</f>
        <v>x</v>
      </c>
      <c r="BU17" s="2" t="str">
        <f aca="false">IF(AM17="x","x",IF(AM17="-","-",""))</f>
        <v/>
      </c>
      <c r="BV17" s="2" t="str">
        <f aca="false">IF(AN17="x","x",IF(AN17="-","-",""))</f>
        <v/>
      </c>
      <c r="BW17" s="2" t="str">
        <f aca="false">IF(AO17="x","x",IF(AO17="-","-",""))</f>
        <v/>
      </c>
      <c r="BX17" s="2" t="str">
        <f aca="false">IF(AP17="x","x",IF(AP17="-","-",""))</f>
        <v/>
      </c>
      <c r="BY17" s="2" t="str">
        <f aca="false">IF(AQ17="x","x",IF(AQ17="-","-",""))</f>
        <v/>
      </c>
      <c r="BZ17" s="2" t="str">
        <f aca="false">IF(AR17="x","x",IF(AR17="-","-",""))</f>
        <v/>
      </c>
      <c r="CA17" s="2" t="str">
        <f aca="false">IF(AS17="x","x",IF(AS17="-","-",""))</f>
        <v/>
      </c>
      <c r="CB17" s="2" t="str">
        <f aca="false">IF(AT17="x","x",IF(AT17="-","-",""))</f>
        <v/>
      </c>
      <c r="CC17" s="2" t="str">
        <f aca="false">IF(AU17="x","x",IF(AU17="-","-",""))</f>
        <v/>
      </c>
      <c r="CD17" s="2" t="str">
        <f aca="false">IF(AV17="x","x",IF(AV17="-","-",""))</f>
        <v/>
      </c>
      <c r="CE17" s="2" t="str">
        <f aca="false">IF(AW17="x","x",IF(AW17="-","-",""))</f>
        <v/>
      </c>
      <c r="CF17" s="2" t="str">
        <f aca="false">IF(AX17="x","x",IF(AX17="-","-",""))</f>
        <v/>
      </c>
      <c r="CG17" s="2" t="str">
        <f aca="false">IF(AY17="x","x",IF(AY17="-","-",""))</f>
        <v/>
      </c>
      <c r="CH17" s="2" t="str">
        <f aca="false">IF(AZ17="x","x",IF(AZ17="-","-",""))</f>
        <v/>
      </c>
      <c r="CI17" s="2" t="str">
        <f aca="false">IF(BA17="x","x",IF(BA17="-","-",""))</f>
        <v/>
      </c>
      <c r="CJ17" s="2" t="str">
        <f aca="false">IF(BB17="x","x",IF(BB17="-","-",""))</f>
        <v/>
      </c>
      <c r="CK17" s="2" t="str">
        <f aca="false">IF(BC17="x","x",IF(BC17="-","-",""))</f>
        <v/>
      </c>
      <c r="CL17" s="2" t="str">
        <f aca="false">IF(BD17="x","x",IF(BD17="-","-",""))</f>
        <v/>
      </c>
      <c r="CM17" s="2" t="str">
        <f aca="false">IF(BE17="x","x",IF(BE17="-","-",""))</f>
        <v/>
      </c>
      <c r="CN17" s="2" t="str">
        <f aca="false">IF(BF17="x","x",IF(BF17="-","-",""))</f>
        <v/>
      </c>
      <c r="CO17" s="2" t="str">
        <f aca="false">IF(BG17="x","x",IF(BG17="-","-",""))</f>
        <v/>
      </c>
      <c r="CP17" s="2" t="str">
        <f aca="false">IF(BH17="x","x",IF(BH17="-","-",""))</f>
        <v/>
      </c>
      <c r="CR17" s="2" t="str">
        <f aca="false">IF(P17="x","x",IF(P17="-","-",""))</f>
        <v>-</v>
      </c>
      <c r="CS17" s="2" t="str">
        <f aca="false">IF(Q17="x","x",IF(Q17="-","-",""))</f>
        <v>-</v>
      </c>
      <c r="CT17" s="2" t="str">
        <f aca="false">IF(R17="x","x",IF(R17="-","-",""))</f>
        <v>-</v>
      </c>
      <c r="CU17" s="2" t="str">
        <f aca="false">IF(S17="x","x",IF(S17="-","-",""))</f>
        <v>-</v>
      </c>
      <c r="CV17" s="2" t="str">
        <f aca="false">IF(T17="x","x",IF(T17="-","-",""))</f>
        <v>-</v>
      </c>
      <c r="CW17" s="2" t="str">
        <f aca="false">IF(U17="x","x",IF(U17="-","-",""))</f>
        <v>-</v>
      </c>
      <c r="CX17" s="2" t="str">
        <f aca="false">IF(V17="x","x",IF(V17="-","-",""))</f>
        <v>-</v>
      </c>
      <c r="CY17" s="2" t="str">
        <f aca="false">IF(W17="x","x",IF(W17="-","-",""))</f>
        <v>-</v>
      </c>
      <c r="CZ17" s="2" t="s">
        <v>78</v>
      </c>
      <c r="DA17" s="2" t="s">
        <v>78</v>
      </c>
      <c r="DB17" s="2" t="s">
        <v>78</v>
      </c>
      <c r="DC17" s="2" t="s">
        <v>78</v>
      </c>
      <c r="DE17" s="2" t="str">
        <f aca="false">IF(Y17="x","x",IF(Y17="-","-",""))</f>
        <v/>
      </c>
      <c r="DF17" s="2" t="str">
        <f aca="false">IF(Z17="x","x",IF(Z17="-","-",""))</f>
        <v/>
      </c>
      <c r="DG17" s="2" t="str">
        <f aca="false">IF(AA17="x","x",IF(AA17="-","-",""))</f>
        <v/>
      </c>
      <c r="DH17" s="2" t="str">
        <f aca="false">IF(AB17="x","x",IF(AB17="-","-",""))</f>
        <v>x</v>
      </c>
      <c r="DI17" s="2" t="str">
        <f aca="false">IF(AC17="x","x",IF(AC17="-","-",""))</f>
        <v/>
      </c>
      <c r="DJ17" s="2" t="str">
        <f aca="false">IF(AD17="x","x",IF(AD17="-","-",""))</f>
        <v/>
      </c>
      <c r="DK17" s="2" t="str">
        <f aca="false">IF(AE17="x","x",IF(AE17="-","-",""))</f>
        <v/>
      </c>
      <c r="DL17" s="2" t="str">
        <f aca="false">IF(AF17="x","x",IF(AF17="-","-",""))</f>
        <v/>
      </c>
      <c r="DM17" s="2" t="s">
        <v>78</v>
      </c>
      <c r="DN17" s="2" t="s">
        <v>78</v>
      </c>
      <c r="DO17" s="2" t="s">
        <v>78</v>
      </c>
      <c r="DP17" s="2" t="s">
        <v>78</v>
      </c>
      <c r="EG17" s="11"/>
      <c r="EH17" s="11"/>
      <c r="EI17" s="11"/>
      <c r="EJ17" s="11"/>
      <c r="EK17" s="11"/>
      <c r="EL17" s="11"/>
      <c r="EM17" s="11"/>
      <c r="EN17" s="11"/>
    </row>
    <row r="18" customFormat="false" ht="13.8" hidden="false" customHeight="false" outlineLevel="0" collapsed="false">
      <c r="A18" s="11" t="s">
        <v>73</v>
      </c>
      <c r="B18" s="2" t="n">
        <v>17</v>
      </c>
      <c r="C18" s="12" t="s">
        <v>96</v>
      </c>
      <c r="D18" s="11" t="s">
        <v>92</v>
      </c>
      <c r="E18" s="11" t="s">
        <v>76</v>
      </c>
      <c r="F18" s="11" t="n">
        <v>17</v>
      </c>
      <c r="G18" s="11" t="n">
        <v>15</v>
      </c>
      <c r="H18" s="11" t="s">
        <v>73</v>
      </c>
      <c r="I18" s="11" t="s">
        <v>77</v>
      </c>
      <c r="J18" s="11" t="s">
        <v>73</v>
      </c>
      <c r="K18" s="11" t="n">
        <v>-10</v>
      </c>
      <c r="L18" s="11" t="s">
        <v>73</v>
      </c>
      <c r="M18" s="2" t="n">
        <v>340</v>
      </c>
      <c r="N18" s="11" t="s">
        <v>77</v>
      </c>
      <c r="O18" s="11"/>
      <c r="P18" s="11" t="s">
        <v>78</v>
      </c>
      <c r="Q18" s="11" t="s">
        <v>78</v>
      </c>
      <c r="R18" s="11" t="s">
        <v>78</v>
      </c>
      <c r="S18" s="11" t="s">
        <v>78</v>
      </c>
      <c r="T18" s="11" t="s">
        <v>78</v>
      </c>
      <c r="U18" s="11" t="s">
        <v>78</v>
      </c>
      <c r="V18" s="11" t="s">
        <v>78</v>
      </c>
      <c r="W18" s="11" t="s">
        <v>78</v>
      </c>
      <c r="X18" s="11"/>
      <c r="Y18" s="11"/>
      <c r="Z18" s="11"/>
      <c r="AA18" s="11"/>
      <c r="AB18" s="11"/>
      <c r="AC18" s="11" t="s">
        <v>79</v>
      </c>
      <c r="AD18" s="11"/>
      <c r="AE18" s="11"/>
      <c r="AF18" s="11"/>
      <c r="AH18" s="11" t="s">
        <v>73</v>
      </c>
      <c r="AI18" s="11" t="s">
        <v>73</v>
      </c>
      <c r="AK18" s="11"/>
      <c r="AL18" s="11" t="s">
        <v>79</v>
      </c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J18" s="11" t="s">
        <v>78</v>
      </c>
      <c r="BK18" s="11" t="s">
        <v>78</v>
      </c>
      <c r="BL18" s="11" t="s">
        <v>78</v>
      </c>
      <c r="BM18" s="11" t="s">
        <v>78</v>
      </c>
      <c r="BN18" s="11" t="s">
        <v>78</v>
      </c>
      <c r="BO18" s="11" t="s">
        <v>78</v>
      </c>
      <c r="BP18" s="11" t="s">
        <v>78</v>
      </c>
      <c r="BQ18" s="11" t="s">
        <v>78</v>
      </c>
      <c r="BS18" s="2" t="str">
        <f aca="false">IF(AK18="x","x",IF(AK18="-","-",""))</f>
        <v/>
      </c>
      <c r="BT18" s="2" t="str">
        <f aca="false">IF(AL18="x","x",IF(AL18="-","-",""))</f>
        <v>x</v>
      </c>
      <c r="BU18" s="2" t="str">
        <f aca="false">IF(AM18="x","x",IF(AM18="-","-",""))</f>
        <v/>
      </c>
      <c r="BV18" s="2" t="str">
        <f aca="false">IF(AN18="x","x",IF(AN18="-","-",""))</f>
        <v/>
      </c>
      <c r="BW18" s="2" t="str">
        <f aca="false">IF(AO18="x","x",IF(AO18="-","-",""))</f>
        <v/>
      </c>
      <c r="BX18" s="2" t="str">
        <f aca="false">IF(AP18="x","x",IF(AP18="-","-",""))</f>
        <v/>
      </c>
      <c r="BY18" s="2" t="str">
        <f aca="false">IF(AQ18="x","x",IF(AQ18="-","-",""))</f>
        <v/>
      </c>
      <c r="BZ18" s="2" t="str">
        <f aca="false">IF(AR18="x","x",IF(AR18="-","-",""))</f>
        <v/>
      </c>
      <c r="CA18" s="2" t="str">
        <f aca="false">IF(AS18="x","x",IF(AS18="-","-",""))</f>
        <v/>
      </c>
      <c r="CB18" s="2" t="str">
        <f aca="false">IF(AT18="x","x",IF(AT18="-","-",""))</f>
        <v/>
      </c>
      <c r="CC18" s="2" t="str">
        <f aca="false">IF(AU18="x","x",IF(AU18="-","-",""))</f>
        <v/>
      </c>
      <c r="CD18" s="2" t="str">
        <f aca="false">IF(AV18="x","x",IF(AV18="-","-",""))</f>
        <v/>
      </c>
      <c r="CE18" s="2" t="str">
        <f aca="false">IF(AW18="x","x",IF(AW18="-","-",""))</f>
        <v/>
      </c>
      <c r="CF18" s="2" t="str">
        <f aca="false">IF(AX18="x","x",IF(AX18="-","-",""))</f>
        <v/>
      </c>
      <c r="CG18" s="2" t="str">
        <f aca="false">IF(AY18="x","x",IF(AY18="-","-",""))</f>
        <v/>
      </c>
      <c r="CH18" s="2" t="str">
        <f aca="false">IF(AZ18="x","x",IF(AZ18="-","-",""))</f>
        <v/>
      </c>
      <c r="CI18" s="2" t="str">
        <f aca="false">IF(BA18="x","x",IF(BA18="-","-",""))</f>
        <v/>
      </c>
      <c r="CJ18" s="2" t="str">
        <f aca="false">IF(BB18="x","x",IF(BB18="-","-",""))</f>
        <v/>
      </c>
      <c r="CK18" s="2" t="str">
        <f aca="false">IF(BC18="x","x",IF(BC18="-","-",""))</f>
        <v/>
      </c>
      <c r="CL18" s="2" t="str">
        <f aca="false">IF(BD18="x","x",IF(BD18="-","-",""))</f>
        <v/>
      </c>
      <c r="CM18" s="2" t="str">
        <f aca="false">IF(BE18="x","x",IF(BE18="-","-",""))</f>
        <v/>
      </c>
      <c r="CN18" s="2" t="str">
        <f aca="false">IF(BF18="x","x",IF(BF18="-","-",""))</f>
        <v/>
      </c>
      <c r="CO18" s="2" t="str">
        <f aca="false">IF(BG18="x","x",IF(BG18="-","-",""))</f>
        <v/>
      </c>
      <c r="CP18" s="2" t="str">
        <f aca="false">IF(BH18="x","x",IF(BH18="-","-",""))</f>
        <v/>
      </c>
      <c r="CR18" s="2" t="str">
        <f aca="false">IF(P18="x","x",IF(P18="-","-",""))</f>
        <v>-</v>
      </c>
      <c r="CS18" s="2" t="str">
        <f aca="false">IF(Q18="x","x",IF(Q18="-","-",""))</f>
        <v>-</v>
      </c>
      <c r="CT18" s="2" t="str">
        <f aca="false">IF(R18="x","x",IF(R18="-","-",""))</f>
        <v>-</v>
      </c>
      <c r="CU18" s="2" t="str">
        <f aca="false">IF(S18="x","x",IF(S18="-","-",""))</f>
        <v>-</v>
      </c>
      <c r="CV18" s="2" t="str">
        <f aca="false">IF(T18="x","x",IF(T18="-","-",""))</f>
        <v>-</v>
      </c>
      <c r="CW18" s="2" t="str">
        <f aca="false">IF(U18="x","x",IF(U18="-","-",""))</f>
        <v>-</v>
      </c>
      <c r="CX18" s="2" t="str">
        <f aca="false">IF(V18="x","x",IF(V18="-","-",""))</f>
        <v>-</v>
      </c>
      <c r="CY18" s="2" t="str">
        <f aca="false">IF(W18="x","x",IF(W18="-","-",""))</f>
        <v>-</v>
      </c>
      <c r="CZ18" s="2" t="s">
        <v>78</v>
      </c>
      <c r="DA18" s="2" t="s">
        <v>78</v>
      </c>
      <c r="DB18" s="2" t="s">
        <v>78</v>
      </c>
      <c r="DC18" s="2" t="s">
        <v>78</v>
      </c>
      <c r="DE18" s="2" t="str">
        <f aca="false">IF(Y18="x","x",IF(Y18="-","-",""))</f>
        <v/>
      </c>
      <c r="DF18" s="2" t="str">
        <f aca="false">IF(Z18="x","x",IF(Z18="-","-",""))</f>
        <v/>
      </c>
      <c r="DG18" s="2" t="str">
        <f aca="false">IF(AA18="x","x",IF(AA18="-","-",""))</f>
        <v/>
      </c>
      <c r="DH18" s="2" t="str">
        <f aca="false">IF(AB18="x","x",IF(AB18="-","-",""))</f>
        <v/>
      </c>
      <c r="DI18" s="2" t="str">
        <f aca="false">IF(AC18="x","x",IF(AC18="-","-",""))</f>
        <v>x</v>
      </c>
      <c r="DJ18" s="2" t="str">
        <f aca="false">IF(AD18="x","x",IF(AD18="-","-",""))</f>
        <v/>
      </c>
      <c r="DK18" s="2" t="str">
        <f aca="false">IF(AE18="x","x",IF(AE18="-","-",""))</f>
        <v/>
      </c>
      <c r="DL18" s="2" t="str">
        <f aca="false">IF(AF18="x","x",IF(AF18="-","-",""))</f>
        <v/>
      </c>
      <c r="DM18" s="2" t="s">
        <v>78</v>
      </c>
      <c r="DN18" s="2" t="s">
        <v>78</v>
      </c>
      <c r="DO18" s="2" t="s">
        <v>78</v>
      </c>
      <c r="DP18" s="2" t="s">
        <v>78</v>
      </c>
      <c r="EG18" s="11"/>
      <c r="EH18" s="11"/>
      <c r="EI18" s="11"/>
      <c r="EJ18" s="11"/>
      <c r="EK18" s="11"/>
      <c r="EL18" s="11"/>
      <c r="EM18" s="11"/>
      <c r="EN18" s="11"/>
    </row>
    <row r="19" customFormat="false" ht="13.8" hidden="false" customHeight="false" outlineLevel="0" collapsed="false">
      <c r="A19" s="11" t="s">
        <v>73</v>
      </c>
      <c r="B19" s="2" t="n">
        <v>18</v>
      </c>
      <c r="C19" s="12" t="s">
        <v>97</v>
      </c>
      <c r="D19" s="11" t="s">
        <v>92</v>
      </c>
      <c r="E19" s="11" t="s">
        <v>76</v>
      </c>
      <c r="F19" s="11" t="n">
        <v>18</v>
      </c>
      <c r="G19" s="11" t="n">
        <v>20</v>
      </c>
      <c r="H19" s="11" t="s">
        <v>77</v>
      </c>
      <c r="I19" s="11" t="s">
        <v>73</v>
      </c>
      <c r="J19" s="11" t="s">
        <v>77</v>
      </c>
      <c r="K19" s="11" t="n">
        <v>-15</v>
      </c>
      <c r="L19" s="11" t="s">
        <v>77</v>
      </c>
      <c r="M19" s="2" t="n">
        <v>360</v>
      </c>
      <c r="N19" s="11" t="s">
        <v>77</v>
      </c>
      <c r="O19" s="11"/>
      <c r="P19" s="11" t="s">
        <v>78</v>
      </c>
      <c r="Q19" s="11" t="s">
        <v>78</v>
      </c>
      <c r="R19" s="11" t="s">
        <v>78</v>
      </c>
      <c r="S19" s="11" t="s">
        <v>78</v>
      </c>
      <c r="T19" s="11" t="s">
        <v>78</v>
      </c>
      <c r="U19" s="11" t="s">
        <v>78</v>
      </c>
      <c r="V19" s="11" t="s">
        <v>78</v>
      </c>
      <c r="W19" s="11" t="s">
        <v>78</v>
      </c>
      <c r="X19" s="11"/>
      <c r="Y19" s="11"/>
      <c r="Z19" s="11"/>
      <c r="AA19" s="11"/>
      <c r="AB19" s="11"/>
      <c r="AC19" s="11"/>
      <c r="AD19" s="11" t="s">
        <v>79</v>
      </c>
      <c r="AE19" s="11"/>
      <c r="AF19" s="11"/>
      <c r="AH19" s="11" t="s">
        <v>73</v>
      </c>
      <c r="AI19" s="11" t="s">
        <v>73</v>
      </c>
      <c r="AK19" s="11"/>
      <c r="AL19" s="11" t="s">
        <v>79</v>
      </c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J19" s="11" t="s">
        <v>78</v>
      </c>
      <c r="BK19" s="11" t="s">
        <v>78</v>
      </c>
      <c r="BL19" s="11" t="s">
        <v>78</v>
      </c>
      <c r="BM19" s="11" t="s">
        <v>78</v>
      </c>
      <c r="BN19" s="11" t="s">
        <v>78</v>
      </c>
      <c r="BO19" s="11" t="s">
        <v>78</v>
      </c>
      <c r="BP19" s="11" t="s">
        <v>78</v>
      </c>
      <c r="BQ19" s="11" t="s">
        <v>78</v>
      </c>
      <c r="BS19" s="2" t="str">
        <f aca="false">IF(AK19="x","x",IF(AK19="-","-",""))</f>
        <v/>
      </c>
      <c r="BT19" s="2" t="str">
        <f aca="false">IF(AL19="x","x",IF(AL19="-","-",""))</f>
        <v>x</v>
      </c>
      <c r="BU19" s="2" t="str">
        <f aca="false">IF(AM19="x","x",IF(AM19="-","-",""))</f>
        <v/>
      </c>
      <c r="BV19" s="2" t="str">
        <f aca="false">IF(AN19="x","x",IF(AN19="-","-",""))</f>
        <v/>
      </c>
      <c r="BW19" s="2" t="str">
        <f aca="false">IF(AO19="x","x",IF(AO19="-","-",""))</f>
        <v/>
      </c>
      <c r="BX19" s="2" t="str">
        <f aca="false">IF(AP19="x","x",IF(AP19="-","-",""))</f>
        <v/>
      </c>
      <c r="BY19" s="2" t="str">
        <f aca="false">IF(AQ19="x","x",IF(AQ19="-","-",""))</f>
        <v/>
      </c>
      <c r="BZ19" s="2" t="str">
        <f aca="false">IF(AR19="x","x",IF(AR19="-","-",""))</f>
        <v/>
      </c>
      <c r="CA19" s="2" t="str">
        <f aca="false">IF(AS19="x","x",IF(AS19="-","-",""))</f>
        <v/>
      </c>
      <c r="CB19" s="2" t="str">
        <f aca="false">IF(AT19="x","x",IF(AT19="-","-",""))</f>
        <v/>
      </c>
      <c r="CC19" s="2" t="str">
        <f aca="false">IF(AU19="x","x",IF(AU19="-","-",""))</f>
        <v/>
      </c>
      <c r="CD19" s="2" t="str">
        <f aca="false">IF(AV19="x","x",IF(AV19="-","-",""))</f>
        <v/>
      </c>
      <c r="CE19" s="2" t="str">
        <f aca="false">IF(AW19="x","x",IF(AW19="-","-",""))</f>
        <v/>
      </c>
      <c r="CF19" s="2" t="str">
        <f aca="false">IF(AX19="x","x",IF(AX19="-","-",""))</f>
        <v/>
      </c>
      <c r="CG19" s="2" t="str">
        <f aca="false">IF(AY19="x","x",IF(AY19="-","-",""))</f>
        <v/>
      </c>
      <c r="CH19" s="2" t="str">
        <f aca="false">IF(AZ19="x","x",IF(AZ19="-","-",""))</f>
        <v/>
      </c>
      <c r="CI19" s="2" t="str">
        <f aca="false">IF(BA19="x","x",IF(BA19="-","-",""))</f>
        <v/>
      </c>
      <c r="CJ19" s="2" t="str">
        <f aca="false">IF(BB19="x","x",IF(BB19="-","-",""))</f>
        <v/>
      </c>
      <c r="CK19" s="2" t="str">
        <f aca="false">IF(BC19="x","x",IF(BC19="-","-",""))</f>
        <v/>
      </c>
      <c r="CL19" s="2" t="str">
        <f aca="false">IF(BD19="x","x",IF(BD19="-","-",""))</f>
        <v/>
      </c>
      <c r="CM19" s="2" t="str">
        <f aca="false">IF(BE19="x","x",IF(BE19="-","-",""))</f>
        <v/>
      </c>
      <c r="CN19" s="2" t="str">
        <f aca="false">IF(BF19="x","x",IF(BF19="-","-",""))</f>
        <v/>
      </c>
      <c r="CO19" s="2" t="str">
        <f aca="false">IF(BG19="x","x",IF(BG19="-","-",""))</f>
        <v/>
      </c>
      <c r="CP19" s="2" t="str">
        <f aca="false">IF(BH19="x","x",IF(BH19="-","-",""))</f>
        <v/>
      </c>
      <c r="CR19" s="2" t="str">
        <f aca="false">IF(P19="x","x",IF(P19="-","-",""))</f>
        <v>-</v>
      </c>
      <c r="CS19" s="2" t="str">
        <f aca="false">IF(Q19="x","x",IF(Q19="-","-",""))</f>
        <v>-</v>
      </c>
      <c r="CT19" s="2" t="str">
        <f aca="false">IF(R19="x","x",IF(R19="-","-",""))</f>
        <v>-</v>
      </c>
      <c r="CU19" s="2" t="str">
        <f aca="false">IF(S19="x","x",IF(S19="-","-",""))</f>
        <v>-</v>
      </c>
      <c r="CV19" s="2" t="str">
        <f aca="false">IF(T19="x","x",IF(T19="-","-",""))</f>
        <v>-</v>
      </c>
      <c r="CW19" s="2" t="str">
        <f aca="false">IF(U19="x","x",IF(U19="-","-",""))</f>
        <v>-</v>
      </c>
      <c r="CX19" s="2" t="str">
        <f aca="false">IF(V19="x","x",IF(V19="-","-",""))</f>
        <v>-</v>
      </c>
      <c r="CY19" s="2" t="str">
        <f aca="false">IF(W19="x","x",IF(W19="-","-",""))</f>
        <v>-</v>
      </c>
      <c r="CZ19" s="2" t="s">
        <v>78</v>
      </c>
      <c r="DA19" s="2" t="s">
        <v>78</v>
      </c>
      <c r="DB19" s="2" t="s">
        <v>78</v>
      </c>
      <c r="DC19" s="2" t="s">
        <v>78</v>
      </c>
      <c r="DE19" s="2" t="str">
        <f aca="false">IF(Y19="x","x",IF(Y19="-","-",""))</f>
        <v/>
      </c>
      <c r="DF19" s="2" t="str">
        <f aca="false">IF(Z19="x","x",IF(Z19="-","-",""))</f>
        <v/>
      </c>
      <c r="DG19" s="2" t="str">
        <f aca="false">IF(AA19="x","x",IF(AA19="-","-",""))</f>
        <v/>
      </c>
      <c r="DH19" s="2" t="str">
        <f aca="false">IF(AB19="x","x",IF(AB19="-","-",""))</f>
        <v/>
      </c>
      <c r="DI19" s="2" t="str">
        <f aca="false">IF(AC19="x","x",IF(AC19="-","-",""))</f>
        <v/>
      </c>
      <c r="DJ19" s="2" t="str">
        <f aca="false">IF(AD19="x","x",IF(AD19="-","-",""))</f>
        <v>x</v>
      </c>
      <c r="DK19" s="2" t="str">
        <f aca="false">IF(AE19="x","x",IF(AE19="-","-",""))</f>
        <v/>
      </c>
      <c r="DL19" s="2" t="str">
        <f aca="false">IF(AF19="x","x",IF(AF19="-","-",""))</f>
        <v/>
      </c>
      <c r="DM19" s="2" t="s">
        <v>78</v>
      </c>
      <c r="DN19" s="2" t="s">
        <v>78</v>
      </c>
      <c r="DO19" s="2" t="s">
        <v>78</v>
      </c>
      <c r="DP19" s="2" t="s">
        <v>78</v>
      </c>
      <c r="EG19" s="11"/>
      <c r="EH19" s="11"/>
      <c r="EI19" s="11"/>
      <c r="EJ19" s="11"/>
      <c r="EK19" s="11"/>
      <c r="EL19" s="11"/>
      <c r="EM19" s="11"/>
      <c r="EN19" s="11"/>
    </row>
    <row r="20" customFormat="false" ht="13.8" hidden="false" customHeight="false" outlineLevel="0" collapsed="false">
      <c r="A20" s="11" t="s">
        <v>73</v>
      </c>
      <c r="B20" s="2" t="n">
        <v>19</v>
      </c>
      <c r="C20" s="12" t="s">
        <v>98</v>
      </c>
      <c r="D20" s="11" t="s">
        <v>92</v>
      </c>
      <c r="E20" s="11" t="s">
        <v>76</v>
      </c>
      <c r="F20" s="11" t="n">
        <v>19</v>
      </c>
      <c r="G20" s="11" t="n">
        <v>25</v>
      </c>
      <c r="H20" s="11" t="s">
        <v>73</v>
      </c>
      <c r="I20" s="11" t="s">
        <v>77</v>
      </c>
      <c r="J20" s="11" t="s">
        <v>73</v>
      </c>
      <c r="K20" s="11" t="n">
        <v>-20</v>
      </c>
      <c r="L20" s="11" t="s">
        <v>73</v>
      </c>
      <c r="M20" s="2" t="n">
        <v>380</v>
      </c>
      <c r="N20" s="11" t="s">
        <v>77</v>
      </c>
      <c r="O20" s="11"/>
      <c r="P20" s="11" t="s">
        <v>78</v>
      </c>
      <c r="Q20" s="11" t="s">
        <v>78</v>
      </c>
      <c r="R20" s="11" t="s">
        <v>78</v>
      </c>
      <c r="S20" s="11" t="s">
        <v>78</v>
      </c>
      <c r="T20" s="11" t="s">
        <v>78</v>
      </c>
      <c r="U20" s="11" t="s">
        <v>78</v>
      </c>
      <c r="V20" s="11" t="s">
        <v>78</v>
      </c>
      <c r="W20" s="11" t="s">
        <v>78</v>
      </c>
      <c r="X20" s="11"/>
      <c r="Y20" s="11"/>
      <c r="Z20" s="11"/>
      <c r="AA20" s="11"/>
      <c r="AB20" s="11"/>
      <c r="AC20" s="11"/>
      <c r="AD20" s="11"/>
      <c r="AE20" s="11" t="s">
        <v>79</v>
      </c>
      <c r="AF20" s="11"/>
      <c r="AH20" s="11" t="s">
        <v>73</v>
      </c>
      <c r="AI20" s="11" t="s">
        <v>73</v>
      </c>
      <c r="AK20" s="11"/>
      <c r="AL20" s="11" t="s">
        <v>79</v>
      </c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J20" s="11" t="s">
        <v>78</v>
      </c>
      <c r="BK20" s="11" t="s">
        <v>78</v>
      </c>
      <c r="BL20" s="11" t="s">
        <v>78</v>
      </c>
      <c r="BM20" s="11" t="s">
        <v>78</v>
      </c>
      <c r="BN20" s="11" t="s">
        <v>78</v>
      </c>
      <c r="BO20" s="11" t="s">
        <v>78</v>
      </c>
      <c r="BP20" s="11" t="s">
        <v>78</v>
      </c>
      <c r="BQ20" s="11" t="s">
        <v>78</v>
      </c>
      <c r="BS20" s="2" t="str">
        <f aca="false">IF(AK20="x","x",IF(AK20="-","-",""))</f>
        <v/>
      </c>
      <c r="BT20" s="2" t="str">
        <f aca="false">IF(AL20="x","x",IF(AL20="-","-",""))</f>
        <v>x</v>
      </c>
      <c r="BU20" s="2" t="str">
        <f aca="false">IF(AM20="x","x",IF(AM20="-","-",""))</f>
        <v/>
      </c>
      <c r="BV20" s="2" t="str">
        <f aca="false">IF(AN20="x","x",IF(AN20="-","-",""))</f>
        <v/>
      </c>
      <c r="BW20" s="2" t="str">
        <f aca="false">IF(AO20="x","x",IF(AO20="-","-",""))</f>
        <v/>
      </c>
      <c r="BX20" s="2" t="str">
        <f aca="false">IF(AP20="x","x",IF(AP20="-","-",""))</f>
        <v/>
      </c>
      <c r="BY20" s="2" t="str">
        <f aca="false">IF(AQ20="x","x",IF(AQ20="-","-",""))</f>
        <v/>
      </c>
      <c r="BZ20" s="2" t="str">
        <f aca="false">IF(AR20="x","x",IF(AR20="-","-",""))</f>
        <v/>
      </c>
      <c r="CA20" s="2" t="str">
        <f aca="false">IF(AS20="x","x",IF(AS20="-","-",""))</f>
        <v/>
      </c>
      <c r="CB20" s="2" t="str">
        <f aca="false">IF(AT20="x","x",IF(AT20="-","-",""))</f>
        <v/>
      </c>
      <c r="CC20" s="2" t="str">
        <f aca="false">IF(AU20="x","x",IF(AU20="-","-",""))</f>
        <v/>
      </c>
      <c r="CD20" s="2" t="str">
        <f aca="false">IF(AV20="x","x",IF(AV20="-","-",""))</f>
        <v/>
      </c>
      <c r="CE20" s="2" t="str">
        <f aca="false">IF(AW20="x","x",IF(AW20="-","-",""))</f>
        <v/>
      </c>
      <c r="CF20" s="2" t="str">
        <f aca="false">IF(AX20="x","x",IF(AX20="-","-",""))</f>
        <v/>
      </c>
      <c r="CG20" s="2" t="str">
        <f aca="false">IF(AY20="x","x",IF(AY20="-","-",""))</f>
        <v/>
      </c>
      <c r="CH20" s="2" t="str">
        <f aca="false">IF(AZ20="x","x",IF(AZ20="-","-",""))</f>
        <v/>
      </c>
      <c r="CI20" s="2" t="str">
        <f aca="false">IF(BA20="x","x",IF(BA20="-","-",""))</f>
        <v/>
      </c>
      <c r="CJ20" s="2" t="str">
        <f aca="false">IF(BB20="x","x",IF(BB20="-","-",""))</f>
        <v/>
      </c>
      <c r="CK20" s="2" t="str">
        <f aca="false">IF(BC20="x","x",IF(BC20="-","-",""))</f>
        <v/>
      </c>
      <c r="CL20" s="2" t="str">
        <f aca="false">IF(BD20="x","x",IF(BD20="-","-",""))</f>
        <v/>
      </c>
      <c r="CM20" s="2" t="str">
        <f aca="false">IF(BE20="x","x",IF(BE20="-","-",""))</f>
        <v/>
      </c>
      <c r="CN20" s="2" t="str">
        <f aca="false">IF(BF20="x","x",IF(BF20="-","-",""))</f>
        <v/>
      </c>
      <c r="CO20" s="2" t="str">
        <f aca="false">IF(BG20="x","x",IF(BG20="-","-",""))</f>
        <v/>
      </c>
      <c r="CP20" s="2" t="str">
        <f aca="false">IF(BH20="x","x",IF(BH20="-","-",""))</f>
        <v/>
      </c>
      <c r="CR20" s="2" t="str">
        <f aca="false">IF(P20="x","x",IF(P20="-","-",""))</f>
        <v>-</v>
      </c>
      <c r="CS20" s="2" t="str">
        <f aca="false">IF(Q20="x","x",IF(Q20="-","-",""))</f>
        <v>-</v>
      </c>
      <c r="CT20" s="2" t="str">
        <f aca="false">IF(R20="x","x",IF(R20="-","-",""))</f>
        <v>-</v>
      </c>
      <c r="CU20" s="2" t="str">
        <f aca="false">IF(S20="x","x",IF(S20="-","-",""))</f>
        <v>-</v>
      </c>
      <c r="CV20" s="2" t="str">
        <f aca="false">IF(T20="x","x",IF(T20="-","-",""))</f>
        <v>-</v>
      </c>
      <c r="CW20" s="2" t="str">
        <f aca="false">IF(U20="x","x",IF(U20="-","-",""))</f>
        <v>-</v>
      </c>
      <c r="CX20" s="2" t="str">
        <f aca="false">IF(V20="x","x",IF(V20="-","-",""))</f>
        <v>-</v>
      </c>
      <c r="CY20" s="2" t="str">
        <f aca="false">IF(W20="x","x",IF(W20="-","-",""))</f>
        <v>-</v>
      </c>
      <c r="CZ20" s="2" t="s">
        <v>78</v>
      </c>
      <c r="DA20" s="2" t="s">
        <v>78</v>
      </c>
      <c r="DB20" s="2" t="s">
        <v>78</v>
      </c>
      <c r="DC20" s="2" t="s">
        <v>78</v>
      </c>
      <c r="DE20" s="2" t="str">
        <f aca="false">IF(Y20="x","x",IF(Y20="-","-",""))</f>
        <v/>
      </c>
      <c r="DF20" s="2" t="str">
        <f aca="false">IF(Z20="x","x",IF(Z20="-","-",""))</f>
        <v/>
      </c>
      <c r="DG20" s="2" t="str">
        <f aca="false">IF(AA20="x","x",IF(AA20="-","-",""))</f>
        <v/>
      </c>
      <c r="DH20" s="2" t="str">
        <f aca="false">IF(AB20="x","x",IF(AB20="-","-",""))</f>
        <v/>
      </c>
      <c r="DI20" s="2" t="str">
        <f aca="false">IF(AC20="x","x",IF(AC20="-","-",""))</f>
        <v/>
      </c>
      <c r="DJ20" s="2" t="str">
        <f aca="false">IF(AD20="x","x",IF(AD20="-","-",""))</f>
        <v/>
      </c>
      <c r="DK20" s="2" t="str">
        <f aca="false">IF(AE20="x","x",IF(AE20="-","-",""))</f>
        <v>x</v>
      </c>
      <c r="DL20" s="2" t="str">
        <f aca="false">IF(AF20="x","x",IF(AF20="-","-",""))</f>
        <v/>
      </c>
      <c r="DM20" s="2" t="s">
        <v>78</v>
      </c>
      <c r="DN20" s="2" t="s">
        <v>78</v>
      </c>
      <c r="DO20" s="2" t="s">
        <v>78</v>
      </c>
      <c r="DP20" s="2" t="s">
        <v>78</v>
      </c>
      <c r="EG20" s="11"/>
      <c r="EH20" s="11"/>
      <c r="EI20" s="11"/>
      <c r="EJ20" s="11"/>
      <c r="EK20" s="11"/>
      <c r="EL20" s="11"/>
      <c r="EM20" s="11"/>
      <c r="EN20" s="11"/>
    </row>
    <row r="21" customFormat="false" ht="13.8" hidden="false" customHeight="false" outlineLevel="0" collapsed="false">
      <c r="A21" s="11" t="s">
        <v>73</v>
      </c>
      <c r="B21" s="2" t="n">
        <v>20</v>
      </c>
      <c r="C21" s="12" t="s">
        <v>99</v>
      </c>
      <c r="D21" s="11" t="s">
        <v>92</v>
      </c>
      <c r="E21" s="11" t="s">
        <v>76</v>
      </c>
      <c r="F21" s="11" t="n">
        <v>20</v>
      </c>
      <c r="G21" s="11" t="n">
        <v>30</v>
      </c>
      <c r="H21" s="11" t="s">
        <v>77</v>
      </c>
      <c r="I21" s="11" t="s">
        <v>73</v>
      </c>
      <c r="J21" s="11" t="s">
        <v>77</v>
      </c>
      <c r="K21" s="11" t="n">
        <v>-25</v>
      </c>
      <c r="L21" s="11" t="s">
        <v>77</v>
      </c>
      <c r="M21" s="2" t="n">
        <v>400</v>
      </c>
      <c r="N21" s="11" t="s">
        <v>77</v>
      </c>
      <c r="O21" s="11"/>
      <c r="P21" s="11" t="s">
        <v>78</v>
      </c>
      <c r="Q21" s="11" t="s">
        <v>78</v>
      </c>
      <c r="R21" s="11" t="s">
        <v>78</v>
      </c>
      <c r="S21" s="11" t="s">
        <v>78</v>
      </c>
      <c r="T21" s="11" t="s">
        <v>78</v>
      </c>
      <c r="U21" s="11" t="s">
        <v>78</v>
      </c>
      <c r="V21" s="11" t="s">
        <v>78</v>
      </c>
      <c r="W21" s="11" t="s">
        <v>78</v>
      </c>
      <c r="X21" s="11"/>
      <c r="Y21" s="11"/>
      <c r="Z21" s="11"/>
      <c r="AA21" s="11"/>
      <c r="AB21" s="11"/>
      <c r="AC21" s="11"/>
      <c r="AD21" s="11"/>
      <c r="AE21" s="11"/>
      <c r="AF21" s="11" t="s">
        <v>79</v>
      </c>
      <c r="AH21" s="11" t="s">
        <v>73</v>
      </c>
      <c r="AI21" s="11" t="s">
        <v>73</v>
      </c>
      <c r="AK21" s="11"/>
      <c r="AL21" s="11" t="s">
        <v>79</v>
      </c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J21" s="11" t="s">
        <v>78</v>
      </c>
      <c r="BK21" s="11" t="s">
        <v>78</v>
      </c>
      <c r="BL21" s="11" t="s">
        <v>78</v>
      </c>
      <c r="BM21" s="11" t="s">
        <v>78</v>
      </c>
      <c r="BN21" s="11" t="s">
        <v>78</v>
      </c>
      <c r="BO21" s="11" t="s">
        <v>78</v>
      </c>
      <c r="BP21" s="11" t="s">
        <v>78</v>
      </c>
      <c r="BQ21" s="11" t="s">
        <v>78</v>
      </c>
      <c r="BS21" s="2" t="str">
        <f aca="false">IF(AK21="x","x",IF(AK21="-","-",""))</f>
        <v/>
      </c>
      <c r="BT21" s="2" t="str">
        <f aca="false">IF(AL21="x","x",IF(AL21="-","-",""))</f>
        <v>x</v>
      </c>
      <c r="BU21" s="2" t="str">
        <f aca="false">IF(AM21="x","x",IF(AM21="-","-",""))</f>
        <v/>
      </c>
      <c r="BV21" s="2" t="str">
        <f aca="false">IF(AN21="x","x",IF(AN21="-","-",""))</f>
        <v/>
      </c>
      <c r="BW21" s="2" t="str">
        <f aca="false">IF(AO21="x","x",IF(AO21="-","-",""))</f>
        <v/>
      </c>
      <c r="BX21" s="2" t="str">
        <f aca="false">IF(AP21="x","x",IF(AP21="-","-",""))</f>
        <v/>
      </c>
      <c r="BY21" s="2" t="str">
        <f aca="false">IF(AQ21="x","x",IF(AQ21="-","-",""))</f>
        <v/>
      </c>
      <c r="BZ21" s="2" t="str">
        <f aca="false">IF(AR21="x","x",IF(AR21="-","-",""))</f>
        <v/>
      </c>
      <c r="CA21" s="2" t="str">
        <f aca="false">IF(AS21="x","x",IF(AS21="-","-",""))</f>
        <v/>
      </c>
      <c r="CB21" s="2" t="str">
        <f aca="false">IF(AT21="x","x",IF(AT21="-","-",""))</f>
        <v/>
      </c>
      <c r="CC21" s="2" t="str">
        <f aca="false">IF(AU21="x","x",IF(AU21="-","-",""))</f>
        <v/>
      </c>
      <c r="CD21" s="2" t="str">
        <f aca="false">IF(AV21="x","x",IF(AV21="-","-",""))</f>
        <v/>
      </c>
      <c r="CE21" s="2" t="str">
        <f aca="false">IF(AW21="x","x",IF(AW21="-","-",""))</f>
        <v/>
      </c>
      <c r="CF21" s="2" t="str">
        <f aca="false">IF(AX21="x","x",IF(AX21="-","-",""))</f>
        <v/>
      </c>
      <c r="CG21" s="2" t="str">
        <f aca="false">IF(AY21="x","x",IF(AY21="-","-",""))</f>
        <v/>
      </c>
      <c r="CH21" s="2" t="str">
        <f aca="false">IF(AZ21="x","x",IF(AZ21="-","-",""))</f>
        <v/>
      </c>
      <c r="CI21" s="2" t="str">
        <f aca="false">IF(BA21="x","x",IF(BA21="-","-",""))</f>
        <v/>
      </c>
      <c r="CJ21" s="2" t="str">
        <f aca="false">IF(BB21="x","x",IF(BB21="-","-",""))</f>
        <v/>
      </c>
      <c r="CK21" s="2" t="str">
        <f aca="false">IF(BC21="x","x",IF(BC21="-","-",""))</f>
        <v/>
      </c>
      <c r="CL21" s="2" t="str">
        <f aca="false">IF(BD21="x","x",IF(BD21="-","-",""))</f>
        <v/>
      </c>
      <c r="CM21" s="2" t="str">
        <f aca="false">IF(BE21="x","x",IF(BE21="-","-",""))</f>
        <v/>
      </c>
      <c r="CN21" s="2" t="str">
        <f aca="false">IF(BF21="x","x",IF(BF21="-","-",""))</f>
        <v/>
      </c>
      <c r="CO21" s="2" t="str">
        <f aca="false">IF(BG21="x","x",IF(BG21="-","-",""))</f>
        <v/>
      </c>
      <c r="CP21" s="2" t="str">
        <f aca="false">IF(BH21="x","x",IF(BH21="-","-",""))</f>
        <v/>
      </c>
      <c r="CR21" s="2" t="str">
        <f aca="false">IF(P21="x","x",IF(P21="-","-",""))</f>
        <v>-</v>
      </c>
      <c r="CS21" s="2" t="str">
        <f aca="false">IF(Q21="x","x",IF(Q21="-","-",""))</f>
        <v>-</v>
      </c>
      <c r="CT21" s="2" t="str">
        <f aca="false">IF(R21="x","x",IF(R21="-","-",""))</f>
        <v>-</v>
      </c>
      <c r="CU21" s="2" t="str">
        <f aca="false">IF(S21="x","x",IF(S21="-","-",""))</f>
        <v>-</v>
      </c>
      <c r="CV21" s="2" t="str">
        <f aca="false">IF(T21="x","x",IF(T21="-","-",""))</f>
        <v>-</v>
      </c>
      <c r="CW21" s="2" t="str">
        <f aca="false">IF(U21="x","x",IF(U21="-","-",""))</f>
        <v>-</v>
      </c>
      <c r="CX21" s="2" t="str">
        <f aca="false">IF(V21="x","x",IF(V21="-","-",""))</f>
        <v>-</v>
      </c>
      <c r="CY21" s="2" t="str">
        <f aca="false">IF(W21="x","x",IF(W21="-","-",""))</f>
        <v>-</v>
      </c>
      <c r="CZ21" s="2" t="s">
        <v>78</v>
      </c>
      <c r="DA21" s="2" t="s">
        <v>78</v>
      </c>
      <c r="DB21" s="2" t="s">
        <v>78</v>
      </c>
      <c r="DC21" s="2" t="s">
        <v>78</v>
      </c>
      <c r="DE21" s="2" t="str">
        <f aca="false">IF(Y21="x","x",IF(Y21="-","-",""))</f>
        <v/>
      </c>
      <c r="DF21" s="2" t="str">
        <f aca="false">IF(Z21="x","x",IF(Z21="-","-",""))</f>
        <v/>
      </c>
      <c r="DG21" s="2" t="str">
        <f aca="false">IF(AA21="x","x",IF(AA21="-","-",""))</f>
        <v/>
      </c>
      <c r="DH21" s="2" t="str">
        <f aca="false">IF(AB21="x","x",IF(AB21="-","-",""))</f>
        <v/>
      </c>
      <c r="DI21" s="2" t="str">
        <f aca="false">IF(AC21="x","x",IF(AC21="-","-",""))</f>
        <v/>
      </c>
      <c r="DJ21" s="2" t="str">
        <f aca="false">IF(AD21="x","x",IF(AD21="-","-",""))</f>
        <v/>
      </c>
      <c r="DK21" s="2" t="str">
        <f aca="false">IF(AE21="x","x",IF(AE21="-","-",""))</f>
        <v/>
      </c>
      <c r="DL21" s="2" t="str">
        <f aca="false">IF(AF21="x","x",IF(AF21="-","-",""))</f>
        <v>x</v>
      </c>
      <c r="DM21" s="2" t="s">
        <v>78</v>
      </c>
      <c r="DN21" s="2" t="s">
        <v>78</v>
      </c>
      <c r="DO21" s="2" t="s">
        <v>78</v>
      </c>
      <c r="DP21" s="2" t="s">
        <v>78</v>
      </c>
      <c r="EG21" s="11"/>
      <c r="EH21" s="11"/>
      <c r="EI21" s="11"/>
      <c r="EJ21" s="11"/>
      <c r="EK21" s="11"/>
      <c r="EL21" s="11"/>
      <c r="EM21" s="11"/>
      <c r="EN21" s="11"/>
    </row>
    <row r="22" customFormat="false" ht="13.8" hidden="false" customHeight="false" outlineLevel="0" collapsed="false">
      <c r="A22" s="11" t="s">
        <v>73</v>
      </c>
      <c r="B22" s="2" t="n">
        <v>21</v>
      </c>
      <c r="C22" s="12" t="s">
        <v>100</v>
      </c>
      <c r="D22" s="11" t="s">
        <v>92</v>
      </c>
      <c r="E22" s="11" t="s">
        <v>76</v>
      </c>
      <c r="F22" s="11" t="n">
        <v>21</v>
      </c>
      <c r="G22" s="11" t="n">
        <v>35</v>
      </c>
      <c r="H22" s="11" t="s">
        <v>73</v>
      </c>
      <c r="I22" s="11" t="s">
        <v>77</v>
      </c>
      <c r="J22" s="11" t="s">
        <v>73</v>
      </c>
      <c r="K22" s="11" t="n">
        <v>-30</v>
      </c>
      <c r="L22" s="11" t="s">
        <v>73</v>
      </c>
      <c r="M22" s="2" t="n">
        <v>420</v>
      </c>
      <c r="N22" s="11" t="s">
        <v>77</v>
      </c>
      <c r="O22" s="11"/>
      <c r="P22" s="11" t="s">
        <v>78</v>
      </c>
      <c r="Q22" s="11" t="s">
        <v>78</v>
      </c>
      <c r="R22" s="11" t="s">
        <v>78</v>
      </c>
      <c r="S22" s="11" t="s">
        <v>78</v>
      </c>
      <c r="T22" s="11" t="s">
        <v>78</v>
      </c>
      <c r="U22" s="11" t="s">
        <v>78</v>
      </c>
      <c r="V22" s="11" t="s">
        <v>78</v>
      </c>
      <c r="W22" s="11" t="s">
        <v>78</v>
      </c>
      <c r="X22" s="11"/>
      <c r="Y22" s="11" t="s">
        <v>78</v>
      </c>
      <c r="Z22" s="11" t="s">
        <v>78</v>
      </c>
      <c r="AA22" s="11" t="s">
        <v>78</v>
      </c>
      <c r="AB22" s="11" t="s">
        <v>78</v>
      </c>
      <c r="AC22" s="11" t="s">
        <v>78</v>
      </c>
      <c r="AD22" s="11" t="s">
        <v>78</v>
      </c>
      <c r="AE22" s="11" t="s">
        <v>78</v>
      </c>
      <c r="AF22" s="11" t="s">
        <v>78</v>
      </c>
      <c r="AH22" s="11" t="s">
        <v>73</v>
      </c>
      <c r="AI22" s="11" t="s">
        <v>73</v>
      </c>
      <c r="AK22" s="11"/>
      <c r="AL22" s="11" t="s">
        <v>79</v>
      </c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J22" s="11" t="s">
        <v>78</v>
      </c>
      <c r="BK22" s="11" t="s">
        <v>78</v>
      </c>
      <c r="BL22" s="11" t="s">
        <v>78</v>
      </c>
      <c r="BM22" s="11" t="s">
        <v>78</v>
      </c>
      <c r="BN22" s="11" t="s">
        <v>78</v>
      </c>
      <c r="BO22" s="11" t="s">
        <v>78</v>
      </c>
      <c r="BP22" s="11" t="s">
        <v>78</v>
      </c>
      <c r="BQ22" s="11" t="s">
        <v>78</v>
      </c>
      <c r="BS22" s="2" t="str">
        <f aca="false">IF(AK22="x","x",IF(AK22="-","-",""))</f>
        <v/>
      </c>
      <c r="BT22" s="2" t="str">
        <f aca="false">IF(AL22="x","x",IF(AL22="-","-",""))</f>
        <v>x</v>
      </c>
      <c r="BU22" s="2" t="str">
        <f aca="false">IF(AM22="x","x",IF(AM22="-","-",""))</f>
        <v/>
      </c>
      <c r="BV22" s="2" t="str">
        <f aca="false">IF(AN22="x","x",IF(AN22="-","-",""))</f>
        <v/>
      </c>
      <c r="BW22" s="2" t="str">
        <f aca="false">IF(AO22="x","x",IF(AO22="-","-",""))</f>
        <v/>
      </c>
      <c r="BX22" s="2" t="str">
        <f aca="false">IF(AP22="x","x",IF(AP22="-","-",""))</f>
        <v/>
      </c>
      <c r="BY22" s="2" t="str">
        <f aca="false">IF(AQ22="x","x",IF(AQ22="-","-",""))</f>
        <v/>
      </c>
      <c r="BZ22" s="2" t="str">
        <f aca="false">IF(AR22="x","x",IF(AR22="-","-",""))</f>
        <v/>
      </c>
      <c r="CA22" s="2" t="str">
        <f aca="false">IF(AS22="x","x",IF(AS22="-","-",""))</f>
        <v/>
      </c>
      <c r="CB22" s="2" t="str">
        <f aca="false">IF(AT22="x","x",IF(AT22="-","-",""))</f>
        <v/>
      </c>
      <c r="CC22" s="2" t="str">
        <f aca="false">IF(AU22="x","x",IF(AU22="-","-",""))</f>
        <v/>
      </c>
      <c r="CD22" s="2" t="str">
        <f aca="false">IF(AV22="x","x",IF(AV22="-","-",""))</f>
        <v/>
      </c>
      <c r="CE22" s="2" t="str">
        <f aca="false">IF(AW22="x","x",IF(AW22="-","-",""))</f>
        <v/>
      </c>
      <c r="CF22" s="2" t="str">
        <f aca="false">IF(AX22="x","x",IF(AX22="-","-",""))</f>
        <v/>
      </c>
      <c r="CG22" s="2" t="str">
        <f aca="false">IF(AY22="x","x",IF(AY22="-","-",""))</f>
        <v/>
      </c>
      <c r="CH22" s="2" t="str">
        <f aca="false">IF(AZ22="x","x",IF(AZ22="-","-",""))</f>
        <v/>
      </c>
      <c r="CI22" s="2" t="str">
        <f aca="false">IF(BA22="x","x",IF(BA22="-","-",""))</f>
        <v/>
      </c>
      <c r="CJ22" s="2" t="str">
        <f aca="false">IF(BB22="x","x",IF(BB22="-","-",""))</f>
        <v/>
      </c>
      <c r="CK22" s="2" t="str">
        <f aca="false">IF(BC22="x","x",IF(BC22="-","-",""))</f>
        <v/>
      </c>
      <c r="CL22" s="2" t="str">
        <f aca="false">IF(BD22="x","x",IF(BD22="-","-",""))</f>
        <v/>
      </c>
      <c r="CM22" s="2" t="str">
        <f aca="false">IF(BE22="x","x",IF(BE22="-","-",""))</f>
        <v/>
      </c>
      <c r="CN22" s="2" t="str">
        <f aca="false">IF(BF22="x","x",IF(BF22="-","-",""))</f>
        <v/>
      </c>
      <c r="CO22" s="2" t="str">
        <f aca="false">IF(BG22="x","x",IF(BG22="-","-",""))</f>
        <v/>
      </c>
      <c r="CP22" s="2" t="str">
        <f aca="false">IF(BH22="x","x",IF(BH22="-","-",""))</f>
        <v/>
      </c>
      <c r="CR22" s="2" t="str">
        <f aca="false">IF(P22="x","x",IF(P22="-","-",""))</f>
        <v>-</v>
      </c>
      <c r="CS22" s="2" t="str">
        <f aca="false">IF(Q22="x","x",IF(Q22="-","-",""))</f>
        <v>-</v>
      </c>
      <c r="CT22" s="2" t="str">
        <f aca="false">IF(R22="x","x",IF(R22="-","-",""))</f>
        <v>-</v>
      </c>
      <c r="CU22" s="2" t="str">
        <f aca="false">IF(S22="x","x",IF(S22="-","-",""))</f>
        <v>-</v>
      </c>
      <c r="CV22" s="2" t="str">
        <f aca="false">IF(T22="x","x",IF(T22="-","-",""))</f>
        <v>-</v>
      </c>
      <c r="CW22" s="2" t="str">
        <f aca="false">IF(U22="x","x",IF(U22="-","-",""))</f>
        <v>-</v>
      </c>
      <c r="CX22" s="2" t="str">
        <f aca="false">IF(V22="x","x",IF(V22="-","-",""))</f>
        <v>-</v>
      </c>
      <c r="CY22" s="2" t="str">
        <f aca="false">IF(W22="x","x",IF(W22="-","-",""))</f>
        <v>-</v>
      </c>
      <c r="CZ22" s="2" t="s">
        <v>78</v>
      </c>
      <c r="DA22" s="2" t="s">
        <v>78</v>
      </c>
      <c r="DB22" s="2" t="s">
        <v>78</v>
      </c>
      <c r="DC22" s="2" t="s">
        <v>78</v>
      </c>
      <c r="DE22" s="2" t="str">
        <f aca="false">IF(Y22="x","x",IF(Y22="-","-",""))</f>
        <v>-</v>
      </c>
      <c r="DF22" s="2" t="str">
        <f aca="false">IF(Z22="x","x",IF(Z22="-","-",""))</f>
        <v>-</v>
      </c>
      <c r="DG22" s="2" t="str">
        <f aca="false">IF(AA22="x","x",IF(AA22="-","-",""))</f>
        <v>-</v>
      </c>
      <c r="DH22" s="2" t="str">
        <f aca="false">IF(AB22="x","x",IF(AB22="-","-",""))</f>
        <v>-</v>
      </c>
      <c r="DI22" s="2" t="str">
        <f aca="false">IF(AC22="x","x",IF(AC22="-","-",""))</f>
        <v>-</v>
      </c>
      <c r="DJ22" s="2" t="str">
        <f aca="false">IF(AD22="x","x",IF(AD22="-","-",""))</f>
        <v>-</v>
      </c>
      <c r="DK22" s="2" t="str">
        <f aca="false">IF(AE22="x","x",IF(AE22="-","-",""))</f>
        <v>-</v>
      </c>
      <c r="DL22" s="2" t="str">
        <f aca="false">IF(AF22="x","x",IF(AF22="-","-",""))</f>
        <v>-</v>
      </c>
      <c r="DM22" s="2" t="s">
        <v>78</v>
      </c>
      <c r="DN22" s="2" t="s">
        <v>78</v>
      </c>
      <c r="DO22" s="2" t="s">
        <v>78</v>
      </c>
      <c r="DP22" s="2" t="s">
        <v>78</v>
      </c>
      <c r="EG22" s="11"/>
      <c r="EH22" s="11"/>
      <c r="EI22" s="11"/>
      <c r="EJ22" s="11"/>
      <c r="EK22" s="11"/>
      <c r="EL22" s="11"/>
      <c r="EM22" s="11"/>
      <c r="EN22" s="11"/>
    </row>
    <row r="23" customFormat="false" ht="13.8" hidden="false" customHeight="false" outlineLevel="0" collapsed="false">
      <c r="A23" s="11" t="s">
        <v>73</v>
      </c>
      <c r="B23" s="2" t="n">
        <v>22</v>
      </c>
      <c r="C23" s="12" t="s">
        <v>101</v>
      </c>
      <c r="D23" s="11" t="s">
        <v>92</v>
      </c>
      <c r="E23" s="11" t="s">
        <v>76</v>
      </c>
      <c r="F23" s="11" t="n">
        <v>22</v>
      </c>
      <c r="G23" s="11" t="n">
        <v>40</v>
      </c>
      <c r="H23" s="11" t="s">
        <v>77</v>
      </c>
      <c r="I23" s="11" t="s">
        <v>73</v>
      </c>
      <c r="J23" s="11" t="s">
        <v>77</v>
      </c>
      <c r="K23" s="11" t="n">
        <v>-35</v>
      </c>
      <c r="L23" s="11" t="s">
        <v>77</v>
      </c>
      <c r="M23" s="2" t="n">
        <v>440</v>
      </c>
      <c r="N23" s="11" t="s">
        <v>77</v>
      </c>
      <c r="O23" s="11"/>
      <c r="P23" s="11" t="s">
        <v>78</v>
      </c>
      <c r="Q23" s="11" t="s">
        <v>78</v>
      </c>
      <c r="R23" s="11" t="s">
        <v>78</v>
      </c>
      <c r="S23" s="11" t="s">
        <v>78</v>
      </c>
      <c r="T23" s="11" t="s">
        <v>78</v>
      </c>
      <c r="U23" s="11" t="s">
        <v>78</v>
      </c>
      <c r="V23" s="11" t="s">
        <v>78</v>
      </c>
      <c r="W23" s="11" t="s">
        <v>78</v>
      </c>
      <c r="X23" s="11"/>
      <c r="Y23" s="11" t="s">
        <v>78</v>
      </c>
      <c r="Z23" s="11" t="s">
        <v>78</v>
      </c>
      <c r="AA23" s="11" t="s">
        <v>78</v>
      </c>
      <c r="AB23" s="11" t="s">
        <v>78</v>
      </c>
      <c r="AC23" s="11" t="s">
        <v>78</v>
      </c>
      <c r="AD23" s="11" t="s">
        <v>78</v>
      </c>
      <c r="AE23" s="11" t="s">
        <v>78</v>
      </c>
      <c r="AF23" s="11" t="s">
        <v>78</v>
      </c>
      <c r="AH23" s="11" t="s">
        <v>73</v>
      </c>
      <c r="AI23" s="11" t="s">
        <v>73</v>
      </c>
      <c r="AK23" s="11"/>
      <c r="AL23" s="11" t="s">
        <v>79</v>
      </c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J23" s="11" t="s">
        <v>78</v>
      </c>
      <c r="BK23" s="11" t="s">
        <v>78</v>
      </c>
      <c r="BL23" s="11" t="s">
        <v>78</v>
      </c>
      <c r="BM23" s="11" t="s">
        <v>78</v>
      </c>
      <c r="BN23" s="11" t="s">
        <v>78</v>
      </c>
      <c r="BO23" s="11" t="s">
        <v>78</v>
      </c>
      <c r="BP23" s="11" t="s">
        <v>78</v>
      </c>
      <c r="BQ23" s="11" t="s">
        <v>78</v>
      </c>
      <c r="BS23" s="2" t="str">
        <f aca="false">IF(AK23="x","x",IF(AK23="-","-",""))</f>
        <v/>
      </c>
      <c r="BT23" s="2" t="str">
        <f aca="false">IF(AL23="x","x",IF(AL23="-","-",""))</f>
        <v>x</v>
      </c>
      <c r="BU23" s="2" t="str">
        <f aca="false">IF(AM23="x","x",IF(AM23="-","-",""))</f>
        <v/>
      </c>
      <c r="BV23" s="2" t="str">
        <f aca="false">IF(AN23="x","x",IF(AN23="-","-",""))</f>
        <v/>
      </c>
      <c r="BW23" s="2" t="str">
        <f aca="false">IF(AO23="x","x",IF(AO23="-","-",""))</f>
        <v/>
      </c>
      <c r="BX23" s="2" t="str">
        <f aca="false">IF(AP23="x","x",IF(AP23="-","-",""))</f>
        <v/>
      </c>
      <c r="BY23" s="2" t="str">
        <f aca="false">IF(AQ23="x","x",IF(AQ23="-","-",""))</f>
        <v/>
      </c>
      <c r="BZ23" s="2" t="str">
        <f aca="false">IF(AR23="x","x",IF(AR23="-","-",""))</f>
        <v/>
      </c>
      <c r="CA23" s="2" t="str">
        <f aca="false">IF(AS23="x","x",IF(AS23="-","-",""))</f>
        <v/>
      </c>
      <c r="CB23" s="2" t="str">
        <f aca="false">IF(AT23="x","x",IF(AT23="-","-",""))</f>
        <v/>
      </c>
      <c r="CC23" s="2" t="str">
        <f aca="false">IF(AU23="x","x",IF(AU23="-","-",""))</f>
        <v/>
      </c>
      <c r="CD23" s="2" t="str">
        <f aca="false">IF(AV23="x","x",IF(AV23="-","-",""))</f>
        <v/>
      </c>
      <c r="CE23" s="2" t="str">
        <f aca="false">IF(AW23="x","x",IF(AW23="-","-",""))</f>
        <v/>
      </c>
      <c r="CF23" s="2" t="str">
        <f aca="false">IF(AX23="x","x",IF(AX23="-","-",""))</f>
        <v/>
      </c>
      <c r="CG23" s="2" t="str">
        <f aca="false">IF(AY23="x","x",IF(AY23="-","-",""))</f>
        <v/>
      </c>
      <c r="CH23" s="2" t="str">
        <f aca="false">IF(AZ23="x","x",IF(AZ23="-","-",""))</f>
        <v/>
      </c>
      <c r="CI23" s="2" t="str">
        <f aca="false">IF(BA23="x","x",IF(BA23="-","-",""))</f>
        <v/>
      </c>
      <c r="CJ23" s="2" t="str">
        <f aca="false">IF(BB23="x","x",IF(BB23="-","-",""))</f>
        <v/>
      </c>
      <c r="CK23" s="2" t="str">
        <f aca="false">IF(BC23="x","x",IF(BC23="-","-",""))</f>
        <v/>
      </c>
      <c r="CL23" s="2" t="str">
        <f aca="false">IF(BD23="x","x",IF(BD23="-","-",""))</f>
        <v/>
      </c>
      <c r="CM23" s="2" t="str">
        <f aca="false">IF(BE23="x","x",IF(BE23="-","-",""))</f>
        <v/>
      </c>
      <c r="CN23" s="2" t="str">
        <f aca="false">IF(BF23="x","x",IF(BF23="-","-",""))</f>
        <v/>
      </c>
      <c r="CO23" s="2" t="str">
        <f aca="false">IF(BG23="x","x",IF(BG23="-","-",""))</f>
        <v/>
      </c>
      <c r="CP23" s="2" t="str">
        <f aca="false">IF(BH23="x","x",IF(BH23="-","-",""))</f>
        <v/>
      </c>
      <c r="CR23" s="2" t="str">
        <f aca="false">IF(P23="x","x",IF(P23="-","-",""))</f>
        <v>-</v>
      </c>
      <c r="CS23" s="2" t="str">
        <f aca="false">IF(Q23="x","x",IF(Q23="-","-",""))</f>
        <v>-</v>
      </c>
      <c r="CT23" s="2" t="str">
        <f aca="false">IF(R23="x","x",IF(R23="-","-",""))</f>
        <v>-</v>
      </c>
      <c r="CU23" s="2" t="str">
        <f aca="false">IF(S23="x","x",IF(S23="-","-",""))</f>
        <v>-</v>
      </c>
      <c r="CV23" s="2" t="str">
        <f aca="false">IF(T23="x","x",IF(T23="-","-",""))</f>
        <v>-</v>
      </c>
      <c r="CW23" s="2" t="str">
        <f aca="false">IF(U23="x","x",IF(U23="-","-",""))</f>
        <v>-</v>
      </c>
      <c r="CX23" s="2" t="str">
        <f aca="false">IF(V23="x","x",IF(V23="-","-",""))</f>
        <v>-</v>
      </c>
      <c r="CY23" s="2" t="str">
        <f aca="false">IF(W23="x","x",IF(W23="-","-",""))</f>
        <v>-</v>
      </c>
      <c r="CZ23" s="2" t="s">
        <v>78</v>
      </c>
      <c r="DA23" s="2" t="s">
        <v>78</v>
      </c>
      <c r="DB23" s="2" t="s">
        <v>78</v>
      </c>
      <c r="DC23" s="2" t="s">
        <v>78</v>
      </c>
      <c r="DE23" s="2" t="str">
        <f aca="false">IF(Y23="x","x",IF(Y23="-","-",""))</f>
        <v>-</v>
      </c>
      <c r="DF23" s="2" t="str">
        <f aca="false">IF(Z23="x","x",IF(Z23="-","-",""))</f>
        <v>-</v>
      </c>
      <c r="DG23" s="2" t="str">
        <f aca="false">IF(AA23="x","x",IF(AA23="-","-",""))</f>
        <v>-</v>
      </c>
      <c r="DH23" s="2" t="str">
        <f aca="false">IF(AB23="x","x",IF(AB23="-","-",""))</f>
        <v>-</v>
      </c>
      <c r="DI23" s="2" t="str">
        <f aca="false">IF(AC23="x","x",IF(AC23="-","-",""))</f>
        <v>-</v>
      </c>
      <c r="DJ23" s="2" t="str">
        <f aca="false">IF(AD23="x","x",IF(AD23="-","-",""))</f>
        <v>-</v>
      </c>
      <c r="DK23" s="2" t="str">
        <f aca="false">IF(AE23="x","x",IF(AE23="-","-",""))</f>
        <v>-</v>
      </c>
      <c r="DL23" s="2" t="str">
        <f aca="false">IF(AF23="x","x",IF(AF23="-","-",""))</f>
        <v>-</v>
      </c>
      <c r="DM23" s="2" t="s">
        <v>78</v>
      </c>
      <c r="DN23" s="2" t="s">
        <v>78</v>
      </c>
      <c r="DO23" s="2" t="s">
        <v>78</v>
      </c>
      <c r="DP23" s="2" t="s">
        <v>78</v>
      </c>
      <c r="EG23" s="11"/>
      <c r="EH23" s="11"/>
      <c r="EI23" s="11"/>
      <c r="EJ23" s="11"/>
      <c r="EK23" s="11"/>
      <c r="EL23" s="11"/>
      <c r="EM23" s="11"/>
      <c r="EN23" s="11"/>
    </row>
    <row r="24" customFormat="false" ht="13.8" hidden="false" customHeight="false" outlineLevel="0" collapsed="false">
      <c r="A24" s="11" t="s">
        <v>73</v>
      </c>
      <c r="B24" s="2" t="n">
        <v>23</v>
      </c>
      <c r="C24" s="12" t="s">
        <v>102</v>
      </c>
      <c r="D24" s="11" t="s">
        <v>92</v>
      </c>
      <c r="E24" s="11" t="s">
        <v>76</v>
      </c>
      <c r="F24" s="11" t="n">
        <v>23</v>
      </c>
      <c r="G24" s="11" t="n">
        <v>45</v>
      </c>
      <c r="H24" s="11" t="s">
        <v>73</v>
      </c>
      <c r="I24" s="11" t="s">
        <v>77</v>
      </c>
      <c r="J24" s="11" t="s">
        <v>73</v>
      </c>
      <c r="K24" s="11" t="n">
        <v>-40</v>
      </c>
      <c r="L24" s="11" t="s">
        <v>73</v>
      </c>
      <c r="M24" s="2" t="n">
        <v>460</v>
      </c>
      <c r="N24" s="11" t="s">
        <v>77</v>
      </c>
      <c r="O24" s="11"/>
      <c r="P24" s="11" t="s">
        <v>78</v>
      </c>
      <c r="Q24" s="11" t="s">
        <v>78</v>
      </c>
      <c r="R24" s="11" t="s">
        <v>78</v>
      </c>
      <c r="S24" s="11" t="s">
        <v>78</v>
      </c>
      <c r="T24" s="11" t="s">
        <v>78</v>
      </c>
      <c r="U24" s="11" t="s">
        <v>78</v>
      </c>
      <c r="V24" s="11" t="s">
        <v>78</v>
      </c>
      <c r="W24" s="11" t="s">
        <v>78</v>
      </c>
      <c r="X24" s="11"/>
      <c r="Y24" s="11" t="s">
        <v>78</v>
      </c>
      <c r="Z24" s="11" t="s">
        <v>78</v>
      </c>
      <c r="AA24" s="11" t="s">
        <v>78</v>
      </c>
      <c r="AB24" s="11" t="s">
        <v>78</v>
      </c>
      <c r="AC24" s="11" t="s">
        <v>78</v>
      </c>
      <c r="AD24" s="11" t="s">
        <v>78</v>
      </c>
      <c r="AE24" s="11" t="s">
        <v>78</v>
      </c>
      <c r="AF24" s="11" t="s">
        <v>78</v>
      </c>
      <c r="AH24" s="11" t="s">
        <v>73</v>
      </c>
      <c r="AI24" s="11" t="s">
        <v>73</v>
      </c>
      <c r="AK24" s="11"/>
      <c r="AL24" s="11" t="s">
        <v>79</v>
      </c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J24" s="11" t="s">
        <v>78</v>
      </c>
      <c r="BK24" s="11" t="s">
        <v>78</v>
      </c>
      <c r="BL24" s="11" t="s">
        <v>78</v>
      </c>
      <c r="BM24" s="11" t="s">
        <v>78</v>
      </c>
      <c r="BN24" s="11" t="s">
        <v>78</v>
      </c>
      <c r="BO24" s="11" t="s">
        <v>78</v>
      </c>
      <c r="BP24" s="11" t="s">
        <v>78</v>
      </c>
      <c r="BQ24" s="11" t="s">
        <v>78</v>
      </c>
      <c r="BS24" s="2" t="str">
        <f aca="false">IF(AK24="x","x",IF(AK24="-","-",""))</f>
        <v/>
      </c>
      <c r="BT24" s="2" t="str">
        <f aca="false">IF(AL24="x","x",IF(AL24="-","-",""))</f>
        <v>x</v>
      </c>
      <c r="BU24" s="2" t="str">
        <f aca="false">IF(AM24="x","x",IF(AM24="-","-",""))</f>
        <v/>
      </c>
      <c r="BV24" s="2" t="str">
        <f aca="false">IF(AN24="x","x",IF(AN24="-","-",""))</f>
        <v/>
      </c>
      <c r="BW24" s="2" t="str">
        <f aca="false">IF(AO24="x","x",IF(AO24="-","-",""))</f>
        <v/>
      </c>
      <c r="BX24" s="2" t="str">
        <f aca="false">IF(AP24="x","x",IF(AP24="-","-",""))</f>
        <v/>
      </c>
      <c r="BY24" s="2" t="str">
        <f aca="false">IF(AQ24="x","x",IF(AQ24="-","-",""))</f>
        <v/>
      </c>
      <c r="BZ24" s="2" t="str">
        <f aca="false">IF(AR24="x","x",IF(AR24="-","-",""))</f>
        <v/>
      </c>
      <c r="CA24" s="2" t="str">
        <f aca="false">IF(AS24="x","x",IF(AS24="-","-",""))</f>
        <v/>
      </c>
      <c r="CB24" s="2" t="str">
        <f aca="false">IF(AT24="x","x",IF(AT24="-","-",""))</f>
        <v/>
      </c>
      <c r="CC24" s="2" t="str">
        <f aca="false">IF(AU24="x","x",IF(AU24="-","-",""))</f>
        <v/>
      </c>
      <c r="CD24" s="2" t="str">
        <f aca="false">IF(AV24="x","x",IF(AV24="-","-",""))</f>
        <v/>
      </c>
      <c r="CE24" s="2" t="str">
        <f aca="false">IF(AW24="x","x",IF(AW24="-","-",""))</f>
        <v/>
      </c>
      <c r="CF24" s="2" t="str">
        <f aca="false">IF(AX24="x","x",IF(AX24="-","-",""))</f>
        <v/>
      </c>
      <c r="CG24" s="2" t="str">
        <f aca="false">IF(AY24="x","x",IF(AY24="-","-",""))</f>
        <v/>
      </c>
      <c r="CH24" s="2" t="str">
        <f aca="false">IF(AZ24="x","x",IF(AZ24="-","-",""))</f>
        <v/>
      </c>
      <c r="CI24" s="2" t="str">
        <f aca="false">IF(BA24="x","x",IF(BA24="-","-",""))</f>
        <v/>
      </c>
      <c r="CJ24" s="2" t="str">
        <f aca="false">IF(BB24="x","x",IF(BB24="-","-",""))</f>
        <v/>
      </c>
      <c r="CK24" s="2" t="str">
        <f aca="false">IF(BC24="x","x",IF(BC24="-","-",""))</f>
        <v/>
      </c>
      <c r="CL24" s="2" t="str">
        <f aca="false">IF(BD24="x","x",IF(BD24="-","-",""))</f>
        <v/>
      </c>
      <c r="CM24" s="2" t="str">
        <f aca="false">IF(BE24="x","x",IF(BE24="-","-",""))</f>
        <v/>
      </c>
      <c r="CN24" s="2" t="str">
        <f aca="false">IF(BF24="x","x",IF(BF24="-","-",""))</f>
        <v/>
      </c>
      <c r="CO24" s="2" t="str">
        <f aca="false">IF(BG24="x","x",IF(BG24="-","-",""))</f>
        <v/>
      </c>
      <c r="CP24" s="2" t="str">
        <f aca="false">IF(BH24="x","x",IF(BH24="-","-",""))</f>
        <v/>
      </c>
      <c r="CR24" s="2" t="str">
        <f aca="false">IF(P24="x","x",IF(P24="-","-",""))</f>
        <v>-</v>
      </c>
      <c r="CS24" s="2" t="str">
        <f aca="false">IF(Q24="x","x",IF(Q24="-","-",""))</f>
        <v>-</v>
      </c>
      <c r="CT24" s="2" t="str">
        <f aca="false">IF(R24="x","x",IF(R24="-","-",""))</f>
        <v>-</v>
      </c>
      <c r="CU24" s="2" t="str">
        <f aca="false">IF(S24="x","x",IF(S24="-","-",""))</f>
        <v>-</v>
      </c>
      <c r="CV24" s="2" t="str">
        <f aca="false">IF(T24="x","x",IF(T24="-","-",""))</f>
        <v>-</v>
      </c>
      <c r="CW24" s="2" t="str">
        <f aca="false">IF(U24="x","x",IF(U24="-","-",""))</f>
        <v>-</v>
      </c>
      <c r="CX24" s="2" t="str">
        <f aca="false">IF(V24="x","x",IF(V24="-","-",""))</f>
        <v>-</v>
      </c>
      <c r="CY24" s="2" t="str">
        <f aca="false">IF(W24="x","x",IF(W24="-","-",""))</f>
        <v>-</v>
      </c>
      <c r="CZ24" s="2" t="s">
        <v>78</v>
      </c>
      <c r="DA24" s="2" t="s">
        <v>78</v>
      </c>
      <c r="DB24" s="2" t="s">
        <v>78</v>
      </c>
      <c r="DC24" s="2" t="s">
        <v>78</v>
      </c>
      <c r="DE24" s="2" t="str">
        <f aca="false">IF(Y24="x","x",IF(Y24="-","-",""))</f>
        <v>-</v>
      </c>
      <c r="DF24" s="2" t="str">
        <f aca="false">IF(Z24="x","x",IF(Z24="-","-",""))</f>
        <v>-</v>
      </c>
      <c r="DG24" s="2" t="str">
        <f aca="false">IF(AA24="x","x",IF(AA24="-","-",""))</f>
        <v>-</v>
      </c>
      <c r="DH24" s="2" t="str">
        <f aca="false">IF(AB24="x","x",IF(AB24="-","-",""))</f>
        <v>-</v>
      </c>
      <c r="DI24" s="2" t="str">
        <f aca="false">IF(AC24="x","x",IF(AC24="-","-",""))</f>
        <v>-</v>
      </c>
      <c r="DJ24" s="2" t="str">
        <f aca="false">IF(AD24="x","x",IF(AD24="-","-",""))</f>
        <v>-</v>
      </c>
      <c r="DK24" s="2" t="str">
        <f aca="false">IF(AE24="x","x",IF(AE24="-","-",""))</f>
        <v>-</v>
      </c>
      <c r="DL24" s="2" t="str">
        <f aca="false">IF(AF24="x","x",IF(AF24="-","-",""))</f>
        <v>-</v>
      </c>
      <c r="DM24" s="2" t="s">
        <v>78</v>
      </c>
      <c r="DN24" s="2" t="s">
        <v>78</v>
      </c>
      <c r="DO24" s="2" t="s">
        <v>78</v>
      </c>
      <c r="DP24" s="2" t="s">
        <v>78</v>
      </c>
      <c r="EG24" s="11"/>
      <c r="EH24" s="11"/>
      <c r="EI24" s="11"/>
      <c r="EJ24" s="11"/>
      <c r="EK24" s="11"/>
      <c r="EL24" s="11"/>
      <c r="EM24" s="11"/>
      <c r="EN24" s="11"/>
    </row>
    <row r="25" customFormat="false" ht="13.8" hidden="false" customHeight="false" outlineLevel="0" collapsed="false">
      <c r="A25" s="11" t="s">
        <v>73</v>
      </c>
      <c r="B25" s="2" t="n">
        <v>24</v>
      </c>
      <c r="C25" s="12" t="s">
        <v>103</v>
      </c>
      <c r="D25" s="11" t="s">
        <v>92</v>
      </c>
      <c r="E25" s="11" t="s">
        <v>76</v>
      </c>
      <c r="F25" s="11" t="n">
        <v>24</v>
      </c>
      <c r="G25" s="11" t="n">
        <v>50</v>
      </c>
      <c r="H25" s="11" t="s">
        <v>77</v>
      </c>
      <c r="I25" s="11" t="s">
        <v>73</v>
      </c>
      <c r="J25" s="11" t="s">
        <v>77</v>
      </c>
      <c r="K25" s="11" t="n">
        <v>-45</v>
      </c>
      <c r="L25" s="11" t="s">
        <v>77</v>
      </c>
      <c r="M25" s="2" t="n">
        <v>480</v>
      </c>
      <c r="N25" s="11" t="s">
        <v>77</v>
      </c>
      <c r="O25" s="11"/>
      <c r="P25" s="11" t="s">
        <v>78</v>
      </c>
      <c r="Q25" s="11" t="s">
        <v>78</v>
      </c>
      <c r="R25" s="11" t="s">
        <v>78</v>
      </c>
      <c r="S25" s="11" t="s">
        <v>78</v>
      </c>
      <c r="T25" s="11" t="s">
        <v>78</v>
      </c>
      <c r="U25" s="11" t="s">
        <v>78</v>
      </c>
      <c r="V25" s="11" t="s">
        <v>78</v>
      </c>
      <c r="W25" s="11" t="s">
        <v>78</v>
      </c>
      <c r="X25" s="11"/>
      <c r="Y25" s="11" t="s">
        <v>78</v>
      </c>
      <c r="Z25" s="11" t="s">
        <v>78</v>
      </c>
      <c r="AA25" s="11" t="s">
        <v>78</v>
      </c>
      <c r="AB25" s="11" t="s">
        <v>78</v>
      </c>
      <c r="AC25" s="11" t="s">
        <v>78</v>
      </c>
      <c r="AD25" s="11" t="s">
        <v>78</v>
      </c>
      <c r="AE25" s="11" t="s">
        <v>78</v>
      </c>
      <c r="AF25" s="11" t="s">
        <v>78</v>
      </c>
      <c r="AH25" s="11" t="s">
        <v>73</v>
      </c>
      <c r="AI25" s="11" t="s">
        <v>73</v>
      </c>
      <c r="AK25" s="11"/>
      <c r="AL25" s="11" t="s">
        <v>79</v>
      </c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J25" s="11" t="s">
        <v>78</v>
      </c>
      <c r="BK25" s="11" t="s">
        <v>78</v>
      </c>
      <c r="BL25" s="11" t="s">
        <v>78</v>
      </c>
      <c r="BM25" s="11" t="s">
        <v>78</v>
      </c>
      <c r="BN25" s="11" t="s">
        <v>78</v>
      </c>
      <c r="BO25" s="11" t="s">
        <v>78</v>
      </c>
      <c r="BP25" s="11" t="s">
        <v>78</v>
      </c>
      <c r="BQ25" s="11" t="s">
        <v>78</v>
      </c>
      <c r="BS25" s="2" t="str">
        <f aca="false">IF(AK25="x","x",IF(AK25="-","-",""))</f>
        <v/>
      </c>
      <c r="BT25" s="2" t="str">
        <f aca="false">IF(AL25="x","x",IF(AL25="-","-",""))</f>
        <v>x</v>
      </c>
      <c r="BU25" s="2" t="str">
        <f aca="false">IF(AM25="x","x",IF(AM25="-","-",""))</f>
        <v/>
      </c>
      <c r="BV25" s="2" t="str">
        <f aca="false">IF(AN25="x","x",IF(AN25="-","-",""))</f>
        <v/>
      </c>
      <c r="BW25" s="2" t="str">
        <f aca="false">IF(AO25="x","x",IF(AO25="-","-",""))</f>
        <v/>
      </c>
      <c r="BX25" s="2" t="str">
        <f aca="false">IF(AP25="x","x",IF(AP25="-","-",""))</f>
        <v/>
      </c>
      <c r="BY25" s="2" t="str">
        <f aca="false">IF(AQ25="x","x",IF(AQ25="-","-",""))</f>
        <v/>
      </c>
      <c r="BZ25" s="2" t="str">
        <f aca="false">IF(AR25="x","x",IF(AR25="-","-",""))</f>
        <v/>
      </c>
      <c r="CA25" s="2" t="str">
        <f aca="false">IF(AS25="x","x",IF(AS25="-","-",""))</f>
        <v/>
      </c>
      <c r="CB25" s="2" t="str">
        <f aca="false">IF(AT25="x","x",IF(AT25="-","-",""))</f>
        <v/>
      </c>
      <c r="CC25" s="2" t="str">
        <f aca="false">IF(AU25="x","x",IF(AU25="-","-",""))</f>
        <v/>
      </c>
      <c r="CD25" s="2" t="str">
        <f aca="false">IF(AV25="x","x",IF(AV25="-","-",""))</f>
        <v/>
      </c>
      <c r="CE25" s="2" t="str">
        <f aca="false">IF(AW25="x","x",IF(AW25="-","-",""))</f>
        <v/>
      </c>
      <c r="CF25" s="2" t="str">
        <f aca="false">IF(AX25="x","x",IF(AX25="-","-",""))</f>
        <v/>
      </c>
      <c r="CG25" s="2" t="str">
        <f aca="false">IF(AY25="x","x",IF(AY25="-","-",""))</f>
        <v/>
      </c>
      <c r="CH25" s="2" t="str">
        <f aca="false">IF(AZ25="x","x",IF(AZ25="-","-",""))</f>
        <v/>
      </c>
      <c r="CI25" s="2" t="str">
        <f aca="false">IF(BA25="x","x",IF(BA25="-","-",""))</f>
        <v/>
      </c>
      <c r="CJ25" s="2" t="str">
        <f aca="false">IF(BB25="x","x",IF(BB25="-","-",""))</f>
        <v/>
      </c>
      <c r="CK25" s="2" t="str">
        <f aca="false">IF(BC25="x","x",IF(BC25="-","-",""))</f>
        <v/>
      </c>
      <c r="CL25" s="2" t="str">
        <f aca="false">IF(BD25="x","x",IF(BD25="-","-",""))</f>
        <v/>
      </c>
      <c r="CM25" s="2" t="str">
        <f aca="false">IF(BE25="x","x",IF(BE25="-","-",""))</f>
        <v/>
      </c>
      <c r="CN25" s="2" t="str">
        <f aca="false">IF(BF25="x","x",IF(BF25="-","-",""))</f>
        <v/>
      </c>
      <c r="CO25" s="2" t="str">
        <f aca="false">IF(BG25="x","x",IF(BG25="-","-",""))</f>
        <v/>
      </c>
      <c r="CP25" s="2" t="str">
        <f aca="false">IF(BH25="x","x",IF(BH25="-","-",""))</f>
        <v/>
      </c>
      <c r="CR25" s="2" t="str">
        <f aca="false">IF(P25="x","x",IF(P25="-","-",""))</f>
        <v>-</v>
      </c>
      <c r="CS25" s="2" t="str">
        <f aca="false">IF(Q25="x","x",IF(Q25="-","-",""))</f>
        <v>-</v>
      </c>
      <c r="CT25" s="2" t="str">
        <f aca="false">IF(R25="x","x",IF(R25="-","-",""))</f>
        <v>-</v>
      </c>
      <c r="CU25" s="2" t="str">
        <f aca="false">IF(S25="x","x",IF(S25="-","-",""))</f>
        <v>-</v>
      </c>
      <c r="CV25" s="2" t="str">
        <f aca="false">IF(T25="x","x",IF(T25="-","-",""))</f>
        <v>-</v>
      </c>
      <c r="CW25" s="2" t="str">
        <f aca="false">IF(U25="x","x",IF(U25="-","-",""))</f>
        <v>-</v>
      </c>
      <c r="CX25" s="2" t="str">
        <f aca="false">IF(V25="x","x",IF(V25="-","-",""))</f>
        <v>-</v>
      </c>
      <c r="CY25" s="2" t="str">
        <f aca="false">IF(W25="x","x",IF(W25="-","-",""))</f>
        <v>-</v>
      </c>
      <c r="CZ25" s="2" t="s">
        <v>78</v>
      </c>
      <c r="DA25" s="2" t="s">
        <v>78</v>
      </c>
      <c r="DB25" s="2" t="s">
        <v>78</v>
      </c>
      <c r="DC25" s="2" t="s">
        <v>78</v>
      </c>
      <c r="DE25" s="2" t="str">
        <f aca="false">IF(Y25="x","x",IF(Y25="-","-",""))</f>
        <v>-</v>
      </c>
      <c r="DF25" s="2" t="str">
        <f aca="false">IF(Z25="x","x",IF(Z25="-","-",""))</f>
        <v>-</v>
      </c>
      <c r="DG25" s="2" t="str">
        <f aca="false">IF(AA25="x","x",IF(AA25="-","-",""))</f>
        <v>-</v>
      </c>
      <c r="DH25" s="2" t="str">
        <f aca="false">IF(AB25="x","x",IF(AB25="-","-",""))</f>
        <v>-</v>
      </c>
      <c r="DI25" s="2" t="str">
        <f aca="false">IF(AC25="x","x",IF(AC25="-","-",""))</f>
        <v>-</v>
      </c>
      <c r="DJ25" s="2" t="str">
        <f aca="false">IF(AD25="x","x",IF(AD25="-","-",""))</f>
        <v>-</v>
      </c>
      <c r="DK25" s="2" t="str">
        <f aca="false">IF(AE25="x","x",IF(AE25="-","-",""))</f>
        <v>-</v>
      </c>
      <c r="DL25" s="2" t="str">
        <f aca="false">IF(AF25="x","x",IF(AF25="-","-",""))</f>
        <v>-</v>
      </c>
      <c r="DM25" s="2" t="s">
        <v>78</v>
      </c>
      <c r="DN25" s="2" t="s">
        <v>78</v>
      </c>
      <c r="DO25" s="2" t="s">
        <v>78</v>
      </c>
      <c r="DP25" s="2" t="s">
        <v>78</v>
      </c>
      <c r="EG25" s="11"/>
      <c r="EH25" s="11"/>
      <c r="EI25" s="11"/>
      <c r="EJ25" s="11"/>
      <c r="EK25" s="11"/>
      <c r="EL25" s="11"/>
      <c r="EM25" s="11"/>
      <c r="EN25" s="11"/>
    </row>
    <row r="26" customFormat="false" ht="13.8" hidden="false" customHeight="false" outlineLevel="0" collapsed="false">
      <c r="A26" s="11" t="s">
        <v>73</v>
      </c>
      <c r="B26" s="2" t="n">
        <v>25</v>
      </c>
      <c r="C26" s="12" t="s">
        <v>104</v>
      </c>
      <c r="D26" s="11" t="s">
        <v>105</v>
      </c>
      <c r="E26" s="11" t="s">
        <v>76</v>
      </c>
      <c r="F26" s="11" t="n">
        <v>25</v>
      </c>
      <c r="G26" s="11" t="n">
        <v>55</v>
      </c>
      <c r="H26" s="11" t="s">
        <v>73</v>
      </c>
      <c r="I26" s="11" t="s">
        <v>77</v>
      </c>
      <c r="J26" s="11" t="s">
        <v>73</v>
      </c>
      <c r="K26" s="11" t="n">
        <v>-99</v>
      </c>
      <c r="L26" s="11" t="s">
        <v>73</v>
      </c>
      <c r="M26" s="2" t="n">
        <v>500</v>
      </c>
      <c r="N26" s="11" t="s">
        <v>78</v>
      </c>
      <c r="O26" s="11"/>
      <c r="P26" s="11" t="s">
        <v>78</v>
      </c>
      <c r="Q26" s="11" t="s">
        <v>78</v>
      </c>
      <c r="R26" s="11" t="s">
        <v>78</v>
      </c>
      <c r="S26" s="11" t="s">
        <v>78</v>
      </c>
      <c r="T26" s="11" t="s">
        <v>78</v>
      </c>
      <c r="U26" s="11" t="s">
        <v>78</v>
      </c>
      <c r="V26" s="11" t="s">
        <v>78</v>
      </c>
      <c r="W26" s="11" t="s">
        <v>78</v>
      </c>
      <c r="X26" s="11"/>
      <c r="Y26" s="11" t="s">
        <v>78</v>
      </c>
      <c r="Z26" s="11" t="s">
        <v>78</v>
      </c>
      <c r="AA26" s="11" t="s">
        <v>78</v>
      </c>
      <c r="AB26" s="11" t="s">
        <v>78</v>
      </c>
      <c r="AC26" s="11" t="s">
        <v>78</v>
      </c>
      <c r="AD26" s="11" t="s">
        <v>78</v>
      </c>
      <c r="AE26" s="11" t="s">
        <v>78</v>
      </c>
      <c r="AF26" s="11" t="s">
        <v>78</v>
      </c>
      <c r="AH26" s="11" t="s">
        <v>73</v>
      </c>
      <c r="AI26" s="11" t="s">
        <v>73</v>
      </c>
      <c r="AK26" s="11"/>
      <c r="AL26" s="11"/>
      <c r="AM26" s="11" t="s">
        <v>79</v>
      </c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J26" s="11" t="s">
        <v>78</v>
      </c>
      <c r="BK26" s="11" t="s">
        <v>78</v>
      </c>
      <c r="BL26" s="11" t="s">
        <v>78</v>
      </c>
      <c r="BM26" s="11" t="s">
        <v>78</v>
      </c>
      <c r="BN26" s="11" t="s">
        <v>78</v>
      </c>
      <c r="BO26" s="11" t="s">
        <v>78</v>
      </c>
      <c r="BP26" s="11" t="s">
        <v>78</v>
      </c>
      <c r="BQ26" s="11" t="s">
        <v>78</v>
      </c>
      <c r="BS26" s="2" t="str">
        <f aca="false">IF(AK26="x","x",IF(AK26="-","-",""))</f>
        <v/>
      </c>
      <c r="BT26" s="2" t="str">
        <f aca="false">IF(AL26="x","x",IF(AL26="-","-",""))</f>
        <v/>
      </c>
      <c r="BU26" s="2" t="str">
        <f aca="false">IF(AM26="x","x",IF(AM26="-","-",""))</f>
        <v>x</v>
      </c>
      <c r="BV26" s="2" t="str">
        <f aca="false">IF(AN26="x","x",IF(AN26="-","-",""))</f>
        <v/>
      </c>
      <c r="BW26" s="2" t="str">
        <f aca="false">IF(AO26="x","x",IF(AO26="-","-",""))</f>
        <v/>
      </c>
      <c r="BX26" s="2" t="str">
        <f aca="false">IF(AP26="x","x",IF(AP26="-","-",""))</f>
        <v/>
      </c>
      <c r="BY26" s="2" t="str">
        <f aca="false">IF(AQ26="x","x",IF(AQ26="-","-",""))</f>
        <v/>
      </c>
      <c r="BZ26" s="2" t="str">
        <f aca="false">IF(AR26="x","x",IF(AR26="-","-",""))</f>
        <v/>
      </c>
      <c r="CA26" s="2" t="str">
        <f aca="false">IF(AS26="x","x",IF(AS26="-","-",""))</f>
        <v/>
      </c>
      <c r="CB26" s="2" t="str">
        <f aca="false">IF(AT26="x","x",IF(AT26="-","-",""))</f>
        <v/>
      </c>
      <c r="CC26" s="2" t="str">
        <f aca="false">IF(AU26="x","x",IF(AU26="-","-",""))</f>
        <v/>
      </c>
      <c r="CD26" s="2" t="str">
        <f aca="false">IF(AV26="x","x",IF(AV26="-","-",""))</f>
        <v/>
      </c>
      <c r="CE26" s="2" t="str">
        <f aca="false">IF(AW26="x","x",IF(AW26="-","-",""))</f>
        <v/>
      </c>
      <c r="CF26" s="2" t="str">
        <f aca="false">IF(AX26="x","x",IF(AX26="-","-",""))</f>
        <v/>
      </c>
      <c r="CG26" s="2" t="str">
        <f aca="false">IF(AY26="x","x",IF(AY26="-","-",""))</f>
        <v/>
      </c>
      <c r="CH26" s="2" t="str">
        <f aca="false">IF(AZ26="x","x",IF(AZ26="-","-",""))</f>
        <v/>
      </c>
      <c r="CI26" s="2" t="str">
        <f aca="false">IF(BA26="x","x",IF(BA26="-","-",""))</f>
        <v/>
      </c>
      <c r="CJ26" s="2" t="str">
        <f aca="false">IF(BB26="x","x",IF(BB26="-","-",""))</f>
        <v/>
      </c>
      <c r="CK26" s="2" t="str">
        <f aca="false">IF(BC26="x","x",IF(BC26="-","-",""))</f>
        <v/>
      </c>
      <c r="CL26" s="2" t="str">
        <f aca="false">IF(BD26="x","x",IF(BD26="-","-",""))</f>
        <v/>
      </c>
      <c r="CM26" s="2" t="str">
        <f aca="false">IF(BE26="x","x",IF(BE26="-","-",""))</f>
        <v/>
      </c>
      <c r="CN26" s="2" t="str">
        <f aca="false">IF(BF26="x","x",IF(BF26="-","-",""))</f>
        <v/>
      </c>
      <c r="CO26" s="2" t="str">
        <f aca="false">IF(BG26="x","x",IF(BG26="-","-",""))</f>
        <v/>
      </c>
      <c r="CP26" s="2" t="str">
        <f aca="false">IF(BH26="x","x",IF(BH26="-","-",""))</f>
        <v/>
      </c>
      <c r="CR26" s="2" t="str">
        <f aca="false">IF(P26="x","x",IF(P26="-","-",""))</f>
        <v>-</v>
      </c>
      <c r="CS26" s="2" t="str">
        <f aca="false">IF(Q26="x","x",IF(Q26="-","-",""))</f>
        <v>-</v>
      </c>
      <c r="CT26" s="2" t="str">
        <f aca="false">IF(R26="x","x",IF(R26="-","-",""))</f>
        <v>-</v>
      </c>
      <c r="CU26" s="2" t="str">
        <f aca="false">IF(S26="x","x",IF(S26="-","-",""))</f>
        <v>-</v>
      </c>
      <c r="CV26" s="2" t="str">
        <f aca="false">IF(T26="x","x",IF(T26="-","-",""))</f>
        <v>-</v>
      </c>
      <c r="CW26" s="2" t="str">
        <f aca="false">IF(U26="x","x",IF(U26="-","-",""))</f>
        <v>-</v>
      </c>
      <c r="CX26" s="2" t="str">
        <f aca="false">IF(V26="x","x",IF(V26="-","-",""))</f>
        <v>-</v>
      </c>
      <c r="CY26" s="2" t="str">
        <f aca="false">IF(W26="x","x",IF(W26="-","-",""))</f>
        <v>-</v>
      </c>
      <c r="CZ26" s="2" t="s">
        <v>78</v>
      </c>
      <c r="DA26" s="2" t="s">
        <v>78</v>
      </c>
      <c r="DB26" s="2" t="s">
        <v>78</v>
      </c>
      <c r="DC26" s="2" t="s">
        <v>78</v>
      </c>
      <c r="DE26" s="2" t="str">
        <f aca="false">IF(Y26="x","x",IF(Y26="-","-",""))</f>
        <v>-</v>
      </c>
      <c r="DF26" s="2" t="str">
        <f aca="false">IF(Z26="x","x",IF(Z26="-","-",""))</f>
        <v>-</v>
      </c>
      <c r="DG26" s="2" t="str">
        <f aca="false">IF(AA26="x","x",IF(AA26="-","-",""))</f>
        <v>-</v>
      </c>
      <c r="DH26" s="2" t="str">
        <f aca="false">IF(AB26="x","x",IF(AB26="-","-",""))</f>
        <v>-</v>
      </c>
      <c r="DI26" s="2" t="str">
        <f aca="false">IF(AC26="x","x",IF(AC26="-","-",""))</f>
        <v>-</v>
      </c>
      <c r="DJ26" s="2" t="str">
        <f aca="false">IF(AD26="x","x",IF(AD26="-","-",""))</f>
        <v>-</v>
      </c>
      <c r="DK26" s="2" t="str">
        <f aca="false">IF(AE26="x","x",IF(AE26="-","-",""))</f>
        <v>-</v>
      </c>
      <c r="DL26" s="2" t="str">
        <f aca="false">IF(AF26="x","x",IF(AF26="-","-",""))</f>
        <v>-</v>
      </c>
      <c r="DM26" s="2" t="s">
        <v>78</v>
      </c>
      <c r="DN26" s="2" t="s">
        <v>78</v>
      </c>
      <c r="DO26" s="2" t="s">
        <v>78</v>
      </c>
      <c r="DP26" s="2" t="s">
        <v>78</v>
      </c>
      <c r="EG26" s="11"/>
      <c r="EH26" s="11"/>
      <c r="EI26" s="11"/>
      <c r="EJ26" s="11"/>
      <c r="EK26" s="11"/>
      <c r="EL26" s="11"/>
      <c r="EM26" s="11"/>
      <c r="EN26" s="11"/>
    </row>
    <row r="27" customFormat="false" ht="13.8" hidden="false" customHeight="false" outlineLevel="0" collapsed="false">
      <c r="A27" s="11" t="s">
        <v>73</v>
      </c>
      <c r="B27" s="2" t="n">
        <v>26</v>
      </c>
      <c r="C27" s="12" t="s">
        <v>106</v>
      </c>
      <c r="D27" s="11" t="s">
        <v>105</v>
      </c>
      <c r="E27" s="11" t="s">
        <v>76</v>
      </c>
      <c r="F27" s="11" t="n">
        <v>26</v>
      </c>
      <c r="G27" s="11" t="n">
        <v>60</v>
      </c>
      <c r="H27" s="11" t="s">
        <v>77</v>
      </c>
      <c r="I27" s="11" t="s">
        <v>73</v>
      </c>
      <c r="J27" s="11" t="s">
        <v>77</v>
      </c>
      <c r="K27" s="11" t="n">
        <v>10</v>
      </c>
      <c r="L27" s="11" t="s">
        <v>77</v>
      </c>
      <c r="M27" s="2" t="n">
        <v>520</v>
      </c>
      <c r="N27" s="11" t="s">
        <v>78</v>
      </c>
      <c r="O27" s="11"/>
      <c r="P27" s="11" t="s">
        <v>78</v>
      </c>
      <c r="Q27" s="11" t="s">
        <v>78</v>
      </c>
      <c r="R27" s="11" t="s">
        <v>78</v>
      </c>
      <c r="S27" s="11" t="s">
        <v>78</v>
      </c>
      <c r="T27" s="11" t="s">
        <v>78</v>
      </c>
      <c r="U27" s="11" t="s">
        <v>78</v>
      </c>
      <c r="V27" s="11" t="s">
        <v>78</v>
      </c>
      <c r="W27" s="11" t="s">
        <v>78</v>
      </c>
      <c r="X27" s="11"/>
      <c r="Y27" s="11" t="s">
        <v>78</v>
      </c>
      <c r="Z27" s="11" t="s">
        <v>78</v>
      </c>
      <c r="AA27" s="11" t="s">
        <v>78</v>
      </c>
      <c r="AB27" s="11" t="s">
        <v>78</v>
      </c>
      <c r="AC27" s="11" t="s">
        <v>78</v>
      </c>
      <c r="AD27" s="11" t="s">
        <v>78</v>
      </c>
      <c r="AE27" s="11" t="s">
        <v>78</v>
      </c>
      <c r="AF27" s="11" t="s">
        <v>78</v>
      </c>
      <c r="AH27" s="11" t="s">
        <v>73</v>
      </c>
      <c r="AI27" s="11" t="s">
        <v>73</v>
      </c>
      <c r="AK27" s="11"/>
      <c r="AL27" s="11"/>
      <c r="AM27" s="11" t="s">
        <v>79</v>
      </c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J27" s="11" t="s">
        <v>78</v>
      </c>
      <c r="BK27" s="11" t="s">
        <v>78</v>
      </c>
      <c r="BL27" s="11" t="s">
        <v>78</v>
      </c>
      <c r="BM27" s="11" t="s">
        <v>78</v>
      </c>
      <c r="BN27" s="11" t="s">
        <v>78</v>
      </c>
      <c r="BO27" s="11" t="s">
        <v>78</v>
      </c>
      <c r="BP27" s="11" t="s">
        <v>78</v>
      </c>
      <c r="BQ27" s="11" t="s">
        <v>78</v>
      </c>
      <c r="BS27" s="2" t="str">
        <f aca="false">IF(AK27="x","x",IF(AK27="-","-",""))</f>
        <v/>
      </c>
      <c r="BT27" s="2" t="str">
        <f aca="false">IF(AL27="x","x",IF(AL27="-","-",""))</f>
        <v/>
      </c>
      <c r="BU27" s="2" t="str">
        <f aca="false">IF(AM27="x","x",IF(AM27="-","-",""))</f>
        <v>x</v>
      </c>
      <c r="BV27" s="2" t="str">
        <f aca="false">IF(AN27="x","x",IF(AN27="-","-",""))</f>
        <v/>
      </c>
      <c r="BW27" s="2" t="str">
        <f aca="false">IF(AO27="x","x",IF(AO27="-","-",""))</f>
        <v/>
      </c>
      <c r="BX27" s="2" t="str">
        <f aca="false">IF(AP27="x","x",IF(AP27="-","-",""))</f>
        <v/>
      </c>
      <c r="BY27" s="2" t="str">
        <f aca="false">IF(AQ27="x","x",IF(AQ27="-","-",""))</f>
        <v/>
      </c>
      <c r="BZ27" s="2" t="str">
        <f aca="false">IF(AR27="x","x",IF(AR27="-","-",""))</f>
        <v/>
      </c>
      <c r="CA27" s="2" t="str">
        <f aca="false">IF(AS27="x","x",IF(AS27="-","-",""))</f>
        <v/>
      </c>
      <c r="CB27" s="2" t="str">
        <f aca="false">IF(AT27="x","x",IF(AT27="-","-",""))</f>
        <v/>
      </c>
      <c r="CC27" s="2" t="str">
        <f aca="false">IF(AU27="x","x",IF(AU27="-","-",""))</f>
        <v/>
      </c>
      <c r="CD27" s="2" t="str">
        <f aca="false">IF(AV27="x","x",IF(AV27="-","-",""))</f>
        <v/>
      </c>
      <c r="CE27" s="2" t="str">
        <f aca="false">IF(AW27="x","x",IF(AW27="-","-",""))</f>
        <v/>
      </c>
      <c r="CF27" s="2" t="str">
        <f aca="false">IF(AX27="x","x",IF(AX27="-","-",""))</f>
        <v/>
      </c>
      <c r="CG27" s="2" t="str">
        <f aca="false">IF(AY27="x","x",IF(AY27="-","-",""))</f>
        <v/>
      </c>
      <c r="CH27" s="2" t="str">
        <f aca="false">IF(AZ27="x","x",IF(AZ27="-","-",""))</f>
        <v/>
      </c>
      <c r="CI27" s="2" t="str">
        <f aca="false">IF(BA27="x","x",IF(BA27="-","-",""))</f>
        <v/>
      </c>
      <c r="CJ27" s="2" t="str">
        <f aca="false">IF(BB27="x","x",IF(BB27="-","-",""))</f>
        <v/>
      </c>
      <c r="CK27" s="2" t="str">
        <f aca="false">IF(BC27="x","x",IF(BC27="-","-",""))</f>
        <v/>
      </c>
      <c r="CL27" s="2" t="str">
        <f aca="false">IF(BD27="x","x",IF(BD27="-","-",""))</f>
        <v/>
      </c>
      <c r="CM27" s="2" t="str">
        <f aca="false">IF(BE27="x","x",IF(BE27="-","-",""))</f>
        <v/>
      </c>
      <c r="CN27" s="2" t="str">
        <f aca="false">IF(BF27="x","x",IF(BF27="-","-",""))</f>
        <v/>
      </c>
      <c r="CO27" s="2" t="str">
        <f aca="false">IF(BG27="x","x",IF(BG27="-","-",""))</f>
        <v/>
      </c>
      <c r="CP27" s="2" t="str">
        <f aca="false">IF(BH27="x","x",IF(BH27="-","-",""))</f>
        <v/>
      </c>
      <c r="CR27" s="2" t="str">
        <f aca="false">IF(P27="x","x",IF(P27="-","-",""))</f>
        <v>-</v>
      </c>
      <c r="CS27" s="2" t="str">
        <f aca="false">IF(Q27="x","x",IF(Q27="-","-",""))</f>
        <v>-</v>
      </c>
      <c r="CT27" s="2" t="str">
        <f aca="false">IF(R27="x","x",IF(R27="-","-",""))</f>
        <v>-</v>
      </c>
      <c r="CU27" s="2" t="str">
        <f aca="false">IF(S27="x","x",IF(S27="-","-",""))</f>
        <v>-</v>
      </c>
      <c r="CV27" s="2" t="str">
        <f aca="false">IF(T27="x","x",IF(T27="-","-",""))</f>
        <v>-</v>
      </c>
      <c r="CW27" s="2" t="str">
        <f aca="false">IF(U27="x","x",IF(U27="-","-",""))</f>
        <v>-</v>
      </c>
      <c r="CX27" s="2" t="str">
        <f aca="false">IF(V27="x","x",IF(V27="-","-",""))</f>
        <v>-</v>
      </c>
      <c r="CY27" s="2" t="str">
        <f aca="false">IF(W27="x","x",IF(W27="-","-",""))</f>
        <v>-</v>
      </c>
      <c r="CZ27" s="2" t="s">
        <v>78</v>
      </c>
      <c r="DA27" s="2" t="s">
        <v>78</v>
      </c>
      <c r="DB27" s="2" t="s">
        <v>78</v>
      </c>
      <c r="DC27" s="2" t="s">
        <v>78</v>
      </c>
      <c r="DE27" s="2" t="str">
        <f aca="false">IF(Y27="x","x",IF(Y27="-","-",""))</f>
        <v>-</v>
      </c>
      <c r="DF27" s="2" t="str">
        <f aca="false">IF(Z27="x","x",IF(Z27="-","-",""))</f>
        <v>-</v>
      </c>
      <c r="DG27" s="2" t="str">
        <f aca="false">IF(AA27="x","x",IF(AA27="-","-",""))</f>
        <v>-</v>
      </c>
      <c r="DH27" s="2" t="str">
        <f aca="false">IF(AB27="x","x",IF(AB27="-","-",""))</f>
        <v>-</v>
      </c>
      <c r="DI27" s="2" t="str">
        <f aca="false">IF(AC27="x","x",IF(AC27="-","-",""))</f>
        <v>-</v>
      </c>
      <c r="DJ27" s="2" t="str">
        <f aca="false">IF(AD27="x","x",IF(AD27="-","-",""))</f>
        <v>-</v>
      </c>
      <c r="DK27" s="2" t="str">
        <f aca="false">IF(AE27="x","x",IF(AE27="-","-",""))</f>
        <v>-</v>
      </c>
      <c r="DL27" s="2" t="str">
        <f aca="false">IF(AF27="x","x",IF(AF27="-","-",""))</f>
        <v>-</v>
      </c>
      <c r="DM27" s="2" t="s">
        <v>78</v>
      </c>
      <c r="DN27" s="2" t="s">
        <v>78</v>
      </c>
      <c r="DO27" s="2" t="s">
        <v>78</v>
      </c>
      <c r="DP27" s="2" t="s">
        <v>78</v>
      </c>
      <c r="EG27" s="11"/>
      <c r="EH27" s="11"/>
      <c r="EI27" s="11"/>
      <c r="EJ27" s="11"/>
      <c r="EK27" s="11"/>
      <c r="EL27" s="11"/>
      <c r="EM27" s="11"/>
      <c r="EN27" s="11"/>
    </row>
    <row r="28" customFormat="false" ht="13.8" hidden="false" customHeight="false" outlineLevel="0" collapsed="false">
      <c r="A28" s="11" t="s">
        <v>73</v>
      </c>
      <c r="B28" s="2" t="n">
        <v>27</v>
      </c>
      <c r="C28" s="12" t="s">
        <v>107</v>
      </c>
      <c r="D28" s="11" t="s">
        <v>105</v>
      </c>
      <c r="E28" s="11" t="s">
        <v>76</v>
      </c>
      <c r="F28" s="11" t="n">
        <v>27</v>
      </c>
      <c r="G28" s="11" t="s">
        <v>78</v>
      </c>
      <c r="H28" s="11" t="s">
        <v>78</v>
      </c>
      <c r="I28" s="11" t="s">
        <v>78</v>
      </c>
      <c r="J28" s="11" t="s">
        <v>73</v>
      </c>
      <c r="K28" s="11" t="n">
        <v>5</v>
      </c>
      <c r="L28" s="11" t="s">
        <v>73</v>
      </c>
      <c r="M28" s="2" t="n">
        <v>540</v>
      </c>
      <c r="N28" s="11" t="s">
        <v>78</v>
      </c>
      <c r="O28" s="11"/>
      <c r="P28" s="11" t="s">
        <v>78</v>
      </c>
      <c r="Q28" s="11" t="s">
        <v>78</v>
      </c>
      <c r="R28" s="11" t="s">
        <v>78</v>
      </c>
      <c r="S28" s="11" t="s">
        <v>78</v>
      </c>
      <c r="T28" s="11" t="s">
        <v>78</v>
      </c>
      <c r="U28" s="11" t="s">
        <v>78</v>
      </c>
      <c r="V28" s="11" t="s">
        <v>78</v>
      </c>
      <c r="W28" s="11" t="s">
        <v>78</v>
      </c>
      <c r="X28" s="11"/>
      <c r="Y28" s="11" t="s">
        <v>78</v>
      </c>
      <c r="Z28" s="11" t="s">
        <v>78</v>
      </c>
      <c r="AA28" s="11" t="s">
        <v>78</v>
      </c>
      <c r="AB28" s="11" t="s">
        <v>78</v>
      </c>
      <c r="AC28" s="11" t="s">
        <v>78</v>
      </c>
      <c r="AD28" s="11" t="s">
        <v>78</v>
      </c>
      <c r="AE28" s="11" t="s">
        <v>78</v>
      </c>
      <c r="AF28" s="11" t="s">
        <v>78</v>
      </c>
      <c r="AH28" s="11" t="s">
        <v>73</v>
      </c>
      <c r="AI28" s="11" t="s">
        <v>73</v>
      </c>
      <c r="AK28" s="11"/>
      <c r="AL28" s="11"/>
      <c r="AM28" s="11" t="s">
        <v>79</v>
      </c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J28" s="11" t="s">
        <v>78</v>
      </c>
      <c r="BK28" s="11" t="s">
        <v>78</v>
      </c>
      <c r="BL28" s="11" t="s">
        <v>78</v>
      </c>
      <c r="BM28" s="11" t="s">
        <v>78</v>
      </c>
      <c r="BN28" s="11" t="s">
        <v>78</v>
      </c>
      <c r="BO28" s="11" t="s">
        <v>78</v>
      </c>
      <c r="BP28" s="11" t="s">
        <v>78</v>
      </c>
      <c r="BQ28" s="11" t="s">
        <v>78</v>
      </c>
      <c r="BS28" s="2" t="str">
        <f aca="false">IF(AK28="x","x",IF(AK28="-","-",""))</f>
        <v/>
      </c>
      <c r="BT28" s="2" t="str">
        <f aca="false">IF(AL28="x","x",IF(AL28="-","-",""))</f>
        <v/>
      </c>
      <c r="BU28" s="2" t="str">
        <f aca="false">IF(AM28="x","x",IF(AM28="-","-",""))</f>
        <v>x</v>
      </c>
      <c r="BV28" s="2" t="str">
        <f aca="false">IF(AN28="x","x",IF(AN28="-","-",""))</f>
        <v/>
      </c>
      <c r="BW28" s="2" t="str">
        <f aca="false">IF(AO28="x","x",IF(AO28="-","-",""))</f>
        <v/>
      </c>
      <c r="BX28" s="2" t="str">
        <f aca="false">IF(AP28="x","x",IF(AP28="-","-",""))</f>
        <v/>
      </c>
      <c r="BY28" s="2" t="str">
        <f aca="false">IF(AQ28="x","x",IF(AQ28="-","-",""))</f>
        <v/>
      </c>
      <c r="BZ28" s="2" t="str">
        <f aca="false">IF(AR28="x","x",IF(AR28="-","-",""))</f>
        <v/>
      </c>
      <c r="CA28" s="2" t="str">
        <f aca="false">IF(AS28="x","x",IF(AS28="-","-",""))</f>
        <v/>
      </c>
      <c r="CB28" s="2" t="str">
        <f aca="false">IF(AT28="x","x",IF(AT28="-","-",""))</f>
        <v/>
      </c>
      <c r="CC28" s="2" t="str">
        <f aca="false">IF(AU28="x","x",IF(AU28="-","-",""))</f>
        <v/>
      </c>
      <c r="CD28" s="2" t="str">
        <f aca="false">IF(AV28="x","x",IF(AV28="-","-",""))</f>
        <v/>
      </c>
      <c r="CE28" s="2" t="str">
        <f aca="false">IF(AW28="x","x",IF(AW28="-","-",""))</f>
        <v/>
      </c>
      <c r="CF28" s="2" t="str">
        <f aca="false">IF(AX28="x","x",IF(AX28="-","-",""))</f>
        <v/>
      </c>
      <c r="CG28" s="2" t="str">
        <f aca="false">IF(AY28="x","x",IF(AY28="-","-",""))</f>
        <v/>
      </c>
      <c r="CH28" s="2" t="str">
        <f aca="false">IF(AZ28="x","x",IF(AZ28="-","-",""))</f>
        <v/>
      </c>
      <c r="CI28" s="2" t="str">
        <f aca="false">IF(BA28="x","x",IF(BA28="-","-",""))</f>
        <v/>
      </c>
      <c r="CJ28" s="2" t="str">
        <f aca="false">IF(BB28="x","x",IF(BB28="-","-",""))</f>
        <v/>
      </c>
      <c r="CK28" s="2" t="str">
        <f aca="false">IF(BC28="x","x",IF(BC28="-","-",""))</f>
        <v/>
      </c>
      <c r="CL28" s="2" t="str">
        <f aca="false">IF(BD28="x","x",IF(BD28="-","-",""))</f>
        <v/>
      </c>
      <c r="CM28" s="2" t="str">
        <f aca="false">IF(BE28="x","x",IF(BE28="-","-",""))</f>
        <v/>
      </c>
      <c r="CN28" s="2" t="str">
        <f aca="false">IF(BF28="x","x",IF(BF28="-","-",""))</f>
        <v/>
      </c>
      <c r="CO28" s="2" t="str">
        <f aca="false">IF(BG28="x","x",IF(BG28="-","-",""))</f>
        <v/>
      </c>
      <c r="CP28" s="2" t="str">
        <f aca="false">IF(BH28="x","x",IF(BH28="-","-",""))</f>
        <v/>
      </c>
      <c r="CR28" s="2" t="str">
        <f aca="false">IF(P28="x","x",IF(P28="-","-",""))</f>
        <v>-</v>
      </c>
      <c r="CS28" s="2" t="str">
        <f aca="false">IF(Q28="x","x",IF(Q28="-","-",""))</f>
        <v>-</v>
      </c>
      <c r="CT28" s="2" t="str">
        <f aca="false">IF(R28="x","x",IF(R28="-","-",""))</f>
        <v>-</v>
      </c>
      <c r="CU28" s="2" t="str">
        <f aca="false">IF(S28="x","x",IF(S28="-","-",""))</f>
        <v>-</v>
      </c>
      <c r="CV28" s="2" t="str">
        <f aca="false">IF(T28="x","x",IF(T28="-","-",""))</f>
        <v>-</v>
      </c>
      <c r="CW28" s="2" t="str">
        <f aca="false">IF(U28="x","x",IF(U28="-","-",""))</f>
        <v>-</v>
      </c>
      <c r="CX28" s="2" t="str">
        <f aca="false">IF(V28="x","x",IF(V28="-","-",""))</f>
        <v>-</v>
      </c>
      <c r="CY28" s="2" t="str">
        <f aca="false">IF(W28="x","x",IF(W28="-","-",""))</f>
        <v>-</v>
      </c>
      <c r="CZ28" s="2" t="s">
        <v>78</v>
      </c>
      <c r="DA28" s="2" t="s">
        <v>78</v>
      </c>
      <c r="DB28" s="2" t="s">
        <v>78</v>
      </c>
      <c r="DC28" s="2" t="s">
        <v>78</v>
      </c>
      <c r="DE28" s="2" t="str">
        <f aca="false">IF(Y28="x","x",IF(Y28="-","-",""))</f>
        <v>-</v>
      </c>
      <c r="DF28" s="2" t="str">
        <f aca="false">IF(Z28="x","x",IF(Z28="-","-",""))</f>
        <v>-</v>
      </c>
      <c r="DG28" s="2" t="str">
        <f aca="false">IF(AA28="x","x",IF(AA28="-","-",""))</f>
        <v>-</v>
      </c>
      <c r="DH28" s="2" t="str">
        <f aca="false">IF(AB28="x","x",IF(AB28="-","-",""))</f>
        <v>-</v>
      </c>
      <c r="DI28" s="2" t="str">
        <f aca="false">IF(AC28="x","x",IF(AC28="-","-",""))</f>
        <v>-</v>
      </c>
      <c r="DJ28" s="2" t="str">
        <f aca="false">IF(AD28="x","x",IF(AD28="-","-",""))</f>
        <v>-</v>
      </c>
      <c r="DK28" s="2" t="str">
        <f aca="false">IF(AE28="x","x",IF(AE28="-","-",""))</f>
        <v>-</v>
      </c>
      <c r="DL28" s="2" t="str">
        <f aca="false">IF(AF28="x","x",IF(AF28="-","-",""))</f>
        <v>-</v>
      </c>
      <c r="DM28" s="2" t="s">
        <v>78</v>
      </c>
      <c r="DN28" s="2" t="s">
        <v>78</v>
      </c>
      <c r="DO28" s="2" t="s">
        <v>78</v>
      </c>
      <c r="DP28" s="2" t="s">
        <v>78</v>
      </c>
      <c r="EG28" s="11"/>
      <c r="EH28" s="11"/>
      <c r="EI28" s="11"/>
      <c r="EJ28" s="11"/>
      <c r="EK28" s="11"/>
      <c r="EL28" s="11"/>
      <c r="EM28" s="11"/>
      <c r="EN28" s="11"/>
    </row>
    <row r="29" customFormat="false" ht="13.8" hidden="false" customHeight="false" outlineLevel="0" collapsed="false">
      <c r="A29" s="11" t="s">
        <v>73</v>
      </c>
      <c r="B29" s="2" t="n">
        <v>28</v>
      </c>
      <c r="C29" s="12" t="s">
        <v>108</v>
      </c>
      <c r="D29" s="11" t="s">
        <v>105</v>
      </c>
      <c r="E29" s="11" t="s">
        <v>76</v>
      </c>
      <c r="F29" s="11" t="n">
        <v>28</v>
      </c>
      <c r="G29" s="11" t="s">
        <v>78</v>
      </c>
      <c r="H29" s="11" t="s">
        <v>78</v>
      </c>
      <c r="I29" s="11" t="s">
        <v>78</v>
      </c>
      <c r="J29" s="11" t="s">
        <v>77</v>
      </c>
      <c r="K29" s="11" t="n">
        <v>0</v>
      </c>
      <c r="L29" s="11" t="s">
        <v>77</v>
      </c>
      <c r="M29" s="2" t="n">
        <v>560</v>
      </c>
      <c r="N29" s="11" t="s">
        <v>78</v>
      </c>
      <c r="O29" s="11"/>
      <c r="P29" s="11" t="s">
        <v>78</v>
      </c>
      <c r="Q29" s="11" t="s">
        <v>78</v>
      </c>
      <c r="R29" s="11" t="s">
        <v>78</v>
      </c>
      <c r="S29" s="11" t="s">
        <v>78</v>
      </c>
      <c r="T29" s="11" t="s">
        <v>78</v>
      </c>
      <c r="U29" s="11" t="s">
        <v>78</v>
      </c>
      <c r="V29" s="11" t="s">
        <v>78</v>
      </c>
      <c r="W29" s="11" t="s">
        <v>78</v>
      </c>
      <c r="X29" s="11"/>
      <c r="Y29" s="11" t="s">
        <v>78</v>
      </c>
      <c r="Z29" s="11" t="s">
        <v>78</v>
      </c>
      <c r="AA29" s="11" t="s">
        <v>78</v>
      </c>
      <c r="AB29" s="11" t="s">
        <v>78</v>
      </c>
      <c r="AC29" s="11" t="s">
        <v>78</v>
      </c>
      <c r="AD29" s="11" t="s">
        <v>78</v>
      </c>
      <c r="AE29" s="11" t="s">
        <v>78</v>
      </c>
      <c r="AF29" s="11" t="s">
        <v>78</v>
      </c>
      <c r="AH29" s="11" t="s">
        <v>73</v>
      </c>
      <c r="AI29" s="11" t="s">
        <v>73</v>
      </c>
      <c r="AK29" s="11"/>
      <c r="AL29" s="11"/>
      <c r="AM29" s="11" t="s">
        <v>79</v>
      </c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J29" s="11" t="s">
        <v>78</v>
      </c>
      <c r="BK29" s="11" t="s">
        <v>78</v>
      </c>
      <c r="BL29" s="11" t="s">
        <v>78</v>
      </c>
      <c r="BM29" s="11" t="s">
        <v>78</v>
      </c>
      <c r="BN29" s="11" t="s">
        <v>78</v>
      </c>
      <c r="BO29" s="11" t="s">
        <v>78</v>
      </c>
      <c r="BP29" s="11" t="s">
        <v>78</v>
      </c>
      <c r="BQ29" s="11" t="s">
        <v>78</v>
      </c>
      <c r="BS29" s="2" t="str">
        <f aca="false">IF(AK29="x","x",IF(AK29="-","-",""))</f>
        <v/>
      </c>
      <c r="BT29" s="2" t="str">
        <f aca="false">IF(AL29="x","x",IF(AL29="-","-",""))</f>
        <v/>
      </c>
      <c r="BU29" s="2" t="str">
        <f aca="false">IF(AM29="x","x",IF(AM29="-","-",""))</f>
        <v>x</v>
      </c>
      <c r="BV29" s="2" t="str">
        <f aca="false">IF(AN29="x","x",IF(AN29="-","-",""))</f>
        <v/>
      </c>
      <c r="BW29" s="2" t="str">
        <f aca="false">IF(AO29="x","x",IF(AO29="-","-",""))</f>
        <v/>
      </c>
      <c r="BX29" s="2" t="str">
        <f aca="false">IF(AP29="x","x",IF(AP29="-","-",""))</f>
        <v/>
      </c>
      <c r="BY29" s="2" t="str">
        <f aca="false">IF(AQ29="x","x",IF(AQ29="-","-",""))</f>
        <v/>
      </c>
      <c r="BZ29" s="2" t="str">
        <f aca="false">IF(AR29="x","x",IF(AR29="-","-",""))</f>
        <v/>
      </c>
      <c r="CA29" s="2" t="str">
        <f aca="false">IF(AS29="x","x",IF(AS29="-","-",""))</f>
        <v/>
      </c>
      <c r="CB29" s="2" t="str">
        <f aca="false">IF(AT29="x","x",IF(AT29="-","-",""))</f>
        <v/>
      </c>
      <c r="CC29" s="2" t="str">
        <f aca="false">IF(AU29="x","x",IF(AU29="-","-",""))</f>
        <v/>
      </c>
      <c r="CD29" s="2" t="str">
        <f aca="false">IF(AV29="x","x",IF(AV29="-","-",""))</f>
        <v/>
      </c>
      <c r="CE29" s="2" t="str">
        <f aca="false">IF(AW29="x","x",IF(AW29="-","-",""))</f>
        <v/>
      </c>
      <c r="CF29" s="2" t="str">
        <f aca="false">IF(AX29="x","x",IF(AX29="-","-",""))</f>
        <v/>
      </c>
      <c r="CG29" s="2" t="str">
        <f aca="false">IF(AY29="x","x",IF(AY29="-","-",""))</f>
        <v/>
      </c>
      <c r="CH29" s="2" t="str">
        <f aca="false">IF(AZ29="x","x",IF(AZ29="-","-",""))</f>
        <v/>
      </c>
      <c r="CI29" s="2" t="str">
        <f aca="false">IF(BA29="x","x",IF(BA29="-","-",""))</f>
        <v/>
      </c>
      <c r="CJ29" s="2" t="str">
        <f aca="false">IF(BB29="x","x",IF(BB29="-","-",""))</f>
        <v/>
      </c>
      <c r="CK29" s="2" t="str">
        <f aca="false">IF(BC29="x","x",IF(BC29="-","-",""))</f>
        <v/>
      </c>
      <c r="CL29" s="2" t="str">
        <f aca="false">IF(BD29="x","x",IF(BD29="-","-",""))</f>
        <v/>
      </c>
      <c r="CM29" s="2" t="str">
        <f aca="false">IF(BE29="x","x",IF(BE29="-","-",""))</f>
        <v/>
      </c>
      <c r="CN29" s="2" t="str">
        <f aca="false">IF(BF29="x","x",IF(BF29="-","-",""))</f>
        <v/>
      </c>
      <c r="CO29" s="2" t="str">
        <f aca="false">IF(BG29="x","x",IF(BG29="-","-",""))</f>
        <v/>
      </c>
      <c r="CP29" s="2" t="str">
        <f aca="false">IF(BH29="x","x",IF(BH29="-","-",""))</f>
        <v/>
      </c>
      <c r="CR29" s="2" t="str">
        <f aca="false">IF(P29="x","x",IF(P29="-","-",""))</f>
        <v>-</v>
      </c>
      <c r="CS29" s="2" t="str">
        <f aca="false">IF(Q29="x","x",IF(Q29="-","-",""))</f>
        <v>-</v>
      </c>
      <c r="CT29" s="2" t="str">
        <f aca="false">IF(R29="x","x",IF(R29="-","-",""))</f>
        <v>-</v>
      </c>
      <c r="CU29" s="2" t="str">
        <f aca="false">IF(S29="x","x",IF(S29="-","-",""))</f>
        <v>-</v>
      </c>
      <c r="CV29" s="2" t="str">
        <f aca="false">IF(T29="x","x",IF(T29="-","-",""))</f>
        <v>-</v>
      </c>
      <c r="CW29" s="2" t="str">
        <f aca="false">IF(U29="x","x",IF(U29="-","-",""))</f>
        <v>-</v>
      </c>
      <c r="CX29" s="2" t="str">
        <f aca="false">IF(V29="x","x",IF(V29="-","-",""))</f>
        <v>-</v>
      </c>
      <c r="CY29" s="2" t="str">
        <f aca="false">IF(W29="x","x",IF(W29="-","-",""))</f>
        <v>-</v>
      </c>
      <c r="CZ29" s="2" t="s">
        <v>78</v>
      </c>
      <c r="DA29" s="2" t="s">
        <v>78</v>
      </c>
      <c r="DB29" s="2" t="s">
        <v>78</v>
      </c>
      <c r="DC29" s="2" t="s">
        <v>78</v>
      </c>
      <c r="DE29" s="2" t="str">
        <f aca="false">IF(Y29="x","x",IF(Y29="-","-",""))</f>
        <v>-</v>
      </c>
      <c r="DF29" s="2" t="str">
        <f aca="false">IF(Z29="x","x",IF(Z29="-","-",""))</f>
        <v>-</v>
      </c>
      <c r="DG29" s="2" t="str">
        <f aca="false">IF(AA29="x","x",IF(AA29="-","-",""))</f>
        <v>-</v>
      </c>
      <c r="DH29" s="2" t="str">
        <f aca="false">IF(AB29="x","x",IF(AB29="-","-",""))</f>
        <v>-</v>
      </c>
      <c r="DI29" s="2" t="str">
        <f aca="false">IF(AC29="x","x",IF(AC29="-","-",""))</f>
        <v>-</v>
      </c>
      <c r="DJ29" s="2" t="str">
        <f aca="false">IF(AD29="x","x",IF(AD29="-","-",""))</f>
        <v>-</v>
      </c>
      <c r="DK29" s="2" t="str">
        <f aca="false">IF(AE29="x","x",IF(AE29="-","-",""))</f>
        <v>-</v>
      </c>
      <c r="DL29" s="2" t="str">
        <f aca="false">IF(AF29="x","x",IF(AF29="-","-",""))</f>
        <v>-</v>
      </c>
      <c r="DM29" s="2" t="s">
        <v>78</v>
      </c>
      <c r="DN29" s="2" t="s">
        <v>78</v>
      </c>
      <c r="DO29" s="2" t="s">
        <v>78</v>
      </c>
      <c r="DP29" s="2" t="s">
        <v>78</v>
      </c>
      <c r="EG29" s="11"/>
      <c r="EH29" s="11"/>
      <c r="EI29" s="11"/>
      <c r="EJ29" s="11"/>
      <c r="EK29" s="11"/>
      <c r="EL29" s="11"/>
      <c r="EM29" s="11"/>
      <c r="EN29" s="11"/>
    </row>
    <row r="30" customFormat="false" ht="13.8" hidden="false" customHeight="false" outlineLevel="0" collapsed="false">
      <c r="A30" s="11" t="s">
        <v>73</v>
      </c>
      <c r="B30" s="2" t="n">
        <v>29</v>
      </c>
      <c r="C30" s="12" t="s">
        <v>109</v>
      </c>
      <c r="D30" s="11" t="s">
        <v>105</v>
      </c>
      <c r="E30" s="11" t="s">
        <v>76</v>
      </c>
      <c r="F30" s="11" t="n">
        <v>29</v>
      </c>
      <c r="G30" s="11" t="s">
        <v>78</v>
      </c>
      <c r="H30" s="11" t="s">
        <v>78</v>
      </c>
      <c r="I30" s="11" t="s">
        <v>78</v>
      </c>
      <c r="J30" s="11" t="s">
        <v>73</v>
      </c>
      <c r="K30" s="11" t="n">
        <v>-5</v>
      </c>
      <c r="L30" s="11" t="s">
        <v>73</v>
      </c>
      <c r="M30" s="2" t="n">
        <v>580</v>
      </c>
      <c r="N30" s="11" t="s">
        <v>78</v>
      </c>
      <c r="O30" s="11"/>
      <c r="P30" s="11" t="s">
        <v>78</v>
      </c>
      <c r="Q30" s="11" t="s">
        <v>78</v>
      </c>
      <c r="R30" s="11" t="s">
        <v>78</v>
      </c>
      <c r="S30" s="11" t="s">
        <v>78</v>
      </c>
      <c r="T30" s="11" t="s">
        <v>78</v>
      </c>
      <c r="U30" s="11" t="s">
        <v>78</v>
      </c>
      <c r="V30" s="11" t="s">
        <v>78</v>
      </c>
      <c r="W30" s="11" t="s">
        <v>78</v>
      </c>
      <c r="X30" s="11"/>
      <c r="Y30" s="11" t="s">
        <v>78</v>
      </c>
      <c r="Z30" s="11" t="s">
        <v>78</v>
      </c>
      <c r="AA30" s="11" t="s">
        <v>78</v>
      </c>
      <c r="AB30" s="11" t="s">
        <v>78</v>
      </c>
      <c r="AC30" s="11" t="s">
        <v>78</v>
      </c>
      <c r="AD30" s="11" t="s">
        <v>78</v>
      </c>
      <c r="AE30" s="11" t="s">
        <v>78</v>
      </c>
      <c r="AF30" s="11" t="s">
        <v>78</v>
      </c>
      <c r="AH30" s="11" t="s">
        <v>73</v>
      </c>
      <c r="AI30" s="11" t="s">
        <v>73</v>
      </c>
      <c r="AK30" s="11"/>
      <c r="AL30" s="11"/>
      <c r="AM30" s="11" t="s">
        <v>79</v>
      </c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J30" s="11" t="s">
        <v>78</v>
      </c>
      <c r="BK30" s="11" t="s">
        <v>78</v>
      </c>
      <c r="BL30" s="11" t="s">
        <v>78</v>
      </c>
      <c r="BM30" s="11" t="s">
        <v>78</v>
      </c>
      <c r="BN30" s="11" t="s">
        <v>78</v>
      </c>
      <c r="BO30" s="11" t="s">
        <v>78</v>
      </c>
      <c r="BP30" s="11" t="s">
        <v>78</v>
      </c>
      <c r="BQ30" s="11" t="s">
        <v>78</v>
      </c>
      <c r="BS30" s="2" t="str">
        <f aca="false">IF(AK30="x","x",IF(AK30="-","-",""))</f>
        <v/>
      </c>
      <c r="BT30" s="2" t="str">
        <f aca="false">IF(AL30="x","x",IF(AL30="-","-",""))</f>
        <v/>
      </c>
      <c r="BU30" s="2" t="str">
        <f aca="false">IF(AM30="x","x",IF(AM30="-","-",""))</f>
        <v>x</v>
      </c>
      <c r="BV30" s="2" t="str">
        <f aca="false">IF(AN30="x","x",IF(AN30="-","-",""))</f>
        <v/>
      </c>
      <c r="BW30" s="2" t="str">
        <f aca="false">IF(AO30="x","x",IF(AO30="-","-",""))</f>
        <v/>
      </c>
      <c r="BX30" s="2" t="str">
        <f aca="false">IF(AP30="x","x",IF(AP30="-","-",""))</f>
        <v/>
      </c>
      <c r="BY30" s="2" t="str">
        <f aca="false">IF(AQ30="x","x",IF(AQ30="-","-",""))</f>
        <v/>
      </c>
      <c r="BZ30" s="2" t="str">
        <f aca="false">IF(AR30="x","x",IF(AR30="-","-",""))</f>
        <v/>
      </c>
      <c r="CA30" s="2" t="str">
        <f aca="false">IF(AS30="x","x",IF(AS30="-","-",""))</f>
        <v/>
      </c>
      <c r="CB30" s="2" t="str">
        <f aca="false">IF(AT30="x","x",IF(AT30="-","-",""))</f>
        <v/>
      </c>
      <c r="CC30" s="2" t="str">
        <f aca="false">IF(AU30="x","x",IF(AU30="-","-",""))</f>
        <v/>
      </c>
      <c r="CD30" s="2" t="str">
        <f aca="false">IF(AV30="x","x",IF(AV30="-","-",""))</f>
        <v/>
      </c>
      <c r="CE30" s="2" t="str">
        <f aca="false">IF(AW30="x","x",IF(AW30="-","-",""))</f>
        <v/>
      </c>
      <c r="CF30" s="2" t="str">
        <f aca="false">IF(AX30="x","x",IF(AX30="-","-",""))</f>
        <v/>
      </c>
      <c r="CG30" s="2" t="str">
        <f aca="false">IF(AY30="x","x",IF(AY30="-","-",""))</f>
        <v/>
      </c>
      <c r="CH30" s="2" t="str">
        <f aca="false">IF(AZ30="x","x",IF(AZ30="-","-",""))</f>
        <v/>
      </c>
      <c r="CI30" s="2" t="str">
        <f aca="false">IF(BA30="x","x",IF(BA30="-","-",""))</f>
        <v/>
      </c>
      <c r="CJ30" s="2" t="str">
        <f aca="false">IF(BB30="x","x",IF(BB30="-","-",""))</f>
        <v/>
      </c>
      <c r="CK30" s="2" t="str">
        <f aca="false">IF(BC30="x","x",IF(BC30="-","-",""))</f>
        <v/>
      </c>
      <c r="CL30" s="2" t="str">
        <f aca="false">IF(BD30="x","x",IF(BD30="-","-",""))</f>
        <v/>
      </c>
      <c r="CM30" s="2" t="str">
        <f aca="false">IF(BE30="x","x",IF(BE30="-","-",""))</f>
        <v/>
      </c>
      <c r="CN30" s="2" t="str">
        <f aca="false">IF(BF30="x","x",IF(BF30="-","-",""))</f>
        <v/>
      </c>
      <c r="CO30" s="2" t="str">
        <f aca="false">IF(BG30="x","x",IF(BG30="-","-",""))</f>
        <v/>
      </c>
      <c r="CP30" s="2" t="str">
        <f aca="false">IF(BH30="x","x",IF(BH30="-","-",""))</f>
        <v/>
      </c>
      <c r="CR30" s="2" t="str">
        <f aca="false">IF(P30="x","x",IF(P30="-","-",""))</f>
        <v>-</v>
      </c>
      <c r="CS30" s="2" t="str">
        <f aca="false">IF(Q30="x","x",IF(Q30="-","-",""))</f>
        <v>-</v>
      </c>
      <c r="CT30" s="2" t="str">
        <f aca="false">IF(R30="x","x",IF(R30="-","-",""))</f>
        <v>-</v>
      </c>
      <c r="CU30" s="2" t="str">
        <f aca="false">IF(S30="x","x",IF(S30="-","-",""))</f>
        <v>-</v>
      </c>
      <c r="CV30" s="2" t="str">
        <f aca="false">IF(T30="x","x",IF(T30="-","-",""))</f>
        <v>-</v>
      </c>
      <c r="CW30" s="2" t="str">
        <f aca="false">IF(U30="x","x",IF(U30="-","-",""))</f>
        <v>-</v>
      </c>
      <c r="CX30" s="2" t="str">
        <f aca="false">IF(V30="x","x",IF(V30="-","-",""))</f>
        <v>-</v>
      </c>
      <c r="CY30" s="2" t="str">
        <f aca="false">IF(W30="x","x",IF(W30="-","-",""))</f>
        <v>-</v>
      </c>
      <c r="CZ30" s="2" t="s">
        <v>78</v>
      </c>
      <c r="DA30" s="2" t="s">
        <v>78</v>
      </c>
      <c r="DB30" s="2" t="s">
        <v>78</v>
      </c>
      <c r="DC30" s="2" t="s">
        <v>78</v>
      </c>
      <c r="DE30" s="2" t="str">
        <f aca="false">IF(Y30="x","x",IF(Y30="-","-",""))</f>
        <v>-</v>
      </c>
      <c r="DF30" s="2" t="str">
        <f aca="false">IF(Z30="x","x",IF(Z30="-","-",""))</f>
        <v>-</v>
      </c>
      <c r="DG30" s="2" t="str">
        <f aca="false">IF(AA30="x","x",IF(AA30="-","-",""))</f>
        <v>-</v>
      </c>
      <c r="DH30" s="2" t="str">
        <f aca="false">IF(AB30="x","x",IF(AB30="-","-",""))</f>
        <v>-</v>
      </c>
      <c r="DI30" s="2" t="str">
        <f aca="false">IF(AC30="x","x",IF(AC30="-","-",""))</f>
        <v>-</v>
      </c>
      <c r="DJ30" s="2" t="str">
        <f aca="false">IF(AD30="x","x",IF(AD30="-","-",""))</f>
        <v>-</v>
      </c>
      <c r="DK30" s="2" t="str">
        <f aca="false">IF(AE30="x","x",IF(AE30="-","-",""))</f>
        <v>-</v>
      </c>
      <c r="DL30" s="2" t="str">
        <f aca="false">IF(AF30="x","x",IF(AF30="-","-",""))</f>
        <v>-</v>
      </c>
      <c r="DM30" s="2" t="s">
        <v>78</v>
      </c>
      <c r="DN30" s="2" t="s">
        <v>78</v>
      </c>
      <c r="DO30" s="2" t="s">
        <v>78</v>
      </c>
      <c r="DP30" s="2" t="s">
        <v>78</v>
      </c>
      <c r="EG30" s="11"/>
      <c r="EH30" s="11"/>
      <c r="EI30" s="11"/>
      <c r="EJ30" s="11"/>
      <c r="EK30" s="11"/>
      <c r="EL30" s="11"/>
      <c r="EM30" s="11"/>
      <c r="EN30" s="11"/>
    </row>
    <row r="31" customFormat="false" ht="13.8" hidden="false" customHeight="false" outlineLevel="0" collapsed="false">
      <c r="A31" s="11" t="s">
        <v>73</v>
      </c>
      <c r="B31" s="2" t="n">
        <v>30</v>
      </c>
      <c r="C31" s="12" t="s">
        <v>110</v>
      </c>
      <c r="D31" s="11" t="s">
        <v>105</v>
      </c>
      <c r="E31" s="11" t="s">
        <v>76</v>
      </c>
      <c r="F31" s="11" t="n">
        <v>30</v>
      </c>
      <c r="G31" s="11" t="s">
        <v>78</v>
      </c>
      <c r="H31" s="11" t="s">
        <v>78</v>
      </c>
      <c r="I31" s="11" t="s">
        <v>78</v>
      </c>
      <c r="J31" s="11" t="s">
        <v>77</v>
      </c>
      <c r="K31" s="11" t="n">
        <v>-10</v>
      </c>
      <c r="L31" s="11" t="s">
        <v>77</v>
      </c>
      <c r="M31" s="2" t="n">
        <v>600</v>
      </c>
      <c r="N31" s="11" t="s">
        <v>78</v>
      </c>
      <c r="O31" s="11"/>
      <c r="P31" s="11" t="s">
        <v>78</v>
      </c>
      <c r="Q31" s="11" t="s">
        <v>78</v>
      </c>
      <c r="R31" s="11" t="s">
        <v>78</v>
      </c>
      <c r="S31" s="11" t="s">
        <v>78</v>
      </c>
      <c r="T31" s="11" t="s">
        <v>78</v>
      </c>
      <c r="U31" s="11" t="s">
        <v>78</v>
      </c>
      <c r="V31" s="11" t="s">
        <v>78</v>
      </c>
      <c r="W31" s="11" t="s">
        <v>78</v>
      </c>
      <c r="X31" s="11"/>
      <c r="Y31" s="11" t="s">
        <v>78</v>
      </c>
      <c r="Z31" s="11" t="s">
        <v>78</v>
      </c>
      <c r="AA31" s="11" t="s">
        <v>78</v>
      </c>
      <c r="AB31" s="11" t="s">
        <v>78</v>
      </c>
      <c r="AC31" s="11" t="s">
        <v>78</v>
      </c>
      <c r="AD31" s="11" t="s">
        <v>78</v>
      </c>
      <c r="AE31" s="11" t="s">
        <v>78</v>
      </c>
      <c r="AF31" s="11" t="s">
        <v>78</v>
      </c>
      <c r="AH31" s="11" t="s">
        <v>73</v>
      </c>
      <c r="AI31" s="11" t="s">
        <v>73</v>
      </c>
      <c r="AK31" s="11"/>
      <c r="AL31" s="11"/>
      <c r="AM31" s="11" t="s">
        <v>79</v>
      </c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J31" s="11" t="s">
        <v>78</v>
      </c>
      <c r="BK31" s="11" t="s">
        <v>78</v>
      </c>
      <c r="BL31" s="11" t="s">
        <v>78</v>
      </c>
      <c r="BM31" s="11" t="s">
        <v>78</v>
      </c>
      <c r="BN31" s="11" t="s">
        <v>78</v>
      </c>
      <c r="BO31" s="11" t="s">
        <v>78</v>
      </c>
      <c r="BP31" s="11" t="s">
        <v>78</v>
      </c>
      <c r="BQ31" s="11" t="s">
        <v>78</v>
      </c>
      <c r="BS31" s="2" t="str">
        <f aca="false">IF(AK31="x","x",IF(AK31="-","-",""))</f>
        <v/>
      </c>
      <c r="BT31" s="2" t="str">
        <f aca="false">IF(AL31="x","x",IF(AL31="-","-",""))</f>
        <v/>
      </c>
      <c r="BU31" s="2" t="str">
        <f aca="false">IF(AM31="x","x",IF(AM31="-","-",""))</f>
        <v>x</v>
      </c>
      <c r="BV31" s="2" t="str">
        <f aca="false">IF(AN31="x","x",IF(AN31="-","-",""))</f>
        <v/>
      </c>
      <c r="BW31" s="2" t="str">
        <f aca="false">IF(AO31="x","x",IF(AO31="-","-",""))</f>
        <v/>
      </c>
      <c r="BX31" s="2" t="str">
        <f aca="false">IF(AP31="x","x",IF(AP31="-","-",""))</f>
        <v/>
      </c>
      <c r="BY31" s="2" t="str">
        <f aca="false">IF(AQ31="x","x",IF(AQ31="-","-",""))</f>
        <v/>
      </c>
      <c r="BZ31" s="2" t="str">
        <f aca="false">IF(AR31="x","x",IF(AR31="-","-",""))</f>
        <v/>
      </c>
      <c r="CA31" s="2" t="str">
        <f aca="false">IF(AS31="x","x",IF(AS31="-","-",""))</f>
        <v/>
      </c>
      <c r="CB31" s="2" t="str">
        <f aca="false">IF(AT31="x","x",IF(AT31="-","-",""))</f>
        <v/>
      </c>
      <c r="CC31" s="2" t="str">
        <f aca="false">IF(AU31="x","x",IF(AU31="-","-",""))</f>
        <v/>
      </c>
      <c r="CD31" s="2" t="str">
        <f aca="false">IF(AV31="x","x",IF(AV31="-","-",""))</f>
        <v/>
      </c>
      <c r="CE31" s="2" t="str">
        <f aca="false">IF(AW31="x","x",IF(AW31="-","-",""))</f>
        <v/>
      </c>
      <c r="CF31" s="2" t="str">
        <f aca="false">IF(AX31="x","x",IF(AX31="-","-",""))</f>
        <v/>
      </c>
      <c r="CG31" s="2" t="str">
        <f aca="false">IF(AY31="x","x",IF(AY31="-","-",""))</f>
        <v/>
      </c>
      <c r="CH31" s="2" t="str">
        <f aca="false">IF(AZ31="x","x",IF(AZ31="-","-",""))</f>
        <v/>
      </c>
      <c r="CI31" s="2" t="str">
        <f aca="false">IF(BA31="x","x",IF(BA31="-","-",""))</f>
        <v/>
      </c>
      <c r="CJ31" s="2" t="str">
        <f aca="false">IF(BB31="x","x",IF(BB31="-","-",""))</f>
        <v/>
      </c>
      <c r="CK31" s="2" t="str">
        <f aca="false">IF(BC31="x","x",IF(BC31="-","-",""))</f>
        <v/>
      </c>
      <c r="CL31" s="2" t="str">
        <f aca="false">IF(BD31="x","x",IF(BD31="-","-",""))</f>
        <v/>
      </c>
      <c r="CM31" s="2" t="str">
        <f aca="false">IF(BE31="x","x",IF(BE31="-","-",""))</f>
        <v/>
      </c>
      <c r="CN31" s="2" t="str">
        <f aca="false">IF(BF31="x","x",IF(BF31="-","-",""))</f>
        <v/>
      </c>
      <c r="CO31" s="2" t="str">
        <f aca="false">IF(BG31="x","x",IF(BG31="-","-",""))</f>
        <v/>
      </c>
      <c r="CP31" s="2" t="str">
        <f aca="false">IF(BH31="x","x",IF(BH31="-","-",""))</f>
        <v/>
      </c>
      <c r="CR31" s="2" t="str">
        <f aca="false">IF(P31="x","x",IF(P31="-","-",""))</f>
        <v>-</v>
      </c>
      <c r="CS31" s="2" t="str">
        <f aca="false">IF(Q31="x","x",IF(Q31="-","-",""))</f>
        <v>-</v>
      </c>
      <c r="CT31" s="2" t="str">
        <f aca="false">IF(R31="x","x",IF(R31="-","-",""))</f>
        <v>-</v>
      </c>
      <c r="CU31" s="2" t="str">
        <f aca="false">IF(S31="x","x",IF(S31="-","-",""))</f>
        <v>-</v>
      </c>
      <c r="CV31" s="2" t="str">
        <f aca="false">IF(T31="x","x",IF(T31="-","-",""))</f>
        <v>-</v>
      </c>
      <c r="CW31" s="2" t="str">
        <f aca="false">IF(U31="x","x",IF(U31="-","-",""))</f>
        <v>-</v>
      </c>
      <c r="CX31" s="2" t="str">
        <f aca="false">IF(V31="x","x",IF(V31="-","-",""))</f>
        <v>-</v>
      </c>
      <c r="CY31" s="2" t="str">
        <f aca="false">IF(W31="x","x",IF(W31="-","-",""))</f>
        <v>-</v>
      </c>
      <c r="CZ31" s="2" t="s">
        <v>78</v>
      </c>
      <c r="DA31" s="2" t="s">
        <v>78</v>
      </c>
      <c r="DB31" s="2" t="s">
        <v>78</v>
      </c>
      <c r="DC31" s="2" t="s">
        <v>78</v>
      </c>
      <c r="DE31" s="2" t="str">
        <f aca="false">IF(Y31="x","x",IF(Y31="-","-",""))</f>
        <v>-</v>
      </c>
      <c r="DF31" s="2" t="str">
        <f aca="false">IF(Z31="x","x",IF(Z31="-","-",""))</f>
        <v>-</v>
      </c>
      <c r="DG31" s="2" t="str">
        <f aca="false">IF(AA31="x","x",IF(AA31="-","-",""))</f>
        <v>-</v>
      </c>
      <c r="DH31" s="2" t="str">
        <f aca="false">IF(AB31="x","x",IF(AB31="-","-",""))</f>
        <v>-</v>
      </c>
      <c r="DI31" s="2" t="str">
        <f aca="false">IF(AC31="x","x",IF(AC31="-","-",""))</f>
        <v>-</v>
      </c>
      <c r="DJ31" s="2" t="str">
        <f aca="false">IF(AD31="x","x",IF(AD31="-","-",""))</f>
        <v>-</v>
      </c>
      <c r="DK31" s="2" t="str">
        <f aca="false">IF(AE31="x","x",IF(AE31="-","-",""))</f>
        <v>-</v>
      </c>
      <c r="DL31" s="2" t="str">
        <f aca="false">IF(AF31="x","x",IF(AF31="-","-",""))</f>
        <v>-</v>
      </c>
      <c r="DM31" s="2" t="s">
        <v>78</v>
      </c>
      <c r="DN31" s="2" t="s">
        <v>78</v>
      </c>
      <c r="DO31" s="2" t="s">
        <v>78</v>
      </c>
      <c r="DP31" s="2" t="s">
        <v>78</v>
      </c>
      <c r="EG31" s="11"/>
      <c r="EH31" s="11"/>
      <c r="EI31" s="11"/>
      <c r="EJ31" s="11"/>
      <c r="EK31" s="11"/>
      <c r="EL31" s="11"/>
      <c r="EM31" s="11"/>
      <c r="EN31" s="11"/>
    </row>
    <row r="32" customFormat="false" ht="13.8" hidden="false" customHeight="false" outlineLevel="0" collapsed="false">
      <c r="A32" s="11" t="s">
        <v>73</v>
      </c>
      <c r="B32" s="2" t="n">
        <v>31</v>
      </c>
      <c r="C32" s="12" t="s">
        <v>111</v>
      </c>
      <c r="D32" s="11" t="s">
        <v>105</v>
      </c>
      <c r="E32" s="11" t="s">
        <v>76</v>
      </c>
      <c r="F32" s="11" t="n">
        <v>31</v>
      </c>
      <c r="G32" s="11" t="s">
        <v>78</v>
      </c>
      <c r="H32" s="11" t="s">
        <v>78</v>
      </c>
      <c r="I32" s="11" t="s">
        <v>78</v>
      </c>
      <c r="J32" s="11" t="s">
        <v>73</v>
      </c>
      <c r="K32" s="11" t="n">
        <v>-15</v>
      </c>
      <c r="L32" s="11" t="s">
        <v>73</v>
      </c>
      <c r="M32" s="2" t="n">
        <v>620</v>
      </c>
      <c r="N32" s="11" t="s">
        <v>78</v>
      </c>
      <c r="O32" s="11"/>
      <c r="P32" s="11" t="s">
        <v>78</v>
      </c>
      <c r="Q32" s="11" t="s">
        <v>78</v>
      </c>
      <c r="R32" s="11" t="s">
        <v>78</v>
      </c>
      <c r="S32" s="11" t="s">
        <v>78</v>
      </c>
      <c r="T32" s="11" t="s">
        <v>78</v>
      </c>
      <c r="U32" s="11" t="s">
        <v>78</v>
      </c>
      <c r="V32" s="11" t="s">
        <v>78</v>
      </c>
      <c r="W32" s="11" t="s">
        <v>78</v>
      </c>
      <c r="X32" s="11"/>
      <c r="Y32" s="11" t="s">
        <v>78</v>
      </c>
      <c r="Z32" s="11" t="s">
        <v>78</v>
      </c>
      <c r="AA32" s="11" t="s">
        <v>78</v>
      </c>
      <c r="AB32" s="11" t="s">
        <v>78</v>
      </c>
      <c r="AC32" s="11" t="s">
        <v>78</v>
      </c>
      <c r="AD32" s="11" t="s">
        <v>78</v>
      </c>
      <c r="AE32" s="11" t="s">
        <v>78</v>
      </c>
      <c r="AF32" s="11" t="s">
        <v>78</v>
      </c>
      <c r="AH32" s="11" t="s">
        <v>73</v>
      </c>
      <c r="AI32" s="11" t="s">
        <v>73</v>
      </c>
      <c r="AK32" s="11"/>
      <c r="AL32" s="11"/>
      <c r="AM32" s="11" t="s">
        <v>79</v>
      </c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J32" s="11" t="s">
        <v>78</v>
      </c>
      <c r="BK32" s="11" t="s">
        <v>78</v>
      </c>
      <c r="BL32" s="11" t="s">
        <v>78</v>
      </c>
      <c r="BM32" s="11" t="s">
        <v>78</v>
      </c>
      <c r="BN32" s="11" t="s">
        <v>78</v>
      </c>
      <c r="BO32" s="11" t="s">
        <v>78</v>
      </c>
      <c r="BP32" s="11" t="s">
        <v>78</v>
      </c>
      <c r="BQ32" s="11" t="s">
        <v>78</v>
      </c>
      <c r="BS32" s="2" t="str">
        <f aca="false">IF(AK32="x","x",IF(AK32="-","-",""))</f>
        <v/>
      </c>
      <c r="BT32" s="2" t="str">
        <f aca="false">IF(AL32="x","x",IF(AL32="-","-",""))</f>
        <v/>
      </c>
      <c r="BU32" s="2" t="str">
        <f aca="false">IF(AM32="x","x",IF(AM32="-","-",""))</f>
        <v>x</v>
      </c>
      <c r="BV32" s="2" t="str">
        <f aca="false">IF(AN32="x","x",IF(AN32="-","-",""))</f>
        <v/>
      </c>
      <c r="BW32" s="2" t="str">
        <f aca="false">IF(AO32="x","x",IF(AO32="-","-",""))</f>
        <v/>
      </c>
      <c r="BX32" s="2" t="str">
        <f aca="false">IF(AP32="x","x",IF(AP32="-","-",""))</f>
        <v/>
      </c>
      <c r="BY32" s="2" t="str">
        <f aca="false">IF(AQ32="x","x",IF(AQ32="-","-",""))</f>
        <v/>
      </c>
      <c r="BZ32" s="2" t="str">
        <f aca="false">IF(AR32="x","x",IF(AR32="-","-",""))</f>
        <v/>
      </c>
      <c r="CA32" s="2" t="str">
        <f aca="false">IF(AS32="x","x",IF(AS32="-","-",""))</f>
        <v/>
      </c>
      <c r="CB32" s="2" t="str">
        <f aca="false">IF(AT32="x","x",IF(AT32="-","-",""))</f>
        <v/>
      </c>
      <c r="CC32" s="2" t="str">
        <f aca="false">IF(AU32="x","x",IF(AU32="-","-",""))</f>
        <v/>
      </c>
      <c r="CD32" s="2" t="str">
        <f aca="false">IF(AV32="x","x",IF(AV32="-","-",""))</f>
        <v/>
      </c>
      <c r="CE32" s="2" t="str">
        <f aca="false">IF(AW32="x","x",IF(AW32="-","-",""))</f>
        <v/>
      </c>
      <c r="CF32" s="2" t="str">
        <f aca="false">IF(AX32="x","x",IF(AX32="-","-",""))</f>
        <v/>
      </c>
      <c r="CG32" s="2" t="str">
        <f aca="false">IF(AY32="x","x",IF(AY32="-","-",""))</f>
        <v/>
      </c>
      <c r="CH32" s="2" t="str">
        <f aca="false">IF(AZ32="x","x",IF(AZ32="-","-",""))</f>
        <v/>
      </c>
      <c r="CI32" s="2" t="str">
        <f aca="false">IF(BA32="x","x",IF(BA32="-","-",""))</f>
        <v/>
      </c>
      <c r="CJ32" s="2" t="str">
        <f aca="false">IF(BB32="x","x",IF(BB32="-","-",""))</f>
        <v/>
      </c>
      <c r="CK32" s="2" t="str">
        <f aca="false">IF(BC32="x","x",IF(BC32="-","-",""))</f>
        <v/>
      </c>
      <c r="CL32" s="2" t="str">
        <f aca="false">IF(BD32="x","x",IF(BD32="-","-",""))</f>
        <v/>
      </c>
      <c r="CM32" s="2" t="str">
        <f aca="false">IF(BE32="x","x",IF(BE32="-","-",""))</f>
        <v/>
      </c>
      <c r="CN32" s="2" t="str">
        <f aca="false">IF(BF32="x","x",IF(BF32="-","-",""))</f>
        <v/>
      </c>
      <c r="CO32" s="2" t="str">
        <f aca="false">IF(BG32="x","x",IF(BG32="-","-",""))</f>
        <v/>
      </c>
      <c r="CP32" s="2" t="str">
        <f aca="false">IF(BH32="x","x",IF(BH32="-","-",""))</f>
        <v/>
      </c>
      <c r="CR32" s="2" t="str">
        <f aca="false">IF(P32="x","x",IF(P32="-","-",""))</f>
        <v>-</v>
      </c>
      <c r="CS32" s="2" t="str">
        <f aca="false">IF(Q32="x","x",IF(Q32="-","-",""))</f>
        <v>-</v>
      </c>
      <c r="CT32" s="2" t="str">
        <f aca="false">IF(R32="x","x",IF(R32="-","-",""))</f>
        <v>-</v>
      </c>
      <c r="CU32" s="2" t="str">
        <f aca="false">IF(S32="x","x",IF(S32="-","-",""))</f>
        <v>-</v>
      </c>
      <c r="CV32" s="2" t="str">
        <f aca="false">IF(T32="x","x",IF(T32="-","-",""))</f>
        <v>-</v>
      </c>
      <c r="CW32" s="2" t="str">
        <f aca="false">IF(U32="x","x",IF(U32="-","-",""))</f>
        <v>-</v>
      </c>
      <c r="CX32" s="2" t="str">
        <f aca="false">IF(V32="x","x",IF(V32="-","-",""))</f>
        <v>-</v>
      </c>
      <c r="CY32" s="2" t="str">
        <f aca="false">IF(W32="x","x",IF(W32="-","-",""))</f>
        <v>-</v>
      </c>
      <c r="CZ32" s="2" t="s">
        <v>78</v>
      </c>
      <c r="DA32" s="2" t="s">
        <v>78</v>
      </c>
      <c r="DB32" s="2" t="s">
        <v>78</v>
      </c>
      <c r="DC32" s="2" t="s">
        <v>78</v>
      </c>
      <c r="DE32" s="2" t="str">
        <f aca="false">IF(Y32="x","x",IF(Y32="-","-",""))</f>
        <v>-</v>
      </c>
      <c r="DF32" s="2" t="str">
        <f aca="false">IF(Z32="x","x",IF(Z32="-","-",""))</f>
        <v>-</v>
      </c>
      <c r="DG32" s="2" t="str">
        <f aca="false">IF(AA32="x","x",IF(AA32="-","-",""))</f>
        <v>-</v>
      </c>
      <c r="DH32" s="2" t="str">
        <f aca="false">IF(AB32="x","x",IF(AB32="-","-",""))</f>
        <v>-</v>
      </c>
      <c r="DI32" s="2" t="str">
        <f aca="false">IF(AC32="x","x",IF(AC32="-","-",""))</f>
        <v>-</v>
      </c>
      <c r="DJ32" s="2" t="str">
        <f aca="false">IF(AD32="x","x",IF(AD32="-","-",""))</f>
        <v>-</v>
      </c>
      <c r="DK32" s="2" t="str">
        <f aca="false">IF(AE32="x","x",IF(AE32="-","-",""))</f>
        <v>-</v>
      </c>
      <c r="DL32" s="2" t="str">
        <f aca="false">IF(AF32="x","x",IF(AF32="-","-",""))</f>
        <v>-</v>
      </c>
      <c r="DM32" s="2" t="s">
        <v>78</v>
      </c>
      <c r="DN32" s="2" t="s">
        <v>78</v>
      </c>
      <c r="DO32" s="2" t="s">
        <v>78</v>
      </c>
      <c r="DP32" s="2" t="s">
        <v>78</v>
      </c>
      <c r="EG32" s="11"/>
      <c r="EH32" s="11"/>
      <c r="EI32" s="11"/>
      <c r="EJ32" s="11"/>
      <c r="EK32" s="11"/>
      <c r="EL32" s="11"/>
      <c r="EM32" s="11"/>
      <c r="EN32" s="11"/>
    </row>
    <row r="33" customFormat="false" ht="13.8" hidden="false" customHeight="false" outlineLevel="0" collapsed="false">
      <c r="A33" s="11" t="s">
        <v>73</v>
      </c>
      <c r="B33" s="2" t="n">
        <v>32</v>
      </c>
      <c r="C33" s="12" t="s">
        <v>112</v>
      </c>
      <c r="D33" s="11" t="s">
        <v>105</v>
      </c>
      <c r="E33" s="11" t="s">
        <v>76</v>
      </c>
      <c r="F33" s="11" t="n">
        <v>32</v>
      </c>
      <c r="G33" s="11" t="s">
        <v>78</v>
      </c>
      <c r="H33" s="11" t="s">
        <v>78</v>
      </c>
      <c r="I33" s="11" t="s">
        <v>78</v>
      </c>
      <c r="J33" s="11" t="s">
        <v>77</v>
      </c>
      <c r="K33" s="11" t="n">
        <v>-20</v>
      </c>
      <c r="L33" s="11" t="s">
        <v>77</v>
      </c>
      <c r="M33" s="2" t="n">
        <v>640</v>
      </c>
      <c r="N33" s="11" t="s">
        <v>78</v>
      </c>
      <c r="O33" s="11"/>
      <c r="P33" s="11" t="s">
        <v>78</v>
      </c>
      <c r="Q33" s="11" t="s">
        <v>78</v>
      </c>
      <c r="R33" s="11" t="s">
        <v>78</v>
      </c>
      <c r="S33" s="11" t="s">
        <v>78</v>
      </c>
      <c r="T33" s="11" t="s">
        <v>78</v>
      </c>
      <c r="U33" s="11" t="s">
        <v>78</v>
      </c>
      <c r="V33" s="11" t="s">
        <v>78</v>
      </c>
      <c r="W33" s="11" t="s">
        <v>78</v>
      </c>
      <c r="X33" s="11"/>
      <c r="Y33" s="11" t="s">
        <v>78</v>
      </c>
      <c r="Z33" s="11" t="s">
        <v>78</v>
      </c>
      <c r="AA33" s="11" t="s">
        <v>78</v>
      </c>
      <c r="AB33" s="11" t="s">
        <v>78</v>
      </c>
      <c r="AC33" s="11" t="s">
        <v>78</v>
      </c>
      <c r="AD33" s="11" t="s">
        <v>78</v>
      </c>
      <c r="AE33" s="11" t="s">
        <v>78</v>
      </c>
      <c r="AF33" s="11" t="s">
        <v>78</v>
      </c>
      <c r="AH33" s="11" t="s">
        <v>73</v>
      </c>
      <c r="AI33" s="11" t="s">
        <v>73</v>
      </c>
      <c r="AK33" s="11"/>
      <c r="AL33" s="11"/>
      <c r="AM33" s="11" t="s">
        <v>79</v>
      </c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J33" s="11" t="s">
        <v>78</v>
      </c>
      <c r="BK33" s="11" t="s">
        <v>78</v>
      </c>
      <c r="BL33" s="11" t="s">
        <v>78</v>
      </c>
      <c r="BM33" s="11" t="s">
        <v>78</v>
      </c>
      <c r="BN33" s="11" t="s">
        <v>78</v>
      </c>
      <c r="BO33" s="11" t="s">
        <v>78</v>
      </c>
      <c r="BP33" s="11" t="s">
        <v>78</v>
      </c>
      <c r="BQ33" s="11" t="s">
        <v>78</v>
      </c>
      <c r="BS33" s="2" t="str">
        <f aca="false">IF(AK33="x","x",IF(AK33="-","-",""))</f>
        <v/>
      </c>
      <c r="BT33" s="2" t="str">
        <f aca="false">IF(AL33="x","x",IF(AL33="-","-",""))</f>
        <v/>
      </c>
      <c r="BU33" s="2" t="str">
        <f aca="false">IF(AM33="x","x",IF(AM33="-","-",""))</f>
        <v>x</v>
      </c>
      <c r="BV33" s="2" t="str">
        <f aca="false">IF(AN33="x","x",IF(AN33="-","-",""))</f>
        <v/>
      </c>
      <c r="BW33" s="2" t="str">
        <f aca="false">IF(AO33="x","x",IF(AO33="-","-",""))</f>
        <v/>
      </c>
      <c r="BX33" s="2" t="str">
        <f aca="false">IF(AP33="x","x",IF(AP33="-","-",""))</f>
        <v/>
      </c>
      <c r="BY33" s="2" t="str">
        <f aca="false">IF(AQ33="x","x",IF(AQ33="-","-",""))</f>
        <v/>
      </c>
      <c r="BZ33" s="2" t="str">
        <f aca="false">IF(AR33="x","x",IF(AR33="-","-",""))</f>
        <v/>
      </c>
      <c r="CA33" s="2" t="str">
        <f aca="false">IF(AS33="x","x",IF(AS33="-","-",""))</f>
        <v/>
      </c>
      <c r="CB33" s="2" t="str">
        <f aca="false">IF(AT33="x","x",IF(AT33="-","-",""))</f>
        <v/>
      </c>
      <c r="CC33" s="2" t="str">
        <f aca="false">IF(AU33="x","x",IF(AU33="-","-",""))</f>
        <v/>
      </c>
      <c r="CD33" s="2" t="str">
        <f aca="false">IF(AV33="x","x",IF(AV33="-","-",""))</f>
        <v/>
      </c>
      <c r="CE33" s="2" t="str">
        <f aca="false">IF(AW33="x","x",IF(AW33="-","-",""))</f>
        <v/>
      </c>
      <c r="CF33" s="2" t="str">
        <f aca="false">IF(AX33="x","x",IF(AX33="-","-",""))</f>
        <v/>
      </c>
      <c r="CG33" s="2" t="str">
        <f aca="false">IF(AY33="x","x",IF(AY33="-","-",""))</f>
        <v/>
      </c>
      <c r="CH33" s="2" t="str">
        <f aca="false">IF(AZ33="x","x",IF(AZ33="-","-",""))</f>
        <v/>
      </c>
      <c r="CI33" s="2" t="str">
        <f aca="false">IF(BA33="x","x",IF(BA33="-","-",""))</f>
        <v/>
      </c>
      <c r="CJ33" s="2" t="str">
        <f aca="false">IF(BB33="x","x",IF(BB33="-","-",""))</f>
        <v/>
      </c>
      <c r="CK33" s="2" t="str">
        <f aca="false">IF(BC33="x","x",IF(BC33="-","-",""))</f>
        <v/>
      </c>
      <c r="CL33" s="2" t="str">
        <f aca="false">IF(BD33="x","x",IF(BD33="-","-",""))</f>
        <v/>
      </c>
      <c r="CM33" s="2" t="str">
        <f aca="false">IF(BE33="x","x",IF(BE33="-","-",""))</f>
        <v/>
      </c>
      <c r="CN33" s="2" t="str">
        <f aca="false">IF(BF33="x","x",IF(BF33="-","-",""))</f>
        <v/>
      </c>
      <c r="CO33" s="2" t="str">
        <f aca="false">IF(BG33="x","x",IF(BG33="-","-",""))</f>
        <v/>
      </c>
      <c r="CP33" s="2" t="str">
        <f aca="false">IF(BH33="x","x",IF(BH33="-","-",""))</f>
        <v/>
      </c>
      <c r="CR33" s="2" t="str">
        <f aca="false">IF(P33="x","x",IF(P33="-","-",""))</f>
        <v>-</v>
      </c>
      <c r="CS33" s="2" t="str">
        <f aca="false">IF(Q33="x","x",IF(Q33="-","-",""))</f>
        <v>-</v>
      </c>
      <c r="CT33" s="2" t="str">
        <f aca="false">IF(R33="x","x",IF(R33="-","-",""))</f>
        <v>-</v>
      </c>
      <c r="CU33" s="2" t="str">
        <f aca="false">IF(S33="x","x",IF(S33="-","-",""))</f>
        <v>-</v>
      </c>
      <c r="CV33" s="2" t="str">
        <f aca="false">IF(T33="x","x",IF(T33="-","-",""))</f>
        <v>-</v>
      </c>
      <c r="CW33" s="2" t="str">
        <f aca="false">IF(U33="x","x",IF(U33="-","-",""))</f>
        <v>-</v>
      </c>
      <c r="CX33" s="2" t="str">
        <f aca="false">IF(V33="x","x",IF(V33="-","-",""))</f>
        <v>-</v>
      </c>
      <c r="CY33" s="2" t="str">
        <f aca="false">IF(W33="x","x",IF(W33="-","-",""))</f>
        <v>-</v>
      </c>
      <c r="CZ33" s="2" t="s">
        <v>78</v>
      </c>
      <c r="DA33" s="2" t="s">
        <v>78</v>
      </c>
      <c r="DB33" s="2" t="s">
        <v>78</v>
      </c>
      <c r="DC33" s="2" t="s">
        <v>78</v>
      </c>
      <c r="DE33" s="2" t="str">
        <f aca="false">IF(Y33="x","x",IF(Y33="-","-",""))</f>
        <v>-</v>
      </c>
      <c r="DF33" s="2" t="str">
        <f aca="false">IF(Z33="x","x",IF(Z33="-","-",""))</f>
        <v>-</v>
      </c>
      <c r="DG33" s="2" t="str">
        <f aca="false">IF(AA33="x","x",IF(AA33="-","-",""))</f>
        <v>-</v>
      </c>
      <c r="DH33" s="2" t="str">
        <f aca="false">IF(AB33="x","x",IF(AB33="-","-",""))</f>
        <v>-</v>
      </c>
      <c r="DI33" s="2" t="str">
        <f aca="false">IF(AC33="x","x",IF(AC33="-","-",""))</f>
        <v>-</v>
      </c>
      <c r="DJ33" s="2" t="str">
        <f aca="false">IF(AD33="x","x",IF(AD33="-","-",""))</f>
        <v>-</v>
      </c>
      <c r="DK33" s="2" t="str">
        <f aca="false">IF(AE33="x","x",IF(AE33="-","-",""))</f>
        <v>-</v>
      </c>
      <c r="DL33" s="2" t="str">
        <f aca="false">IF(AF33="x","x",IF(AF33="-","-",""))</f>
        <v>-</v>
      </c>
      <c r="DM33" s="2" t="s">
        <v>78</v>
      </c>
      <c r="DN33" s="2" t="s">
        <v>78</v>
      </c>
      <c r="DO33" s="2" t="s">
        <v>78</v>
      </c>
      <c r="DP33" s="2" t="s">
        <v>78</v>
      </c>
      <c r="EG33" s="11"/>
      <c r="EH33" s="11"/>
      <c r="EI33" s="11"/>
      <c r="EJ33" s="11"/>
      <c r="EK33" s="11"/>
      <c r="EL33" s="11"/>
      <c r="EM33" s="11"/>
      <c r="EN33" s="11"/>
    </row>
    <row r="34" customFormat="false" ht="13.8" hidden="false" customHeight="false" outlineLevel="0" collapsed="false">
      <c r="A34" s="11" t="s">
        <v>73</v>
      </c>
      <c r="B34" s="2" t="n">
        <v>33</v>
      </c>
      <c r="C34" s="12" t="s">
        <v>113</v>
      </c>
      <c r="D34" s="11" t="s">
        <v>105</v>
      </c>
      <c r="E34" s="11" t="s">
        <v>76</v>
      </c>
      <c r="F34" s="11" t="n">
        <v>33</v>
      </c>
      <c r="G34" s="11" t="s">
        <v>78</v>
      </c>
      <c r="H34" s="11" t="s">
        <v>78</v>
      </c>
      <c r="I34" s="11" t="s">
        <v>78</v>
      </c>
      <c r="J34" s="11" t="s">
        <v>73</v>
      </c>
      <c r="K34" s="11" t="n">
        <v>-25</v>
      </c>
      <c r="L34" s="11" t="s">
        <v>73</v>
      </c>
      <c r="M34" s="2" t="n">
        <v>660</v>
      </c>
      <c r="N34" s="11" t="s">
        <v>78</v>
      </c>
      <c r="O34" s="11"/>
      <c r="P34" s="11" t="s">
        <v>78</v>
      </c>
      <c r="Q34" s="11" t="s">
        <v>78</v>
      </c>
      <c r="R34" s="11" t="s">
        <v>78</v>
      </c>
      <c r="S34" s="11" t="s">
        <v>78</v>
      </c>
      <c r="T34" s="11" t="s">
        <v>78</v>
      </c>
      <c r="U34" s="11" t="s">
        <v>78</v>
      </c>
      <c r="V34" s="11" t="s">
        <v>78</v>
      </c>
      <c r="W34" s="11" t="s">
        <v>78</v>
      </c>
      <c r="X34" s="11"/>
      <c r="Y34" s="11" t="s">
        <v>78</v>
      </c>
      <c r="Z34" s="11" t="s">
        <v>78</v>
      </c>
      <c r="AA34" s="11" t="s">
        <v>78</v>
      </c>
      <c r="AB34" s="11" t="s">
        <v>78</v>
      </c>
      <c r="AC34" s="11" t="s">
        <v>78</v>
      </c>
      <c r="AD34" s="11" t="s">
        <v>78</v>
      </c>
      <c r="AE34" s="11" t="s">
        <v>78</v>
      </c>
      <c r="AF34" s="11" t="s">
        <v>78</v>
      </c>
      <c r="AH34" s="11" t="s">
        <v>73</v>
      </c>
      <c r="AI34" s="11" t="s">
        <v>73</v>
      </c>
      <c r="AK34" s="11"/>
      <c r="AL34" s="11"/>
      <c r="AM34" s="11" t="s">
        <v>79</v>
      </c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J34" s="11" t="s">
        <v>78</v>
      </c>
      <c r="BK34" s="11" t="s">
        <v>78</v>
      </c>
      <c r="BL34" s="11" t="s">
        <v>78</v>
      </c>
      <c r="BM34" s="11" t="s">
        <v>78</v>
      </c>
      <c r="BN34" s="11" t="s">
        <v>78</v>
      </c>
      <c r="BO34" s="11" t="s">
        <v>78</v>
      </c>
      <c r="BP34" s="11" t="s">
        <v>78</v>
      </c>
      <c r="BQ34" s="11" t="s">
        <v>78</v>
      </c>
      <c r="BS34" s="2" t="str">
        <f aca="false">IF(AK34="x","x",IF(AK34="-","-",""))</f>
        <v/>
      </c>
      <c r="BT34" s="2" t="str">
        <f aca="false">IF(AL34="x","x",IF(AL34="-","-",""))</f>
        <v/>
      </c>
      <c r="BU34" s="2" t="str">
        <f aca="false">IF(AM34="x","x",IF(AM34="-","-",""))</f>
        <v>x</v>
      </c>
      <c r="BV34" s="2" t="str">
        <f aca="false">IF(AN34="x","x",IF(AN34="-","-",""))</f>
        <v/>
      </c>
      <c r="BW34" s="2" t="str">
        <f aca="false">IF(AO34="x","x",IF(AO34="-","-",""))</f>
        <v/>
      </c>
      <c r="BX34" s="2" t="str">
        <f aca="false">IF(AP34="x","x",IF(AP34="-","-",""))</f>
        <v/>
      </c>
      <c r="BY34" s="2" t="str">
        <f aca="false">IF(AQ34="x","x",IF(AQ34="-","-",""))</f>
        <v/>
      </c>
      <c r="BZ34" s="2" t="str">
        <f aca="false">IF(AR34="x","x",IF(AR34="-","-",""))</f>
        <v/>
      </c>
      <c r="CA34" s="2" t="str">
        <f aca="false">IF(AS34="x","x",IF(AS34="-","-",""))</f>
        <v/>
      </c>
      <c r="CB34" s="2" t="str">
        <f aca="false">IF(AT34="x","x",IF(AT34="-","-",""))</f>
        <v/>
      </c>
      <c r="CC34" s="2" t="str">
        <f aca="false">IF(AU34="x","x",IF(AU34="-","-",""))</f>
        <v/>
      </c>
      <c r="CD34" s="2" t="str">
        <f aca="false">IF(AV34="x","x",IF(AV34="-","-",""))</f>
        <v/>
      </c>
      <c r="CE34" s="2" t="str">
        <f aca="false">IF(AW34="x","x",IF(AW34="-","-",""))</f>
        <v/>
      </c>
      <c r="CF34" s="2" t="str">
        <f aca="false">IF(AX34="x","x",IF(AX34="-","-",""))</f>
        <v/>
      </c>
      <c r="CG34" s="2" t="str">
        <f aca="false">IF(AY34="x","x",IF(AY34="-","-",""))</f>
        <v/>
      </c>
      <c r="CH34" s="2" t="str">
        <f aca="false">IF(AZ34="x","x",IF(AZ34="-","-",""))</f>
        <v/>
      </c>
      <c r="CI34" s="2" t="str">
        <f aca="false">IF(BA34="x","x",IF(BA34="-","-",""))</f>
        <v/>
      </c>
      <c r="CJ34" s="2" t="str">
        <f aca="false">IF(BB34="x","x",IF(BB34="-","-",""))</f>
        <v/>
      </c>
      <c r="CK34" s="2" t="str">
        <f aca="false">IF(BC34="x","x",IF(BC34="-","-",""))</f>
        <v/>
      </c>
      <c r="CL34" s="2" t="str">
        <f aca="false">IF(BD34="x","x",IF(BD34="-","-",""))</f>
        <v/>
      </c>
      <c r="CM34" s="2" t="str">
        <f aca="false">IF(BE34="x","x",IF(BE34="-","-",""))</f>
        <v/>
      </c>
      <c r="CN34" s="2" t="str">
        <f aca="false">IF(BF34="x","x",IF(BF34="-","-",""))</f>
        <v/>
      </c>
      <c r="CO34" s="2" t="str">
        <f aca="false">IF(BG34="x","x",IF(BG34="-","-",""))</f>
        <v/>
      </c>
      <c r="CP34" s="2" t="str">
        <f aca="false">IF(BH34="x","x",IF(BH34="-","-",""))</f>
        <v/>
      </c>
      <c r="CR34" s="2" t="str">
        <f aca="false">IF(P34="x","x",IF(P34="-","-",""))</f>
        <v>-</v>
      </c>
      <c r="CS34" s="2" t="str">
        <f aca="false">IF(Q34="x","x",IF(Q34="-","-",""))</f>
        <v>-</v>
      </c>
      <c r="CT34" s="2" t="str">
        <f aca="false">IF(R34="x","x",IF(R34="-","-",""))</f>
        <v>-</v>
      </c>
      <c r="CU34" s="2" t="str">
        <f aca="false">IF(S34="x","x",IF(S34="-","-",""))</f>
        <v>-</v>
      </c>
      <c r="CV34" s="2" t="str">
        <f aca="false">IF(T34="x","x",IF(T34="-","-",""))</f>
        <v>-</v>
      </c>
      <c r="CW34" s="2" t="str">
        <f aca="false">IF(U34="x","x",IF(U34="-","-",""))</f>
        <v>-</v>
      </c>
      <c r="CX34" s="2" t="str">
        <f aca="false">IF(V34="x","x",IF(V34="-","-",""))</f>
        <v>-</v>
      </c>
      <c r="CY34" s="2" t="str">
        <f aca="false">IF(W34="x","x",IF(W34="-","-",""))</f>
        <v>-</v>
      </c>
      <c r="CZ34" s="2" t="s">
        <v>78</v>
      </c>
      <c r="DA34" s="2" t="s">
        <v>78</v>
      </c>
      <c r="DB34" s="2" t="s">
        <v>78</v>
      </c>
      <c r="DC34" s="2" t="s">
        <v>78</v>
      </c>
      <c r="DE34" s="2" t="str">
        <f aca="false">IF(Y34="x","x",IF(Y34="-","-",""))</f>
        <v>-</v>
      </c>
      <c r="DF34" s="2" t="str">
        <f aca="false">IF(Z34="x","x",IF(Z34="-","-",""))</f>
        <v>-</v>
      </c>
      <c r="DG34" s="2" t="str">
        <f aca="false">IF(AA34="x","x",IF(AA34="-","-",""))</f>
        <v>-</v>
      </c>
      <c r="DH34" s="2" t="str">
        <f aca="false">IF(AB34="x","x",IF(AB34="-","-",""))</f>
        <v>-</v>
      </c>
      <c r="DI34" s="2" t="str">
        <f aca="false">IF(AC34="x","x",IF(AC34="-","-",""))</f>
        <v>-</v>
      </c>
      <c r="DJ34" s="2" t="str">
        <f aca="false">IF(AD34="x","x",IF(AD34="-","-",""))</f>
        <v>-</v>
      </c>
      <c r="DK34" s="2" t="str">
        <f aca="false">IF(AE34="x","x",IF(AE34="-","-",""))</f>
        <v>-</v>
      </c>
      <c r="DL34" s="2" t="str">
        <f aca="false">IF(AF34="x","x",IF(AF34="-","-",""))</f>
        <v>-</v>
      </c>
      <c r="DM34" s="2" t="s">
        <v>78</v>
      </c>
      <c r="DN34" s="2" t="s">
        <v>78</v>
      </c>
      <c r="DO34" s="2" t="s">
        <v>78</v>
      </c>
      <c r="DP34" s="2" t="s">
        <v>78</v>
      </c>
      <c r="EG34" s="11"/>
      <c r="EH34" s="11"/>
      <c r="EI34" s="11"/>
      <c r="EJ34" s="11"/>
      <c r="EK34" s="11"/>
      <c r="EL34" s="11"/>
      <c r="EM34" s="11"/>
      <c r="EN34" s="11"/>
    </row>
    <row r="35" customFormat="false" ht="13.8" hidden="false" customHeight="false" outlineLevel="0" collapsed="false">
      <c r="A35" s="11" t="s">
        <v>73</v>
      </c>
      <c r="B35" s="2" t="n">
        <v>34</v>
      </c>
      <c r="C35" s="12" t="s">
        <v>114</v>
      </c>
      <c r="D35" s="11" t="s">
        <v>105</v>
      </c>
      <c r="E35" s="11" t="s">
        <v>76</v>
      </c>
      <c r="F35" s="11" t="n">
        <v>34</v>
      </c>
      <c r="G35" s="11" t="s">
        <v>78</v>
      </c>
      <c r="H35" s="11" t="s">
        <v>78</v>
      </c>
      <c r="I35" s="11" t="s">
        <v>78</v>
      </c>
      <c r="J35" s="11" t="s">
        <v>77</v>
      </c>
      <c r="K35" s="11" t="n">
        <v>-30</v>
      </c>
      <c r="L35" s="11" t="s">
        <v>77</v>
      </c>
      <c r="M35" s="2" t="n">
        <v>680</v>
      </c>
      <c r="N35" s="11" t="s">
        <v>78</v>
      </c>
      <c r="O35" s="11"/>
      <c r="P35" s="11" t="s">
        <v>78</v>
      </c>
      <c r="Q35" s="11" t="s">
        <v>78</v>
      </c>
      <c r="R35" s="11" t="s">
        <v>78</v>
      </c>
      <c r="S35" s="11" t="s">
        <v>78</v>
      </c>
      <c r="T35" s="11" t="s">
        <v>78</v>
      </c>
      <c r="U35" s="11" t="s">
        <v>78</v>
      </c>
      <c r="V35" s="11" t="s">
        <v>78</v>
      </c>
      <c r="W35" s="11" t="s">
        <v>78</v>
      </c>
      <c r="X35" s="11"/>
      <c r="Y35" s="11" t="s">
        <v>78</v>
      </c>
      <c r="Z35" s="11" t="s">
        <v>78</v>
      </c>
      <c r="AA35" s="11" t="s">
        <v>78</v>
      </c>
      <c r="AB35" s="11" t="s">
        <v>78</v>
      </c>
      <c r="AC35" s="11" t="s">
        <v>78</v>
      </c>
      <c r="AD35" s="11" t="s">
        <v>78</v>
      </c>
      <c r="AE35" s="11" t="s">
        <v>78</v>
      </c>
      <c r="AF35" s="11" t="s">
        <v>78</v>
      </c>
      <c r="AH35" s="11" t="s">
        <v>73</v>
      </c>
      <c r="AI35" s="11" t="s">
        <v>73</v>
      </c>
      <c r="AK35" s="11"/>
      <c r="AL35" s="11"/>
      <c r="AM35" s="11" t="s">
        <v>79</v>
      </c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J35" s="11" t="s">
        <v>78</v>
      </c>
      <c r="BK35" s="11" t="s">
        <v>78</v>
      </c>
      <c r="BL35" s="11" t="s">
        <v>78</v>
      </c>
      <c r="BM35" s="11" t="s">
        <v>78</v>
      </c>
      <c r="BN35" s="11" t="s">
        <v>78</v>
      </c>
      <c r="BO35" s="11" t="s">
        <v>78</v>
      </c>
      <c r="BP35" s="11" t="s">
        <v>78</v>
      </c>
      <c r="BQ35" s="11" t="s">
        <v>78</v>
      </c>
      <c r="BS35" s="2" t="str">
        <f aca="false">IF(AK35="x","x",IF(AK35="-","-",""))</f>
        <v/>
      </c>
      <c r="BT35" s="2" t="str">
        <f aca="false">IF(AL35="x","x",IF(AL35="-","-",""))</f>
        <v/>
      </c>
      <c r="BU35" s="2" t="str">
        <f aca="false">IF(AM35="x","x",IF(AM35="-","-",""))</f>
        <v>x</v>
      </c>
      <c r="BV35" s="2" t="str">
        <f aca="false">IF(AN35="x","x",IF(AN35="-","-",""))</f>
        <v/>
      </c>
      <c r="BW35" s="2" t="str">
        <f aca="false">IF(AO35="x","x",IF(AO35="-","-",""))</f>
        <v/>
      </c>
      <c r="BX35" s="2" t="str">
        <f aca="false">IF(AP35="x","x",IF(AP35="-","-",""))</f>
        <v/>
      </c>
      <c r="BY35" s="2" t="str">
        <f aca="false">IF(AQ35="x","x",IF(AQ35="-","-",""))</f>
        <v/>
      </c>
      <c r="BZ35" s="2" t="str">
        <f aca="false">IF(AR35="x","x",IF(AR35="-","-",""))</f>
        <v/>
      </c>
      <c r="CA35" s="2" t="str">
        <f aca="false">IF(AS35="x","x",IF(AS35="-","-",""))</f>
        <v/>
      </c>
      <c r="CB35" s="2" t="str">
        <f aca="false">IF(AT35="x","x",IF(AT35="-","-",""))</f>
        <v/>
      </c>
      <c r="CC35" s="2" t="str">
        <f aca="false">IF(AU35="x","x",IF(AU35="-","-",""))</f>
        <v/>
      </c>
      <c r="CD35" s="2" t="str">
        <f aca="false">IF(AV35="x","x",IF(AV35="-","-",""))</f>
        <v/>
      </c>
      <c r="CE35" s="2" t="str">
        <f aca="false">IF(AW35="x","x",IF(AW35="-","-",""))</f>
        <v/>
      </c>
      <c r="CF35" s="2" t="str">
        <f aca="false">IF(AX35="x","x",IF(AX35="-","-",""))</f>
        <v/>
      </c>
      <c r="CG35" s="2" t="str">
        <f aca="false">IF(AY35="x","x",IF(AY35="-","-",""))</f>
        <v/>
      </c>
      <c r="CH35" s="2" t="str">
        <f aca="false">IF(AZ35="x","x",IF(AZ35="-","-",""))</f>
        <v/>
      </c>
      <c r="CI35" s="2" t="str">
        <f aca="false">IF(BA35="x","x",IF(BA35="-","-",""))</f>
        <v/>
      </c>
      <c r="CJ35" s="2" t="str">
        <f aca="false">IF(BB35="x","x",IF(BB35="-","-",""))</f>
        <v/>
      </c>
      <c r="CK35" s="2" t="str">
        <f aca="false">IF(BC35="x","x",IF(BC35="-","-",""))</f>
        <v/>
      </c>
      <c r="CL35" s="2" t="str">
        <f aca="false">IF(BD35="x","x",IF(BD35="-","-",""))</f>
        <v/>
      </c>
      <c r="CM35" s="2" t="str">
        <f aca="false">IF(BE35="x","x",IF(BE35="-","-",""))</f>
        <v/>
      </c>
      <c r="CN35" s="2" t="str">
        <f aca="false">IF(BF35="x","x",IF(BF35="-","-",""))</f>
        <v/>
      </c>
      <c r="CO35" s="2" t="str">
        <f aca="false">IF(BG35="x","x",IF(BG35="-","-",""))</f>
        <v/>
      </c>
      <c r="CP35" s="2" t="str">
        <f aca="false">IF(BH35="x","x",IF(BH35="-","-",""))</f>
        <v/>
      </c>
      <c r="CR35" s="2" t="str">
        <f aca="false">IF(P35="x","x",IF(P35="-","-",""))</f>
        <v>-</v>
      </c>
      <c r="CS35" s="2" t="str">
        <f aca="false">IF(Q35="x","x",IF(Q35="-","-",""))</f>
        <v>-</v>
      </c>
      <c r="CT35" s="2" t="str">
        <f aca="false">IF(R35="x","x",IF(R35="-","-",""))</f>
        <v>-</v>
      </c>
      <c r="CU35" s="2" t="str">
        <f aca="false">IF(S35="x","x",IF(S35="-","-",""))</f>
        <v>-</v>
      </c>
      <c r="CV35" s="2" t="str">
        <f aca="false">IF(T35="x","x",IF(T35="-","-",""))</f>
        <v>-</v>
      </c>
      <c r="CW35" s="2" t="str">
        <f aca="false">IF(U35="x","x",IF(U35="-","-",""))</f>
        <v>-</v>
      </c>
      <c r="CX35" s="2" t="str">
        <f aca="false">IF(V35="x","x",IF(V35="-","-",""))</f>
        <v>-</v>
      </c>
      <c r="CY35" s="2" t="str">
        <f aca="false">IF(W35="x","x",IF(W35="-","-",""))</f>
        <v>-</v>
      </c>
      <c r="CZ35" s="2" t="s">
        <v>78</v>
      </c>
      <c r="DA35" s="2" t="s">
        <v>78</v>
      </c>
      <c r="DB35" s="2" t="s">
        <v>78</v>
      </c>
      <c r="DC35" s="2" t="s">
        <v>78</v>
      </c>
      <c r="DE35" s="2" t="str">
        <f aca="false">IF(Y35="x","x",IF(Y35="-","-",""))</f>
        <v>-</v>
      </c>
      <c r="DF35" s="2" t="str">
        <f aca="false">IF(Z35="x","x",IF(Z35="-","-",""))</f>
        <v>-</v>
      </c>
      <c r="DG35" s="2" t="str">
        <f aca="false">IF(AA35="x","x",IF(AA35="-","-",""))</f>
        <v>-</v>
      </c>
      <c r="DH35" s="2" t="str">
        <f aca="false">IF(AB35="x","x",IF(AB35="-","-",""))</f>
        <v>-</v>
      </c>
      <c r="DI35" s="2" t="str">
        <f aca="false">IF(AC35="x","x",IF(AC35="-","-",""))</f>
        <v>-</v>
      </c>
      <c r="DJ35" s="2" t="str">
        <f aca="false">IF(AD35="x","x",IF(AD35="-","-",""))</f>
        <v>-</v>
      </c>
      <c r="DK35" s="2" t="str">
        <f aca="false">IF(AE35="x","x",IF(AE35="-","-",""))</f>
        <v>-</v>
      </c>
      <c r="DL35" s="2" t="str">
        <f aca="false">IF(AF35="x","x",IF(AF35="-","-",""))</f>
        <v>-</v>
      </c>
      <c r="DM35" s="2" t="s">
        <v>78</v>
      </c>
      <c r="DN35" s="2" t="s">
        <v>78</v>
      </c>
      <c r="DO35" s="2" t="s">
        <v>78</v>
      </c>
      <c r="DP35" s="2" t="s">
        <v>78</v>
      </c>
      <c r="EG35" s="11"/>
      <c r="EH35" s="11"/>
      <c r="EI35" s="11"/>
      <c r="EJ35" s="11"/>
      <c r="EK35" s="11"/>
      <c r="EL35" s="11"/>
      <c r="EM35" s="11"/>
      <c r="EN35" s="11"/>
    </row>
    <row r="36" customFormat="false" ht="13.8" hidden="false" customHeight="false" outlineLevel="0" collapsed="false">
      <c r="A36" s="11" t="s">
        <v>73</v>
      </c>
      <c r="B36" s="2" t="n">
        <v>35</v>
      </c>
      <c r="C36" s="12" t="s">
        <v>115</v>
      </c>
      <c r="D36" s="11" t="s">
        <v>105</v>
      </c>
      <c r="E36" s="11" t="s">
        <v>76</v>
      </c>
      <c r="F36" s="11" t="n">
        <v>35</v>
      </c>
      <c r="G36" s="11" t="s">
        <v>78</v>
      </c>
      <c r="H36" s="11" t="s">
        <v>78</v>
      </c>
      <c r="I36" s="11" t="s">
        <v>78</v>
      </c>
      <c r="J36" s="11" t="s">
        <v>73</v>
      </c>
      <c r="K36" s="11" t="n">
        <v>-35</v>
      </c>
      <c r="L36" s="11" t="s">
        <v>73</v>
      </c>
      <c r="M36" s="2" t="n">
        <v>700</v>
      </c>
      <c r="N36" s="11" t="s">
        <v>78</v>
      </c>
      <c r="O36" s="11"/>
      <c r="P36" s="11" t="s">
        <v>78</v>
      </c>
      <c r="Q36" s="11" t="s">
        <v>78</v>
      </c>
      <c r="R36" s="11" t="s">
        <v>78</v>
      </c>
      <c r="S36" s="11" t="s">
        <v>78</v>
      </c>
      <c r="T36" s="11" t="s">
        <v>78</v>
      </c>
      <c r="U36" s="11" t="s">
        <v>78</v>
      </c>
      <c r="V36" s="11" t="s">
        <v>78</v>
      </c>
      <c r="W36" s="11" t="s">
        <v>78</v>
      </c>
      <c r="X36" s="11"/>
      <c r="Y36" s="11" t="s">
        <v>78</v>
      </c>
      <c r="Z36" s="11" t="s">
        <v>78</v>
      </c>
      <c r="AA36" s="11" t="s">
        <v>78</v>
      </c>
      <c r="AB36" s="11" t="s">
        <v>78</v>
      </c>
      <c r="AC36" s="11" t="s">
        <v>78</v>
      </c>
      <c r="AD36" s="11" t="s">
        <v>78</v>
      </c>
      <c r="AE36" s="11" t="s">
        <v>78</v>
      </c>
      <c r="AF36" s="11" t="s">
        <v>78</v>
      </c>
      <c r="AH36" s="11" t="s">
        <v>73</v>
      </c>
      <c r="AI36" s="11" t="s">
        <v>73</v>
      </c>
      <c r="AK36" s="11"/>
      <c r="AL36" s="11"/>
      <c r="AM36" s="11" t="s">
        <v>79</v>
      </c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J36" s="11" t="s">
        <v>78</v>
      </c>
      <c r="BK36" s="11" t="s">
        <v>78</v>
      </c>
      <c r="BL36" s="11" t="s">
        <v>78</v>
      </c>
      <c r="BM36" s="11" t="s">
        <v>78</v>
      </c>
      <c r="BN36" s="11" t="s">
        <v>78</v>
      </c>
      <c r="BO36" s="11" t="s">
        <v>78</v>
      </c>
      <c r="BP36" s="11" t="s">
        <v>78</v>
      </c>
      <c r="BQ36" s="11" t="s">
        <v>78</v>
      </c>
      <c r="BS36" s="2" t="str">
        <f aca="false">IF(AK36="x","x",IF(AK36="-","-",""))</f>
        <v/>
      </c>
      <c r="BT36" s="2" t="str">
        <f aca="false">IF(AL36="x","x",IF(AL36="-","-",""))</f>
        <v/>
      </c>
      <c r="BU36" s="2" t="str">
        <f aca="false">IF(AM36="x","x",IF(AM36="-","-",""))</f>
        <v>x</v>
      </c>
      <c r="BV36" s="2" t="str">
        <f aca="false">IF(AN36="x","x",IF(AN36="-","-",""))</f>
        <v/>
      </c>
      <c r="BW36" s="2" t="str">
        <f aca="false">IF(AO36="x","x",IF(AO36="-","-",""))</f>
        <v/>
      </c>
      <c r="BX36" s="2" t="str">
        <f aca="false">IF(AP36="x","x",IF(AP36="-","-",""))</f>
        <v/>
      </c>
      <c r="BY36" s="2" t="str">
        <f aca="false">IF(AQ36="x","x",IF(AQ36="-","-",""))</f>
        <v/>
      </c>
      <c r="BZ36" s="2" t="str">
        <f aca="false">IF(AR36="x","x",IF(AR36="-","-",""))</f>
        <v/>
      </c>
      <c r="CA36" s="2" t="str">
        <f aca="false">IF(AS36="x","x",IF(AS36="-","-",""))</f>
        <v/>
      </c>
      <c r="CB36" s="2" t="str">
        <f aca="false">IF(AT36="x","x",IF(AT36="-","-",""))</f>
        <v/>
      </c>
      <c r="CC36" s="2" t="str">
        <f aca="false">IF(AU36="x","x",IF(AU36="-","-",""))</f>
        <v/>
      </c>
      <c r="CD36" s="2" t="str">
        <f aca="false">IF(AV36="x","x",IF(AV36="-","-",""))</f>
        <v/>
      </c>
      <c r="CE36" s="2" t="str">
        <f aca="false">IF(AW36="x","x",IF(AW36="-","-",""))</f>
        <v/>
      </c>
      <c r="CF36" s="2" t="str">
        <f aca="false">IF(AX36="x","x",IF(AX36="-","-",""))</f>
        <v/>
      </c>
      <c r="CG36" s="2" t="str">
        <f aca="false">IF(AY36="x","x",IF(AY36="-","-",""))</f>
        <v/>
      </c>
      <c r="CH36" s="2" t="str">
        <f aca="false">IF(AZ36="x","x",IF(AZ36="-","-",""))</f>
        <v/>
      </c>
      <c r="CI36" s="2" t="str">
        <f aca="false">IF(BA36="x","x",IF(BA36="-","-",""))</f>
        <v/>
      </c>
      <c r="CJ36" s="2" t="str">
        <f aca="false">IF(BB36="x","x",IF(BB36="-","-",""))</f>
        <v/>
      </c>
      <c r="CK36" s="2" t="str">
        <f aca="false">IF(BC36="x","x",IF(BC36="-","-",""))</f>
        <v/>
      </c>
      <c r="CL36" s="2" t="str">
        <f aca="false">IF(BD36="x","x",IF(BD36="-","-",""))</f>
        <v/>
      </c>
      <c r="CM36" s="2" t="str">
        <f aca="false">IF(BE36="x","x",IF(BE36="-","-",""))</f>
        <v/>
      </c>
      <c r="CN36" s="2" t="str">
        <f aca="false">IF(BF36="x","x",IF(BF36="-","-",""))</f>
        <v/>
      </c>
      <c r="CO36" s="2" t="str">
        <f aca="false">IF(BG36="x","x",IF(BG36="-","-",""))</f>
        <v/>
      </c>
      <c r="CP36" s="2" t="str">
        <f aca="false">IF(BH36="x","x",IF(BH36="-","-",""))</f>
        <v/>
      </c>
      <c r="CR36" s="2" t="str">
        <f aca="false">IF(P36="x","x",IF(P36="-","-",""))</f>
        <v>-</v>
      </c>
      <c r="CS36" s="2" t="str">
        <f aca="false">IF(Q36="x","x",IF(Q36="-","-",""))</f>
        <v>-</v>
      </c>
      <c r="CT36" s="2" t="str">
        <f aca="false">IF(R36="x","x",IF(R36="-","-",""))</f>
        <v>-</v>
      </c>
      <c r="CU36" s="2" t="str">
        <f aca="false">IF(S36="x","x",IF(S36="-","-",""))</f>
        <v>-</v>
      </c>
      <c r="CV36" s="2" t="str">
        <f aca="false">IF(T36="x","x",IF(T36="-","-",""))</f>
        <v>-</v>
      </c>
      <c r="CW36" s="2" t="str">
        <f aca="false">IF(U36="x","x",IF(U36="-","-",""))</f>
        <v>-</v>
      </c>
      <c r="CX36" s="2" t="str">
        <f aca="false">IF(V36="x","x",IF(V36="-","-",""))</f>
        <v>-</v>
      </c>
      <c r="CY36" s="2" t="str">
        <f aca="false">IF(W36="x","x",IF(W36="-","-",""))</f>
        <v>-</v>
      </c>
      <c r="CZ36" s="2" t="s">
        <v>78</v>
      </c>
      <c r="DA36" s="2" t="s">
        <v>78</v>
      </c>
      <c r="DB36" s="2" t="s">
        <v>78</v>
      </c>
      <c r="DC36" s="2" t="s">
        <v>78</v>
      </c>
      <c r="DE36" s="2" t="str">
        <f aca="false">IF(Y36="x","x",IF(Y36="-","-",""))</f>
        <v>-</v>
      </c>
      <c r="DF36" s="2" t="str">
        <f aca="false">IF(Z36="x","x",IF(Z36="-","-",""))</f>
        <v>-</v>
      </c>
      <c r="DG36" s="2" t="str">
        <f aca="false">IF(AA36="x","x",IF(AA36="-","-",""))</f>
        <v>-</v>
      </c>
      <c r="DH36" s="2" t="str">
        <f aca="false">IF(AB36="x","x",IF(AB36="-","-",""))</f>
        <v>-</v>
      </c>
      <c r="DI36" s="2" t="str">
        <f aca="false">IF(AC36="x","x",IF(AC36="-","-",""))</f>
        <v>-</v>
      </c>
      <c r="DJ36" s="2" t="str">
        <f aca="false">IF(AD36="x","x",IF(AD36="-","-",""))</f>
        <v>-</v>
      </c>
      <c r="DK36" s="2" t="str">
        <f aca="false">IF(AE36="x","x",IF(AE36="-","-",""))</f>
        <v>-</v>
      </c>
      <c r="DL36" s="2" t="str">
        <f aca="false">IF(AF36="x","x",IF(AF36="-","-",""))</f>
        <v>-</v>
      </c>
      <c r="DM36" s="2" t="s">
        <v>78</v>
      </c>
      <c r="DN36" s="2" t="s">
        <v>78</v>
      </c>
      <c r="DO36" s="2" t="s">
        <v>78</v>
      </c>
      <c r="DP36" s="2" t="s">
        <v>78</v>
      </c>
      <c r="EG36" s="11"/>
      <c r="EH36" s="11"/>
      <c r="EI36" s="11"/>
      <c r="EJ36" s="11"/>
      <c r="EK36" s="11"/>
      <c r="EL36" s="11"/>
      <c r="EM36" s="11"/>
      <c r="EN36" s="11"/>
    </row>
    <row r="37" customFormat="false" ht="13.8" hidden="false" customHeight="false" outlineLevel="0" collapsed="false">
      <c r="A37" s="11" t="s">
        <v>73</v>
      </c>
      <c r="B37" s="2" t="n">
        <v>36</v>
      </c>
      <c r="C37" s="12" t="s">
        <v>116</v>
      </c>
      <c r="D37" s="11" t="s">
        <v>105</v>
      </c>
      <c r="E37" s="11" t="s">
        <v>76</v>
      </c>
      <c r="F37" s="11" t="n">
        <v>36</v>
      </c>
      <c r="G37" s="11" t="s">
        <v>78</v>
      </c>
      <c r="H37" s="11" t="s">
        <v>78</v>
      </c>
      <c r="I37" s="11" t="s">
        <v>78</v>
      </c>
      <c r="J37" s="11" t="s">
        <v>77</v>
      </c>
      <c r="K37" s="11" t="n">
        <v>-40</v>
      </c>
      <c r="L37" s="11" t="s">
        <v>77</v>
      </c>
      <c r="M37" s="2" t="n">
        <v>720</v>
      </c>
      <c r="N37" s="11" t="s">
        <v>78</v>
      </c>
      <c r="O37" s="11"/>
      <c r="P37" s="11" t="s">
        <v>78</v>
      </c>
      <c r="Q37" s="11" t="s">
        <v>78</v>
      </c>
      <c r="R37" s="11" t="s">
        <v>78</v>
      </c>
      <c r="S37" s="11" t="s">
        <v>78</v>
      </c>
      <c r="T37" s="11" t="s">
        <v>78</v>
      </c>
      <c r="U37" s="11" t="s">
        <v>78</v>
      </c>
      <c r="V37" s="11" t="s">
        <v>78</v>
      </c>
      <c r="W37" s="11" t="s">
        <v>78</v>
      </c>
      <c r="X37" s="11"/>
      <c r="Y37" s="11" t="s">
        <v>78</v>
      </c>
      <c r="Z37" s="11" t="s">
        <v>78</v>
      </c>
      <c r="AA37" s="11" t="s">
        <v>78</v>
      </c>
      <c r="AB37" s="11" t="s">
        <v>78</v>
      </c>
      <c r="AC37" s="11" t="s">
        <v>78</v>
      </c>
      <c r="AD37" s="11" t="s">
        <v>78</v>
      </c>
      <c r="AE37" s="11" t="s">
        <v>78</v>
      </c>
      <c r="AF37" s="11" t="s">
        <v>78</v>
      </c>
      <c r="AH37" s="11" t="s">
        <v>73</v>
      </c>
      <c r="AI37" s="11" t="s">
        <v>73</v>
      </c>
      <c r="AK37" s="11"/>
      <c r="AL37" s="11"/>
      <c r="AM37" s="11" t="s">
        <v>79</v>
      </c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J37" s="11" t="s">
        <v>78</v>
      </c>
      <c r="BK37" s="11" t="s">
        <v>78</v>
      </c>
      <c r="BL37" s="11" t="s">
        <v>78</v>
      </c>
      <c r="BM37" s="11" t="s">
        <v>78</v>
      </c>
      <c r="BN37" s="11" t="s">
        <v>78</v>
      </c>
      <c r="BO37" s="11" t="s">
        <v>78</v>
      </c>
      <c r="BP37" s="11" t="s">
        <v>78</v>
      </c>
      <c r="BQ37" s="11" t="s">
        <v>78</v>
      </c>
      <c r="BS37" s="2" t="str">
        <f aca="false">IF(AK37="x","x",IF(AK37="-","-",""))</f>
        <v/>
      </c>
      <c r="BT37" s="2" t="str">
        <f aca="false">IF(AL37="x","x",IF(AL37="-","-",""))</f>
        <v/>
      </c>
      <c r="BU37" s="2" t="str">
        <f aca="false">IF(AM37="x","x",IF(AM37="-","-",""))</f>
        <v>x</v>
      </c>
      <c r="BV37" s="2" t="str">
        <f aca="false">IF(AN37="x","x",IF(AN37="-","-",""))</f>
        <v/>
      </c>
      <c r="BW37" s="2" t="str">
        <f aca="false">IF(AO37="x","x",IF(AO37="-","-",""))</f>
        <v/>
      </c>
      <c r="BX37" s="2" t="str">
        <f aca="false">IF(AP37="x","x",IF(AP37="-","-",""))</f>
        <v/>
      </c>
      <c r="BY37" s="2" t="str">
        <f aca="false">IF(AQ37="x","x",IF(AQ37="-","-",""))</f>
        <v/>
      </c>
      <c r="BZ37" s="2" t="str">
        <f aca="false">IF(AR37="x","x",IF(AR37="-","-",""))</f>
        <v/>
      </c>
      <c r="CA37" s="2" t="str">
        <f aca="false">IF(AS37="x","x",IF(AS37="-","-",""))</f>
        <v/>
      </c>
      <c r="CB37" s="2" t="str">
        <f aca="false">IF(AT37="x","x",IF(AT37="-","-",""))</f>
        <v/>
      </c>
      <c r="CC37" s="2" t="str">
        <f aca="false">IF(AU37="x","x",IF(AU37="-","-",""))</f>
        <v/>
      </c>
      <c r="CD37" s="2" t="str">
        <f aca="false">IF(AV37="x","x",IF(AV37="-","-",""))</f>
        <v/>
      </c>
      <c r="CE37" s="2" t="str">
        <f aca="false">IF(AW37="x","x",IF(AW37="-","-",""))</f>
        <v/>
      </c>
      <c r="CF37" s="2" t="str">
        <f aca="false">IF(AX37="x","x",IF(AX37="-","-",""))</f>
        <v/>
      </c>
      <c r="CG37" s="2" t="str">
        <f aca="false">IF(AY37="x","x",IF(AY37="-","-",""))</f>
        <v/>
      </c>
      <c r="CH37" s="2" t="str">
        <f aca="false">IF(AZ37="x","x",IF(AZ37="-","-",""))</f>
        <v/>
      </c>
      <c r="CI37" s="2" t="str">
        <f aca="false">IF(BA37="x","x",IF(BA37="-","-",""))</f>
        <v/>
      </c>
      <c r="CJ37" s="2" t="str">
        <f aca="false">IF(BB37="x","x",IF(BB37="-","-",""))</f>
        <v/>
      </c>
      <c r="CK37" s="2" t="str">
        <f aca="false">IF(BC37="x","x",IF(BC37="-","-",""))</f>
        <v/>
      </c>
      <c r="CL37" s="2" t="str">
        <f aca="false">IF(BD37="x","x",IF(BD37="-","-",""))</f>
        <v/>
      </c>
      <c r="CM37" s="2" t="str">
        <f aca="false">IF(BE37="x","x",IF(BE37="-","-",""))</f>
        <v/>
      </c>
      <c r="CN37" s="2" t="str">
        <f aca="false">IF(BF37="x","x",IF(BF37="-","-",""))</f>
        <v/>
      </c>
      <c r="CO37" s="2" t="str">
        <f aca="false">IF(BG37="x","x",IF(BG37="-","-",""))</f>
        <v/>
      </c>
      <c r="CP37" s="2" t="str">
        <f aca="false">IF(BH37="x","x",IF(BH37="-","-",""))</f>
        <v/>
      </c>
      <c r="CR37" s="2" t="str">
        <f aca="false">IF(P37="x","x",IF(P37="-","-",""))</f>
        <v>-</v>
      </c>
      <c r="CS37" s="2" t="str">
        <f aca="false">IF(Q37="x","x",IF(Q37="-","-",""))</f>
        <v>-</v>
      </c>
      <c r="CT37" s="2" t="str">
        <f aca="false">IF(R37="x","x",IF(R37="-","-",""))</f>
        <v>-</v>
      </c>
      <c r="CU37" s="2" t="str">
        <f aca="false">IF(S37="x","x",IF(S37="-","-",""))</f>
        <v>-</v>
      </c>
      <c r="CV37" s="2" t="str">
        <f aca="false">IF(T37="x","x",IF(T37="-","-",""))</f>
        <v>-</v>
      </c>
      <c r="CW37" s="2" t="str">
        <f aca="false">IF(U37="x","x",IF(U37="-","-",""))</f>
        <v>-</v>
      </c>
      <c r="CX37" s="2" t="str">
        <f aca="false">IF(V37="x","x",IF(V37="-","-",""))</f>
        <v>-</v>
      </c>
      <c r="CY37" s="2" t="str">
        <f aca="false">IF(W37="x","x",IF(W37="-","-",""))</f>
        <v>-</v>
      </c>
      <c r="CZ37" s="2" t="s">
        <v>78</v>
      </c>
      <c r="DA37" s="2" t="s">
        <v>78</v>
      </c>
      <c r="DB37" s="2" t="s">
        <v>78</v>
      </c>
      <c r="DC37" s="2" t="s">
        <v>78</v>
      </c>
      <c r="DE37" s="2" t="str">
        <f aca="false">IF(Y37="x","x",IF(Y37="-","-",""))</f>
        <v>-</v>
      </c>
      <c r="DF37" s="2" t="str">
        <f aca="false">IF(Z37="x","x",IF(Z37="-","-",""))</f>
        <v>-</v>
      </c>
      <c r="DG37" s="2" t="str">
        <f aca="false">IF(AA37="x","x",IF(AA37="-","-",""))</f>
        <v>-</v>
      </c>
      <c r="DH37" s="2" t="str">
        <f aca="false">IF(AB37="x","x",IF(AB37="-","-",""))</f>
        <v>-</v>
      </c>
      <c r="DI37" s="2" t="str">
        <f aca="false">IF(AC37="x","x",IF(AC37="-","-",""))</f>
        <v>-</v>
      </c>
      <c r="DJ37" s="2" t="str">
        <f aca="false">IF(AD37="x","x",IF(AD37="-","-",""))</f>
        <v>-</v>
      </c>
      <c r="DK37" s="2" t="str">
        <f aca="false">IF(AE37="x","x",IF(AE37="-","-",""))</f>
        <v>-</v>
      </c>
      <c r="DL37" s="2" t="str">
        <f aca="false">IF(AF37="x","x",IF(AF37="-","-",""))</f>
        <v>-</v>
      </c>
      <c r="DM37" s="2" t="s">
        <v>78</v>
      </c>
      <c r="DN37" s="2" t="s">
        <v>78</v>
      </c>
      <c r="DO37" s="2" t="s">
        <v>78</v>
      </c>
      <c r="DP37" s="2" t="s">
        <v>78</v>
      </c>
      <c r="EG37" s="11"/>
      <c r="EH37" s="11"/>
      <c r="EI37" s="11"/>
      <c r="EJ37" s="11"/>
      <c r="EK37" s="11"/>
      <c r="EL37" s="11"/>
      <c r="EM37" s="11"/>
      <c r="EN37" s="11"/>
    </row>
    <row r="38" customFormat="false" ht="13.8" hidden="false" customHeight="false" outlineLevel="0" collapsed="false">
      <c r="A38" s="11" t="s">
        <v>73</v>
      </c>
      <c r="B38" s="2" t="n">
        <v>37</v>
      </c>
      <c r="C38" s="12" t="s">
        <v>117</v>
      </c>
      <c r="D38" s="11" t="s">
        <v>118</v>
      </c>
      <c r="E38" s="11" t="s">
        <v>76</v>
      </c>
      <c r="F38" s="11" t="n">
        <v>37</v>
      </c>
      <c r="G38" s="11" t="s">
        <v>78</v>
      </c>
      <c r="H38" s="11" t="s">
        <v>78</v>
      </c>
      <c r="I38" s="11" t="s">
        <v>78</v>
      </c>
      <c r="J38" s="11" t="s">
        <v>73</v>
      </c>
      <c r="K38" s="11" t="n">
        <v>-45</v>
      </c>
      <c r="L38" s="11" t="s">
        <v>73</v>
      </c>
      <c r="M38" s="2" t="n">
        <v>740</v>
      </c>
      <c r="N38" s="11"/>
      <c r="O38" s="11"/>
      <c r="P38" s="11" t="s">
        <v>78</v>
      </c>
      <c r="Q38" s="11" t="s">
        <v>78</v>
      </c>
      <c r="R38" s="11" t="s">
        <v>78</v>
      </c>
      <c r="S38" s="11" t="s">
        <v>78</v>
      </c>
      <c r="T38" s="11" t="s">
        <v>78</v>
      </c>
      <c r="U38" s="11" t="s">
        <v>78</v>
      </c>
      <c r="V38" s="11" t="s">
        <v>78</v>
      </c>
      <c r="W38" s="11" t="s">
        <v>78</v>
      </c>
      <c r="X38" s="11"/>
      <c r="Y38" s="11" t="s">
        <v>78</v>
      </c>
      <c r="Z38" s="11" t="s">
        <v>78</v>
      </c>
      <c r="AA38" s="11" t="s">
        <v>78</v>
      </c>
      <c r="AB38" s="11" t="s">
        <v>78</v>
      </c>
      <c r="AC38" s="11" t="s">
        <v>78</v>
      </c>
      <c r="AD38" s="11" t="s">
        <v>78</v>
      </c>
      <c r="AE38" s="11" t="s">
        <v>78</v>
      </c>
      <c r="AF38" s="11" t="s">
        <v>78</v>
      </c>
      <c r="AH38" s="11" t="s">
        <v>73</v>
      </c>
      <c r="AI38" s="11" t="s">
        <v>73</v>
      </c>
      <c r="AK38" s="11"/>
      <c r="AL38" s="11"/>
      <c r="AM38" s="11"/>
      <c r="AN38" s="11" t="s">
        <v>79</v>
      </c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J38" s="11" t="s">
        <v>78</v>
      </c>
      <c r="BK38" s="11" t="s">
        <v>78</v>
      </c>
      <c r="BL38" s="11" t="s">
        <v>78</v>
      </c>
      <c r="BM38" s="11" t="s">
        <v>78</v>
      </c>
      <c r="BN38" s="11" t="s">
        <v>78</v>
      </c>
      <c r="BO38" s="11" t="s">
        <v>78</v>
      </c>
      <c r="BP38" s="11" t="s">
        <v>78</v>
      </c>
      <c r="BQ38" s="11" t="s">
        <v>78</v>
      </c>
      <c r="BS38" s="2" t="str">
        <f aca="false">IF(AK38="x","x",IF(AK38="-","-",""))</f>
        <v/>
      </c>
      <c r="BT38" s="2" t="str">
        <f aca="false">IF(AL38="x","x",IF(AL38="-","-",""))</f>
        <v/>
      </c>
      <c r="BU38" s="2" t="str">
        <f aca="false">IF(AM38="x","x",IF(AM38="-","-",""))</f>
        <v/>
      </c>
      <c r="BV38" s="2" t="str">
        <f aca="false">IF(AN38="x","x",IF(AN38="-","-",""))</f>
        <v>x</v>
      </c>
      <c r="BW38" s="2" t="str">
        <f aca="false">IF(AO38="x","x",IF(AO38="-","-",""))</f>
        <v/>
      </c>
      <c r="BX38" s="2" t="str">
        <f aca="false">IF(AP38="x","x",IF(AP38="-","-",""))</f>
        <v/>
      </c>
      <c r="BY38" s="2" t="str">
        <f aca="false">IF(AQ38="x","x",IF(AQ38="-","-",""))</f>
        <v/>
      </c>
      <c r="BZ38" s="2" t="str">
        <f aca="false">IF(AR38="x","x",IF(AR38="-","-",""))</f>
        <v/>
      </c>
      <c r="CA38" s="2" t="str">
        <f aca="false">IF(AS38="x","x",IF(AS38="-","-",""))</f>
        <v/>
      </c>
      <c r="CB38" s="2" t="str">
        <f aca="false">IF(AT38="x","x",IF(AT38="-","-",""))</f>
        <v/>
      </c>
      <c r="CC38" s="2" t="str">
        <f aca="false">IF(AU38="x","x",IF(AU38="-","-",""))</f>
        <v/>
      </c>
      <c r="CD38" s="2" t="str">
        <f aca="false">IF(AV38="x","x",IF(AV38="-","-",""))</f>
        <v/>
      </c>
      <c r="CE38" s="2" t="str">
        <f aca="false">IF(AW38="x","x",IF(AW38="-","-",""))</f>
        <v/>
      </c>
      <c r="CF38" s="2" t="str">
        <f aca="false">IF(AX38="x","x",IF(AX38="-","-",""))</f>
        <v/>
      </c>
      <c r="CG38" s="2" t="str">
        <f aca="false">IF(AY38="x","x",IF(AY38="-","-",""))</f>
        <v/>
      </c>
      <c r="CH38" s="2" t="str">
        <f aca="false">IF(AZ38="x","x",IF(AZ38="-","-",""))</f>
        <v/>
      </c>
      <c r="CI38" s="2" t="str">
        <f aca="false">IF(BA38="x","x",IF(BA38="-","-",""))</f>
        <v/>
      </c>
      <c r="CJ38" s="2" t="str">
        <f aca="false">IF(BB38="x","x",IF(BB38="-","-",""))</f>
        <v/>
      </c>
      <c r="CK38" s="2" t="str">
        <f aca="false">IF(BC38="x","x",IF(BC38="-","-",""))</f>
        <v/>
      </c>
      <c r="CL38" s="2" t="str">
        <f aca="false">IF(BD38="x","x",IF(BD38="-","-",""))</f>
        <v/>
      </c>
      <c r="CM38" s="2" t="str">
        <f aca="false">IF(BE38="x","x",IF(BE38="-","-",""))</f>
        <v/>
      </c>
      <c r="CN38" s="2" t="str">
        <f aca="false">IF(BF38="x","x",IF(BF38="-","-",""))</f>
        <v/>
      </c>
      <c r="CO38" s="2" t="str">
        <f aca="false">IF(BG38="x","x",IF(BG38="-","-",""))</f>
        <v/>
      </c>
      <c r="CP38" s="2" t="str">
        <f aca="false">IF(BH38="x","x",IF(BH38="-","-",""))</f>
        <v/>
      </c>
      <c r="CR38" s="2" t="str">
        <f aca="false">IF(P38="x","x",IF(P38="-","-",""))</f>
        <v>-</v>
      </c>
      <c r="CS38" s="2" t="str">
        <f aca="false">IF(Q38="x","x",IF(Q38="-","-",""))</f>
        <v>-</v>
      </c>
      <c r="CT38" s="2" t="str">
        <f aca="false">IF(R38="x","x",IF(R38="-","-",""))</f>
        <v>-</v>
      </c>
      <c r="CU38" s="2" t="str">
        <f aca="false">IF(S38="x","x",IF(S38="-","-",""))</f>
        <v>-</v>
      </c>
      <c r="CV38" s="2" t="str">
        <f aca="false">IF(T38="x","x",IF(T38="-","-",""))</f>
        <v>-</v>
      </c>
      <c r="CW38" s="2" t="str">
        <f aca="false">IF(U38="x","x",IF(U38="-","-",""))</f>
        <v>-</v>
      </c>
      <c r="CX38" s="2" t="str">
        <f aca="false">IF(V38="x","x",IF(V38="-","-",""))</f>
        <v>-</v>
      </c>
      <c r="CY38" s="2" t="str">
        <f aca="false">IF(W38="x","x",IF(W38="-","-",""))</f>
        <v>-</v>
      </c>
      <c r="CZ38" s="2" t="s">
        <v>78</v>
      </c>
      <c r="DA38" s="2" t="s">
        <v>78</v>
      </c>
      <c r="DB38" s="2" t="s">
        <v>78</v>
      </c>
      <c r="DC38" s="2" t="s">
        <v>78</v>
      </c>
      <c r="DE38" s="2" t="str">
        <f aca="false">IF(Y38="x","x",IF(Y38="-","-",""))</f>
        <v>-</v>
      </c>
      <c r="DF38" s="2" t="str">
        <f aca="false">IF(Z38="x","x",IF(Z38="-","-",""))</f>
        <v>-</v>
      </c>
      <c r="DG38" s="2" t="str">
        <f aca="false">IF(AA38="x","x",IF(AA38="-","-",""))</f>
        <v>-</v>
      </c>
      <c r="DH38" s="2" t="str">
        <f aca="false">IF(AB38="x","x",IF(AB38="-","-",""))</f>
        <v>-</v>
      </c>
      <c r="DI38" s="2" t="str">
        <f aca="false">IF(AC38="x","x",IF(AC38="-","-",""))</f>
        <v>-</v>
      </c>
      <c r="DJ38" s="2" t="str">
        <f aca="false">IF(AD38="x","x",IF(AD38="-","-",""))</f>
        <v>-</v>
      </c>
      <c r="DK38" s="2" t="str">
        <f aca="false">IF(AE38="x","x",IF(AE38="-","-",""))</f>
        <v>-</v>
      </c>
      <c r="DL38" s="2" t="str">
        <f aca="false">IF(AF38="x","x",IF(AF38="-","-",""))</f>
        <v>-</v>
      </c>
      <c r="DM38" s="2" t="s">
        <v>78</v>
      </c>
      <c r="DN38" s="2" t="s">
        <v>78</v>
      </c>
      <c r="DO38" s="2" t="s">
        <v>78</v>
      </c>
      <c r="DP38" s="2" t="s">
        <v>78</v>
      </c>
      <c r="EG38" s="11"/>
      <c r="EH38" s="11"/>
      <c r="EI38" s="11"/>
      <c r="EJ38" s="11"/>
      <c r="EK38" s="11"/>
      <c r="EL38" s="11"/>
      <c r="EM38" s="11"/>
      <c r="EN38" s="11"/>
    </row>
    <row r="39" customFormat="false" ht="13.8" hidden="false" customHeight="false" outlineLevel="0" collapsed="false">
      <c r="A39" s="11" t="s">
        <v>73</v>
      </c>
      <c r="B39" s="2" t="n">
        <v>38</v>
      </c>
      <c r="C39" s="12" t="s">
        <v>119</v>
      </c>
      <c r="D39" s="11" t="s">
        <v>118</v>
      </c>
      <c r="E39" s="11" t="s">
        <v>76</v>
      </c>
      <c r="F39" s="11" t="n">
        <v>38</v>
      </c>
      <c r="G39" s="11" t="s">
        <v>78</v>
      </c>
      <c r="H39" s="11" t="s">
        <v>78</v>
      </c>
      <c r="I39" s="11" t="s">
        <v>78</v>
      </c>
      <c r="J39" s="11" t="s">
        <v>77</v>
      </c>
      <c r="K39" s="11" t="n">
        <v>-99</v>
      </c>
      <c r="L39" s="11" t="s">
        <v>77</v>
      </c>
      <c r="M39" s="2" t="n">
        <v>760</v>
      </c>
      <c r="N39" s="11"/>
      <c r="O39" s="11"/>
      <c r="P39" s="11" t="s">
        <v>78</v>
      </c>
      <c r="Q39" s="11" t="s">
        <v>78</v>
      </c>
      <c r="R39" s="11" t="s">
        <v>78</v>
      </c>
      <c r="S39" s="11" t="s">
        <v>78</v>
      </c>
      <c r="T39" s="11" t="s">
        <v>78</v>
      </c>
      <c r="U39" s="11" t="s">
        <v>78</v>
      </c>
      <c r="V39" s="11" t="s">
        <v>78</v>
      </c>
      <c r="W39" s="11" t="s">
        <v>78</v>
      </c>
      <c r="X39" s="11"/>
      <c r="Y39" s="11" t="s">
        <v>78</v>
      </c>
      <c r="Z39" s="11" t="s">
        <v>78</v>
      </c>
      <c r="AA39" s="11" t="s">
        <v>78</v>
      </c>
      <c r="AB39" s="11" t="s">
        <v>78</v>
      </c>
      <c r="AC39" s="11" t="s">
        <v>78</v>
      </c>
      <c r="AD39" s="11" t="s">
        <v>78</v>
      </c>
      <c r="AE39" s="11" t="s">
        <v>78</v>
      </c>
      <c r="AF39" s="11" t="s">
        <v>78</v>
      </c>
      <c r="AH39" s="11" t="s">
        <v>73</v>
      </c>
      <c r="AI39" s="11" t="s">
        <v>73</v>
      </c>
      <c r="AK39" s="11"/>
      <c r="AL39" s="11"/>
      <c r="AM39" s="11"/>
      <c r="AN39" s="11" t="s">
        <v>79</v>
      </c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J39" s="11" t="s">
        <v>78</v>
      </c>
      <c r="BK39" s="11" t="s">
        <v>78</v>
      </c>
      <c r="BL39" s="11" t="s">
        <v>78</v>
      </c>
      <c r="BM39" s="11" t="s">
        <v>78</v>
      </c>
      <c r="BN39" s="11" t="s">
        <v>78</v>
      </c>
      <c r="BO39" s="11" t="s">
        <v>78</v>
      </c>
      <c r="BP39" s="11" t="s">
        <v>78</v>
      </c>
      <c r="BQ39" s="11" t="s">
        <v>78</v>
      </c>
      <c r="BS39" s="2" t="str">
        <f aca="false">IF(AK39="x","x",IF(AK39="-","-",""))</f>
        <v/>
      </c>
      <c r="BT39" s="2" t="str">
        <f aca="false">IF(AL39="x","x",IF(AL39="-","-",""))</f>
        <v/>
      </c>
      <c r="BU39" s="2" t="str">
        <f aca="false">IF(AM39="x","x",IF(AM39="-","-",""))</f>
        <v/>
      </c>
      <c r="BV39" s="2" t="str">
        <f aca="false">IF(AN39="x","x",IF(AN39="-","-",""))</f>
        <v>x</v>
      </c>
      <c r="BW39" s="2" t="str">
        <f aca="false">IF(AO39="x","x",IF(AO39="-","-",""))</f>
        <v/>
      </c>
      <c r="BX39" s="2" t="str">
        <f aca="false">IF(AP39="x","x",IF(AP39="-","-",""))</f>
        <v/>
      </c>
      <c r="BY39" s="2" t="str">
        <f aca="false">IF(AQ39="x","x",IF(AQ39="-","-",""))</f>
        <v/>
      </c>
      <c r="BZ39" s="2" t="str">
        <f aca="false">IF(AR39="x","x",IF(AR39="-","-",""))</f>
        <v/>
      </c>
      <c r="CA39" s="2" t="str">
        <f aca="false">IF(AS39="x","x",IF(AS39="-","-",""))</f>
        <v/>
      </c>
      <c r="CB39" s="2" t="str">
        <f aca="false">IF(AT39="x","x",IF(AT39="-","-",""))</f>
        <v/>
      </c>
      <c r="CC39" s="2" t="str">
        <f aca="false">IF(AU39="x","x",IF(AU39="-","-",""))</f>
        <v/>
      </c>
      <c r="CD39" s="2" t="str">
        <f aca="false">IF(AV39="x","x",IF(AV39="-","-",""))</f>
        <v/>
      </c>
      <c r="CE39" s="2" t="str">
        <f aca="false">IF(AW39="x","x",IF(AW39="-","-",""))</f>
        <v/>
      </c>
      <c r="CF39" s="2" t="str">
        <f aca="false">IF(AX39="x","x",IF(AX39="-","-",""))</f>
        <v/>
      </c>
      <c r="CG39" s="2" t="str">
        <f aca="false">IF(AY39="x","x",IF(AY39="-","-",""))</f>
        <v/>
      </c>
      <c r="CH39" s="2" t="str">
        <f aca="false">IF(AZ39="x","x",IF(AZ39="-","-",""))</f>
        <v/>
      </c>
      <c r="CI39" s="2" t="str">
        <f aca="false">IF(BA39="x","x",IF(BA39="-","-",""))</f>
        <v/>
      </c>
      <c r="CJ39" s="2" t="str">
        <f aca="false">IF(BB39="x","x",IF(BB39="-","-",""))</f>
        <v/>
      </c>
      <c r="CK39" s="2" t="str">
        <f aca="false">IF(BC39="x","x",IF(BC39="-","-",""))</f>
        <v/>
      </c>
      <c r="CL39" s="2" t="str">
        <f aca="false">IF(BD39="x","x",IF(BD39="-","-",""))</f>
        <v/>
      </c>
      <c r="CM39" s="2" t="str">
        <f aca="false">IF(BE39="x","x",IF(BE39="-","-",""))</f>
        <v/>
      </c>
      <c r="CN39" s="2" t="str">
        <f aca="false">IF(BF39="x","x",IF(BF39="-","-",""))</f>
        <v/>
      </c>
      <c r="CO39" s="2" t="str">
        <f aca="false">IF(BG39="x","x",IF(BG39="-","-",""))</f>
        <v/>
      </c>
      <c r="CP39" s="2" t="str">
        <f aca="false">IF(BH39="x","x",IF(BH39="-","-",""))</f>
        <v/>
      </c>
      <c r="CR39" s="2" t="str">
        <f aca="false">IF(P39="x","x",IF(P39="-","-",""))</f>
        <v>-</v>
      </c>
      <c r="CS39" s="2" t="str">
        <f aca="false">IF(Q39="x","x",IF(Q39="-","-",""))</f>
        <v>-</v>
      </c>
      <c r="CT39" s="2" t="str">
        <f aca="false">IF(R39="x","x",IF(R39="-","-",""))</f>
        <v>-</v>
      </c>
      <c r="CU39" s="2" t="str">
        <f aca="false">IF(S39="x","x",IF(S39="-","-",""))</f>
        <v>-</v>
      </c>
      <c r="CV39" s="2" t="str">
        <f aca="false">IF(T39="x","x",IF(T39="-","-",""))</f>
        <v>-</v>
      </c>
      <c r="CW39" s="2" t="str">
        <f aca="false">IF(U39="x","x",IF(U39="-","-",""))</f>
        <v>-</v>
      </c>
      <c r="CX39" s="2" t="str">
        <f aca="false">IF(V39="x","x",IF(V39="-","-",""))</f>
        <v>-</v>
      </c>
      <c r="CY39" s="2" t="str">
        <f aca="false">IF(W39="x","x",IF(W39="-","-",""))</f>
        <v>-</v>
      </c>
      <c r="CZ39" s="2" t="s">
        <v>78</v>
      </c>
      <c r="DA39" s="2" t="s">
        <v>78</v>
      </c>
      <c r="DB39" s="2" t="s">
        <v>78</v>
      </c>
      <c r="DC39" s="2" t="s">
        <v>78</v>
      </c>
      <c r="DE39" s="2" t="str">
        <f aca="false">IF(Y39="x","x",IF(Y39="-","-",""))</f>
        <v>-</v>
      </c>
      <c r="DF39" s="2" t="str">
        <f aca="false">IF(Z39="x","x",IF(Z39="-","-",""))</f>
        <v>-</v>
      </c>
      <c r="DG39" s="2" t="str">
        <f aca="false">IF(AA39="x","x",IF(AA39="-","-",""))</f>
        <v>-</v>
      </c>
      <c r="DH39" s="2" t="str">
        <f aca="false">IF(AB39="x","x",IF(AB39="-","-",""))</f>
        <v>-</v>
      </c>
      <c r="DI39" s="2" t="str">
        <f aca="false">IF(AC39="x","x",IF(AC39="-","-",""))</f>
        <v>-</v>
      </c>
      <c r="DJ39" s="2" t="str">
        <f aca="false">IF(AD39="x","x",IF(AD39="-","-",""))</f>
        <v>-</v>
      </c>
      <c r="DK39" s="2" t="str">
        <f aca="false">IF(AE39="x","x",IF(AE39="-","-",""))</f>
        <v>-</v>
      </c>
      <c r="DL39" s="2" t="str">
        <f aca="false">IF(AF39="x","x",IF(AF39="-","-",""))</f>
        <v>-</v>
      </c>
      <c r="DM39" s="2" t="s">
        <v>78</v>
      </c>
      <c r="DN39" s="2" t="s">
        <v>78</v>
      </c>
      <c r="DO39" s="2" t="s">
        <v>78</v>
      </c>
      <c r="DP39" s="2" t="s">
        <v>78</v>
      </c>
      <c r="EG39" s="11"/>
      <c r="EH39" s="11"/>
      <c r="EI39" s="11"/>
      <c r="EJ39" s="11"/>
      <c r="EK39" s="11"/>
      <c r="EL39" s="11"/>
      <c r="EM39" s="11"/>
      <c r="EN39" s="11"/>
    </row>
    <row r="40" customFormat="false" ht="13.8" hidden="false" customHeight="false" outlineLevel="0" collapsed="false">
      <c r="A40" s="11" t="s">
        <v>73</v>
      </c>
      <c r="B40" s="2" t="n">
        <v>39</v>
      </c>
      <c r="C40" s="12" t="s">
        <v>120</v>
      </c>
      <c r="D40" s="11" t="s">
        <v>118</v>
      </c>
      <c r="E40" s="11" t="s">
        <v>76</v>
      </c>
      <c r="F40" s="11" t="n">
        <v>39</v>
      </c>
      <c r="G40" s="11" t="s">
        <v>78</v>
      </c>
      <c r="H40" s="11" t="s">
        <v>78</v>
      </c>
      <c r="I40" s="11" t="s">
        <v>78</v>
      </c>
      <c r="J40" s="11" t="s">
        <v>73</v>
      </c>
      <c r="K40" s="11" t="n">
        <v>10</v>
      </c>
      <c r="L40" s="11" t="s">
        <v>73</v>
      </c>
      <c r="M40" s="2" t="n">
        <v>780</v>
      </c>
      <c r="N40" s="11"/>
      <c r="O40" s="11"/>
      <c r="P40" s="11" t="s">
        <v>78</v>
      </c>
      <c r="Q40" s="11" t="s">
        <v>78</v>
      </c>
      <c r="R40" s="11" t="s">
        <v>78</v>
      </c>
      <c r="S40" s="11" t="s">
        <v>78</v>
      </c>
      <c r="T40" s="11" t="s">
        <v>78</v>
      </c>
      <c r="U40" s="11" t="s">
        <v>78</v>
      </c>
      <c r="V40" s="11" t="s">
        <v>78</v>
      </c>
      <c r="W40" s="11" t="s">
        <v>78</v>
      </c>
      <c r="X40" s="11"/>
      <c r="Y40" s="11" t="s">
        <v>78</v>
      </c>
      <c r="Z40" s="11" t="s">
        <v>78</v>
      </c>
      <c r="AA40" s="11" t="s">
        <v>78</v>
      </c>
      <c r="AB40" s="11" t="s">
        <v>78</v>
      </c>
      <c r="AC40" s="11" t="s">
        <v>78</v>
      </c>
      <c r="AD40" s="11" t="s">
        <v>78</v>
      </c>
      <c r="AE40" s="11" t="s">
        <v>78</v>
      </c>
      <c r="AF40" s="11" t="s">
        <v>78</v>
      </c>
      <c r="AH40" s="11" t="s">
        <v>73</v>
      </c>
      <c r="AI40" s="11" t="s">
        <v>73</v>
      </c>
      <c r="AK40" s="11"/>
      <c r="AL40" s="11"/>
      <c r="AM40" s="11"/>
      <c r="AN40" s="11" t="s">
        <v>79</v>
      </c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J40" s="11" t="s">
        <v>78</v>
      </c>
      <c r="BK40" s="11" t="s">
        <v>78</v>
      </c>
      <c r="BL40" s="11" t="s">
        <v>78</v>
      </c>
      <c r="BM40" s="11" t="s">
        <v>78</v>
      </c>
      <c r="BN40" s="11" t="s">
        <v>78</v>
      </c>
      <c r="BO40" s="11" t="s">
        <v>78</v>
      </c>
      <c r="BP40" s="11" t="s">
        <v>78</v>
      </c>
      <c r="BQ40" s="11" t="s">
        <v>78</v>
      </c>
      <c r="BS40" s="2" t="str">
        <f aca="false">IF(AK40="x","x",IF(AK40="-","-",""))</f>
        <v/>
      </c>
      <c r="BT40" s="2" t="str">
        <f aca="false">IF(AL40="x","x",IF(AL40="-","-",""))</f>
        <v/>
      </c>
      <c r="BU40" s="2" t="str">
        <f aca="false">IF(AM40="x","x",IF(AM40="-","-",""))</f>
        <v/>
      </c>
      <c r="BV40" s="2" t="str">
        <f aca="false">IF(AN40="x","x",IF(AN40="-","-",""))</f>
        <v>x</v>
      </c>
      <c r="BW40" s="2" t="str">
        <f aca="false">IF(AO40="x","x",IF(AO40="-","-",""))</f>
        <v/>
      </c>
      <c r="BX40" s="2" t="str">
        <f aca="false">IF(AP40="x","x",IF(AP40="-","-",""))</f>
        <v/>
      </c>
      <c r="BY40" s="2" t="str">
        <f aca="false">IF(AQ40="x","x",IF(AQ40="-","-",""))</f>
        <v/>
      </c>
      <c r="BZ40" s="2" t="str">
        <f aca="false">IF(AR40="x","x",IF(AR40="-","-",""))</f>
        <v/>
      </c>
      <c r="CA40" s="2" t="str">
        <f aca="false">IF(AS40="x","x",IF(AS40="-","-",""))</f>
        <v/>
      </c>
      <c r="CB40" s="2" t="str">
        <f aca="false">IF(AT40="x","x",IF(AT40="-","-",""))</f>
        <v/>
      </c>
      <c r="CC40" s="2" t="str">
        <f aca="false">IF(AU40="x","x",IF(AU40="-","-",""))</f>
        <v/>
      </c>
      <c r="CD40" s="2" t="str">
        <f aca="false">IF(AV40="x","x",IF(AV40="-","-",""))</f>
        <v/>
      </c>
      <c r="CE40" s="2" t="str">
        <f aca="false">IF(AW40="x","x",IF(AW40="-","-",""))</f>
        <v/>
      </c>
      <c r="CF40" s="2" t="str">
        <f aca="false">IF(AX40="x","x",IF(AX40="-","-",""))</f>
        <v/>
      </c>
      <c r="CG40" s="2" t="str">
        <f aca="false">IF(AY40="x","x",IF(AY40="-","-",""))</f>
        <v/>
      </c>
      <c r="CH40" s="2" t="str">
        <f aca="false">IF(AZ40="x","x",IF(AZ40="-","-",""))</f>
        <v/>
      </c>
      <c r="CI40" s="2" t="str">
        <f aca="false">IF(BA40="x","x",IF(BA40="-","-",""))</f>
        <v/>
      </c>
      <c r="CJ40" s="2" t="str">
        <f aca="false">IF(BB40="x","x",IF(BB40="-","-",""))</f>
        <v/>
      </c>
      <c r="CK40" s="2" t="str">
        <f aca="false">IF(BC40="x","x",IF(BC40="-","-",""))</f>
        <v/>
      </c>
      <c r="CL40" s="2" t="str">
        <f aca="false">IF(BD40="x","x",IF(BD40="-","-",""))</f>
        <v/>
      </c>
      <c r="CM40" s="2" t="str">
        <f aca="false">IF(BE40="x","x",IF(BE40="-","-",""))</f>
        <v/>
      </c>
      <c r="CN40" s="2" t="str">
        <f aca="false">IF(BF40="x","x",IF(BF40="-","-",""))</f>
        <v/>
      </c>
      <c r="CO40" s="2" t="str">
        <f aca="false">IF(BG40="x","x",IF(BG40="-","-",""))</f>
        <v/>
      </c>
      <c r="CP40" s="2" t="str">
        <f aca="false">IF(BH40="x","x",IF(BH40="-","-",""))</f>
        <v/>
      </c>
      <c r="CR40" s="2" t="str">
        <f aca="false">IF(P40="x","x",IF(P40="-","-",""))</f>
        <v>-</v>
      </c>
      <c r="CS40" s="2" t="str">
        <f aca="false">IF(Q40="x","x",IF(Q40="-","-",""))</f>
        <v>-</v>
      </c>
      <c r="CT40" s="2" t="str">
        <f aca="false">IF(R40="x","x",IF(R40="-","-",""))</f>
        <v>-</v>
      </c>
      <c r="CU40" s="2" t="str">
        <f aca="false">IF(S40="x","x",IF(S40="-","-",""))</f>
        <v>-</v>
      </c>
      <c r="CV40" s="2" t="str">
        <f aca="false">IF(T40="x","x",IF(T40="-","-",""))</f>
        <v>-</v>
      </c>
      <c r="CW40" s="2" t="str">
        <f aca="false">IF(U40="x","x",IF(U40="-","-",""))</f>
        <v>-</v>
      </c>
      <c r="CX40" s="2" t="str">
        <f aca="false">IF(V40="x","x",IF(V40="-","-",""))</f>
        <v>-</v>
      </c>
      <c r="CY40" s="2" t="str">
        <f aca="false">IF(W40="x","x",IF(W40="-","-",""))</f>
        <v>-</v>
      </c>
      <c r="CZ40" s="2" t="s">
        <v>78</v>
      </c>
      <c r="DA40" s="2" t="s">
        <v>78</v>
      </c>
      <c r="DB40" s="2" t="s">
        <v>78</v>
      </c>
      <c r="DC40" s="2" t="s">
        <v>78</v>
      </c>
      <c r="DE40" s="2" t="str">
        <f aca="false">IF(Y40="x","x",IF(Y40="-","-",""))</f>
        <v>-</v>
      </c>
      <c r="DF40" s="2" t="str">
        <f aca="false">IF(Z40="x","x",IF(Z40="-","-",""))</f>
        <v>-</v>
      </c>
      <c r="DG40" s="2" t="str">
        <f aca="false">IF(AA40="x","x",IF(AA40="-","-",""))</f>
        <v>-</v>
      </c>
      <c r="DH40" s="2" t="str">
        <f aca="false">IF(AB40="x","x",IF(AB40="-","-",""))</f>
        <v>-</v>
      </c>
      <c r="DI40" s="2" t="str">
        <f aca="false">IF(AC40="x","x",IF(AC40="-","-",""))</f>
        <v>-</v>
      </c>
      <c r="DJ40" s="2" t="str">
        <f aca="false">IF(AD40="x","x",IF(AD40="-","-",""))</f>
        <v>-</v>
      </c>
      <c r="DK40" s="2" t="str">
        <f aca="false">IF(AE40="x","x",IF(AE40="-","-",""))</f>
        <v>-</v>
      </c>
      <c r="DL40" s="2" t="str">
        <f aca="false">IF(AF40="x","x",IF(AF40="-","-",""))</f>
        <v>-</v>
      </c>
      <c r="DM40" s="2" t="s">
        <v>78</v>
      </c>
      <c r="DN40" s="2" t="s">
        <v>78</v>
      </c>
      <c r="DO40" s="2" t="s">
        <v>78</v>
      </c>
      <c r="DP40" s="2" t="s">
        <v>78</v>
      </c>
      <c r="EG40" s="11"/>
      <c r="EH40" s="11"/>
      <c r="EI40" s="11"/>
      <c r="EJ40" s="11"/>
      <c r="EK40" s="11"/>
      <c r="EL40" s="11"/>
      <c r="EM40" s="11"/>
      <c r="EN40" s="11"/>
    </row>
    <row r="41" customFormat="false" ht="13.8" hidden="false" customHeight="false" outlineLevel="0" collapsed="false">
      <c r="A41" s="11" t="s">
        <v>73</v>
      </c>
      <c r="B41" s="2" t="n">
        <v>40</v>
      </c>
      <c r="C41" s="12" t="s">
        <v>121</v>
      </c>
      <c r="D41" s="11" t="s">
        <v>118</v>
      </c>
      <c r="E41" s="11" t="s">
        <v>76</v>
      </c>
      <c r="F41" s="11" t="n">
        <v>40</v>
      </c>
      <c r="G41" s="11" t="s">
        <v>78</v>
      </c>
      <c r="H41" s="11" t="s">
        <v>78</v>
      </c>
      <c r="I41" s="11" t="s">
        <v>78</v>
      </c>
      <c r="J41" s="11" t="s">
        <v>77</v>
      </c>
      <c r="K41" s="11" t="n">
        <v>5</v>
      </c>
      <c r="L41" s="11" t="s">
        <v>77</v>
      </c>
      <c r="M41" s="2" t="n">
        <v>800</v>
      </c>
      <c r="N41" s="11"/>
      <c r="O41" s="11"/>
      <c r="P41" s="11" t="s">
        <v>78</v>
      </c>
      <c r="Q41" s="11" t="s">
        <v>78</v>
      </c>
      <c r="R41" s="11" t="s">
        <v>78</v>
      </c>
      <c r="S41" s="11" t="s">
        <v>78</v>
      </c>
      <c r="T41" s="11" t="s">
        <v>78</v>
      </c>
      <c r="U41" s="11" t="s">
        <v>78</v>
      </c>
      <c r="V41" s="11" t="s">
        <v>78</v>
      </c>
      <c r="W41" s="11" t="s">
        <v>78</v>
      </c>
      <c r="X41" s="11"/>
      <c r="Y41" s="11" t="s">
        <v>78</v>
      </c>
      <c r="Z41" s="11" t="s">
        <v>78</v>
      </c>
      <c r="AA41" s="11" t="s">
        <v>78</v>
      </c>
      <c r="AB41" s="11" t="s">
        <v>78</v>
      </c>
      <c r="AC41" s="11" t="s">
        <v>78</v>
      </c>
      <c r="AD41" s="11" t="s">
        <v>78</v>
      </c>
      <c r="AE41" s="11" t="s">
        <v>78</v>
      </c>
      <c r="AF41" s="11" t="s">
        <v>78</v>
      </c>
      <c r="AH41" s="11" t="s">
        <v>73</v>
      </c>
      <c r="AI41" s="11" t="s">
        <v>73</v>
      </c>
      <c r="AK41" s="11"/>
      <c r="AL41" s="11"/>
      <c r="AM41" s="11"/>
      <c r="AN41" s="11" t="s">
        <v>79</v>
      </c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J41" s="11" t="s">
        <v>78</v>
      </c>
      <c r="BK41" s="11" t="s">
        <v>78</v>
      </c>
      <c r="BL41" s="11" t="s">
        <v>78</v>
      </c>
      <c r="BM41" s="11" t="s">
        <v>78</v>
      </c>
      <c r="BN41" s="11" t="s">
        <v>78</v>
      </c>
      <c r="BO41" s="11" t="s">
        <v>78</v>
      </c>
      <c r="BP41" s="11" t="s">
        <v>78</v>
      </c>
      <c r="BQ41" s="11" t="s">
        <v>78</v>
      </c>
      <c r="BS41" s="2" t="str">
        <f aca="false">IF(AK41="x","x",IF(AK41="-","-",""))</f>
        <v/>
      </c>
      <c r="BT41" s="2" t="str">
        <f aca="false">IF(AL41="x","x",IF(AL41="-","-",""))</f>
        <v/>
      </c>
      <c r="BU41" s="2" t="str">
        <f aca="false">IF(AM41="x","x",IF(AM41="-","-",""))</f>
        <v/>
      </c>
      <c r="BV41" s="2" t="str">
        <f aca="false">IF(AN41="x","x",IF(AN41="-","-",""))</f>
        <v>x</v>
      </c>
      <c r="BW41" s="2" t="str">
        <f aca="false">IF(AO41="x","x",IF(AO41="-","-",""))</f>
        <v/>
      </c>
      <c r="BX41" s="2" t="str">
        <f aca="false">IF(AP41="x","x",IF(AP41="-","-",""))</f>
        <v/>
      </c>
      <c r="BY41" s="2" t="str">
        <f aca="false">IF(AQ41="x","x",IF(AQ41="-","-",""))</f>
        <v/>
      </c>
      <c r="BZ41" s="2" t="str">
        <f aca="false">IF(AR41="x","x",IF(AR41="-","-",""))</f>
        <v/>
      </c>
      <c r="CA41" s="2" t="str">
        <f aca="false">IF(AS41="x","x",IF(AS41="-","-",""))</f>
        <v/>
      </c>
      <c r="CB41" s="2" t="str">
        <f aca="false">IF(AT41="x","x",IF(AT41="-","-",""))</f>
        <v/>
      </c>
      <c r="CC41" s="2" t="str">
        <f aca="false">IF(AU41="x","x",IF(AU41="-","-",""))</f>
        <v/>
      </c>
      <c r="CD41" s="2" t="str">
        <f aca="false">IF(AV41="x","x",IF(AV41="-","-",""))</f>
        <v/>
      </c>
      <c r="CE41" s="2" t="str">
        <f aca="false">IF(AW41="x","x",IF(AW41="-","-",""))</f>
        <v/>
      </c>
      <c r="CF41" s="2" t="str">
        <f aca="false">IF(AX41="x","x",IF(AX41="-","-",""))</f>
        <v/>
      </c>
      <c r="CG41" s="2" t="str">
        <f aca="false">IF(AY41="x","x",IF(AY41="-","-",""))</f>
        <v/>
      </c>
      <c r="CH41" s="2" t="str">
        <f aca="false">IF(AZ41="x","x",IF(AZ41="-","-",""))</f>
        <v/>
      </c>
      <c r="CI41" s="2" t="str">
        <f aca="false">IF(BA41="x","x",IF(BA41="-","-",""))</f>
        <v/>
      </c>
      <c r="CJ41" s="2" t="str">
        <f aca="false">IF(BB41="x","x",IF(BB41="-","-",""))</f>
        <v/>
      </c>
      <c r="CK41" s="2" t="str">
        <f aca="false">IF(BC41="x","x",IF(BC41="-","-",""))</f>
        <v/>
      </c>
      <c r="CL41" s="2" t="str">
        <f aca="false">IF(BD41="x","x",IF(BD41="-","-",""))</f>
        <v/>
      </c>
      <c r="CM41" s="2" t="str">
        <f aca="false">IF(BE41="x","x",IF(BE41="-","-",""))</f>
        <v/>
      </c>
      <c r="CN41" s="2" t="str">
        <f aca="false">IF(BF41="x","x",IF(BF41="-","-",""))</f>
        <v/>
      </c>
      <c r="CO41" s="2" t="str">
        <f aca="false">IF(BG41="x","x",IF(BG41="-","-",""))</f>
        <v/>
      </c>
      <c r="CP41" s="2" t="str">
        <f aca="false">IF(BH41="x","x",IF(BH41="-","-",""))</f>
        <v/>
      </c>
      <c r="CR41" s="2" t="str">
        <f aca="false">IF(P41="x","x",IF(P41="-","-",""))</f>
        <v>-</v>
      </c>
      <c r="CS41" s="2" t="str">
        <f aca="false">IF(Q41="x","x",IF(Q41="-","-",""))</f>
        <v>-</v>
      </c>
      <c r="CT41" s="2" t="str">
        <f aca="false">IF(R41="x","x",IF(R41="-","-",""))</f>
        <v>-</v>
      </c>
      <c r="CU41" s="2" t="str">
        <f aca="false">IF(S41="x","x",IF(S41="-","-",""))</f>
        <v>-</v>
      </c>
      <c r="CV41" s="2" t="str">
        <f aca="false">IF(T41="x","x",IF(T41="-","-",""))</f>
        <v>-</v>
      </c>
      <c r="CW41" s="2" t="str">
        <f aca="false">IF(U41="x","x",IF(U41="-","-",""))</f>
        <v>-</v>
      </c>
      <c r="CX41" s="2" t="str">
        <f aca="false">IF(V41="x","x",IF(V41="-","-",""))</f>
        <v>-</v>
      </c>
      <c r="CY41" s="2" t="str">
        <f aca="false">IF(W41="x","x",IF(W41="-","-",""))</f>
        <v>-</v>
      </c>
      <c r="CZ41" s="2" t="s">
        <v>78</v>
      </c>
      <c r="DA41" s="2" t="s">
        <v>78</v>
      </c>
      <c r="DB41" s="2" t="s">
        <v>78</v>
      </c>
      <c r="DC41" s="2" t="s">
        <v>78</v>
      </c>
      <c r="DE41" s="2" t="str">
        <f aca="false">IF(Y41="x","x",IF(Y41="-","-",""))</f>
        <v>-</v>
      </c>
      <c r="DF41" s="2" t="str">
        <f aca="false">IF(Z41="x","x",IF(Z41="-","-",""))</f>
        <v>-</v>
      </c>
      <c r="DG41" s="2" t="str">
        <f aca="false">IF(AA41="x","x",IF(AA41="-","-",""))</f>
        <v>-</v>
      </c>
      <c r="DH41" s="2" t="str">
        <f aca="false">IF(AB41="x","x",IF(AB41="-","-",""))</f>
        <v>-</v>
      </c>
      <c r="DI41" s="2" t="str">
        <f aca="false">IF(AC41="x","x",IF(AC41="-","-",""))</f>
        <v>-</v>
      </c>
      <c r="DJ41" s="2" t="str">
        <f aca="false">IF(AD41="x","x",IF(AD41="-","-",""))</f>
        <v>-</v>
      </c>
      <c r="DK41" s="2" t="str">
        <f aca="false">IF(AE41="x","x",IF(AE41="-","-",""))</f>
        <v>-</v>
      </c>
      <c r="DL41" s="2" t="str">
        <f aca="false">IF(AF41="x","x",IF(AF41="-","-",""))</f>
        <v>-</v>
      </c>
      <c r="DM41" s="2" t="s">
        <v>78</v>
      </c>
      <c r="DN41" s="2" t="s">
        <v>78</v>
      </c>
      <c r="DO41" s="2" t="s">
        <v>78</v>
      </c>
      <c r="DP41" s="2" t="s">
        <v>78</v>
      </c>
      <c r="EG41" s="11"/>
      <c r="EH41" s="11"/>
      <c r="EI41" s="11"/>
      <c r="EJ41" s="11"/>
      <c r="EK41" s="11"/>
      <c r="EL41" s="11"/>
      <c r="EM41" s="11"/>
      <c r="EN41" s="11"/>
    </row>
    <row r="42" customFormat="false" ht="13.8" hidden="false" customHeight="false" outlineLevel="0" collapsed="false">
      <c r="A42" s="11" t="s">
        <v>73</v>
      </c>
      <c r="B42" s="2" t="n">
        <v>41</v>
      </c>
      <c r="C42" s="12" t="s">
        <v>122</v>
      </c>
      <c r="D42" s="11" t="s">
        <v>118</v>
      </c>
      <c r="E42" s="11" t="s">
        <v>76</v>
      </c>
      <c r="F42" s="11" t="n">
        <v>41</v>
      </c>
      <c r="G42" s="11" t="s">
        <v>78</v>
      </c>
      <c r="H42" s="11" t="s">
        <v>78</v>
      </c>
      <c r="I42" s="11" t="s">
        <v>78</v>
      </c>
      <c r="J42" s="11" t="s">
        <v>73</v>
      </c>
      <c r="K42" s="11" t="n">
        <v>0</v>
      </c>
      <c r="L42" s="11" t="s">
        <v>73</v>
      </c>
      <c r="M42" s="2" t="n">
        <v>820</v>
      </c>
      <c r="N42" s="11"/>
      <c r="O42" s="11"/>
      <c r="P42" s="11" t="s">
        <v>78</v>
      </c>
      <c r="Q42" s="11" t="s">
        <v>78</v>
      </c>
      <c r="R42" s="11" t="s">
        <v>78</v>
      </c>
      <c r="S42" s="11" t="s">
        <v>78</v>
      </c>
      <c r="T42" s="11" t="s">
        <v>78</v>
      </c>
      <c r="U42" s="11" t="s">
        <v>78</v>
      </c>
      <c r="V42" s="11" t="s">
        <v>78</v>
      </c>
      <c r="W42" s="11" t="s">
        <v>78</v>
      </c>
      <c r="X42" s="11"/>
      <c r="Y42" s="11" t="s">
        <v>78</v>
      </c>
      <c r="Z42" s="11" t="s">
        <v>78</v>
      </c>
      <c r="AA42" s="11" t="s">
        <v>78</v>
      </c>
      <c r="AB42" s="11" t="s">
        <v>78</v>
      </c>
      <c r="AC42" s="11" t="s">
        <v>78</v>
      </c>
      <c r="AD42" s="11" t="s">
        <v>78</v>
      </c>
      <c r="AE42" s="11" t="s">
        <v>78</v>
      </c>
      <c r="AF42" s="11" t="s">
        <v>78</v>
      </c>
      <c r="AH42" s="11" t="s">
        <v>73</v>
      </c>
      <c r="AI42" s="11" t="s">
        <v>73</v>
      </c>
      <c r="AK42" s="11"/>
      <c r="AL42" s="11"/>
      <c r="AM42" s="11"/>
      <c r="AN42" s="11" t="s">
        <v>79</v>
      </c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J42" s="11" t="s">
        <v>78</v>
      </c>
      <c r="BK42" s="11" t="s">
        <v>78</v>
      </c>
      <c r="BL42" s="11" t="s">
        <v>78</v>
      </c>
      <c r="BM42" s="11" t="s">
        <v>78</v>
      </c>
      <c r="BN42" s="11" t="s">
        <v>78</v>
      </c>
      <c r="BO42" s="11" t="s">
        <v>78</v>
      </c>
      <c r="BP42" s="11" t="s">
        <v>78</v>
      </c>
      <c r="BQ42" s="11" t="s">
        <v>78</v>
      </c>
      <c r="BS42" s="2" t="str">
        <f aca="false">IF(AK42="x","x",IF(AK42="-","-",""))</f>
        <v/>
      </c>
      <c r="BT42" s="2" t="str">
        <f aca="false">IF(AL42="x","x",IF(AL42="-","-",""))</f>
        <v/>
      </c>
      <c r="BU42" s="2" t="str">
        <f aca="false">IF(AM42="x","x",IF(AM42="-","-",""))</f>
        <v/>
      </c>
      <c r="BV42" s="2" t="str">
        <f aca="false">IF(AN42="x","x",IF(AN42="-","-",""))</f>
        <v>x</v>
      </c>
      <c r="BW42" s="2" t="str">
        <f aca="false">IF(AO42="x","x",IF(AO42="-","-",""))</f>
        <v/>
      </c>
      <c r="BX42" s="2" t="str">
        <f aca="false">IF(AP42="x","x",IF(AP42="-","-",""))</f>
        <v/>
      </c>
      <c r="BY42" s="2" t="str">
        <f aca="false">IF(AQ42="x","x",IF(AQ42="-","-",""))</f>
        <v/>
      </c>
      <c r="BZ42" s="2" t="str">
        <f aca="false">IF(AR42="x","x",IF(AR42="-","-",""))</f>
        <v/>
      </c>
      <c r="CA42" s="2" t="str">
        <f aca="false">IF(AS42="x","x",IF(AS42="-","-",""))</f>
        <v/>
      </c>
      <c r="CB42" s="2" t="str">
        <f aca="false">IF(AT42="x","x",IF(AT42="-","-",""))</f>
        <v/>
      </c>
      <c r="CC42" s="2" t="str">
        <f aca="false">IF(AU42="x","x",IF(AU42="-","-",""))</f>
        <v/>
      </c>
      <c r="CD42" s="2" t="str">
        <f aca="false">IF(AV42="x","x",IF(AV42="-","-",""))</f>
        <v/>
      </c>
      <c r="CE42" s="2" t="str">
        <f aca="false">IF(AW42="x","x",IF(AW42="-","-",""))</f>
        <v/>
      </c>
      <c r="CF42" s="2" t="str">
        <f aca="false">IF(AX42="x","x",IF(AX42="-","-",""))</f>
        <v/>
      </c>
      <c r="CG42" s="2" t="str">
        <f aca="false">IF(AY42="x","x",IF(AY42="-","-",""))</f>
        <v/>
      </c>
      <c r="CH42" s="2" t="str">
        <f aca="false">IF(AZ42="x","x",IF(AZ42="-","-",""))</f>
        <v/>
      </c>
      <c r="CI42" s="2" t="str">
        <f aca="false">IF(BA42="x","x",IF(BA42="-","-",""))</f>
        <v/>
      </c>
      <c r="CJ42" s="2" t="str">
        <f aca="false">IF(BB42="x","x",IF(BB42="-","-",""))</f>
        <v/>
      </c>
      <c r="CK42" s="2" t="str">
        <f aca="false">IF(BC42="x","x",IF(BC42="-","-",""))</f>
        <v/>
      </c>
      <c r="CL42" s="2" t="str">
        <f aca="false">IF(BD42="x","x",IF(BD42="-","-",""))</f>
        <v/>
      </c>
      <c r="CM42" s="2" t="str">
        <f aca="false">IF(BE42="x","x",IF(BE42="-","-",""))</f>
        <v/>
      </c>
      <c r="CN42" s="2" t="str">
        <f aca="false">IF(BF42="x","x",IF(BF42="-","-",""))</f>
        <v/>
      </c>
      <c r="CO42" s="2" t="str">
        <f aca="false">IF(BG42="x","x",IF(BG42="-","-",""))</f>
        <v/>
      </c>
      <c r="CP42" s="2" t="str">
        <f aca="false">IF(BH42="x","x",IF(BH42="-","-",""))</f>
        <v/>
      </c>
      <c r="CR42" s="2" t="str">
        <f aca="false">IF(P42="x","x",IF(P42="-","-",""))</f>
        <v>-</v>
      </c>
      <c r="CS42" s="2" t="str">
        <f aca="false">IF(Q42="x","x",IF(Q42="-","-",""))</f>
        <v>-</v>
      </c>
      <c r="CT42" s="2" t="str">
        <f aca="false">IF(R42="x","x",IF(R42="-","-",""))</f>
        <v>-</v>
      </c>
      <c r="CU42" s="2" t="str">
        <f aca="false">IF(S42="x","x",IF(S42="-","-",""))</f>
        <v>-</v>
      </c>
      <c r="CV42" s="2" t="str">
        <f aca="false">IF(T42="x","x",IF(T42="-","-",""))</f>
        <v>-</v>
      </c>
      <c r="CW42" s="2" t="str">
        <f aca="false">IF(U42="x","x",IF(U42="-","-",""))</f>
        <v>-</v>
      </c>
      <c r="CX42" s="2" t="str">
        <f aca="false">IF(V42="x","x",IF(V42="-","-",""))</f>
        <v>-</v>
      </c>
      <c r="CY42" s="2" t="str">
        <f aca="false">IF(W42="x","x",IF(W42="-","-",""))</f>
        <v>-</v>
      </c>
      <c r="CZ42" s="2" t="s">
        <v>78</v>
      </c>
      <c r="DA42" s="2" t="s">
        <v>78</v>
      </c>
      <c r="DB42" s="2" t="s">
        <v>78</v>
      </c>
      <c r="DC42" s="2" t="s">
        <v>78</v>
      </c>
      <c r="DE42" s="2" t="str">
        <f aca="false">IF(Y42="x","x",IF(Y42="-","-",""))</f>
        <v>-</v>
      </c>
      <c r="DF42" s="2" t="str">
        <f aca="false">IF(Z42="x","x",IF(Z42="-","-",""))</f>
        <v>-</v>
      </c>
      <c r="DG42" s="2" t="str">
        <f aca="false">IF(AA42="x","x",IF(AA42="-","-",""))</f>
        <v>-</v>
      </c>
      <c r="DH42" s="2" t="str">
        <f aca="false">IF(AB42="x","x",IF(AB42="-","-",""))</f>
        <v>-</v>
      </c>
      <c r="DI42" s="2" t="str">
        <f aca="false">IF(AC42="x","x",IF(AC42="-","-",""))</f>
        <v>-</v>
      </c>
      <c r="DJ42" s="2" t="str">
        <f aca="false">IF(AD42="x","x",IF(AD42="-","-",""))</f>
        <v>-</v>
      </c>
      <c r="DK42" s="2" t="str">
        <f aca="false">IF(AE42="x","x",IF(AE42="-","-",""))</f>
        <v>-</v>
      </c>
      <c r="DL42" s="2" t="str">
        <f aca="false">IF(AF42="x","x",IF(AF42="-","-",""))</f>
        <v>-</v>
      </c>
      <c r="DM42" s="2" t="s">
        <v>78</v>
      </c>
      <c r="DN42" s="2" t="s">
        <v>78</v>
      </c>
      <c r="DO42" s="2" t="s">
        <v>78</v>
      </c>
      <c r="DP42" s="2" t="s">
        <v>78</v>
      </c>
      <c r="EG42" s="11"/>
      <c r="EH42" s="11"/>
      <c r="EI42" s="11"/>
      <c r="EJ42" s="11"/>
      <c r="EK42" s="11"/>
      <c r="EL42" s="11"/>
      <c r="EM42" s="11"/>
      <c r="EN42" s="11"/>
    </row>
    <row r="43" customFormat="false" ht="13.8" hidden="false" customHeight="false" outlineLevel="0" collapsed="false">
      <c r="A43" s="11" t="s">
        <v>73</v>
      </c>
      <c r="B43" s="2" t="n">
        <v>42</v>
      </c>
      <c r="C43" s="12" t="s">
        <v>123</v>
      </c>
      <c r="D43" s="11" t="s">
        <v>118</v>
      </c>
      <c r="E43" s="11" t="s">
        <v>76</v>
      </c>
      <c r="F43" s="11" t="n">
        <v>42</v>
      </c>
      <c r="G43" s="11" t="s">
        <v>78</v>
      </c>
      <c r="H43" s="11" t="s">
        <v>78</v>
      </c>
      <c r="I43" s="11" t="s">
        <v>78</v>
      </c>
      <c r="J43" s="11" t="s">
        <v>77</v>
      </c>
      <c r="K43" s="11" t="n">
        <v>-5</v>
      </c>
      <c r="L43" s="11" t="s">
        <v>77</v>
      </c>
      <c r="M43" s="2" t="n">
        <v>840</v>
      </c>
      <c r="N43" s="11"/>
      <c r="O43" s="11"/>
      <c r="P43" s="11" t="s">
        <v>78</v>
      </c>
      <c r="Q43" s="11" t="s">
        <v>78</v>
      </c>
      <c r="R43" s="11" t="s">
        <v>78</v>
      </c>
      <c r="S43" s="11" t="s">
        <v>78</v>
      </c>
      <c r="T43" s="11" t="s">
        <v>78</v>
      </c>
      <c r="U43" s="11" t="s">
        <v>78</v>
      </c>
      <c r="V43" s="11" t="s">
        <v>78</v>
      </c>
      <c r="W43" s="11" t="s">
        <v>78</v>
      </c>
      <c r="X43" s="11"/>
      <c r="Y43" s="11" t="s">
        <v>78</v>
      </c>
      <c r="Z43" s="11" t="s">
        <v>78</v>
      </c>
      <c r="AA43" s="11" t="s">
        <v>78</v>
      </c>
      <c r="AB43" s="11" t="s">
        <v>78</v>
      </c>
      <c r="AC43" s="11" t="s">
        <v>78</v>
      </c>
      <c r="AD43" s="11" t="s">
        <v>78</v>
      </c>
      <c r="AE43" s="11" t="s">
        <v>78</v>
      </c>
      <c r="AF43" s="11" t="s">
        <v>78</v>
      </c>
      <c r="AH43" s="11" t="s">
        <v>73</v>
      </c>
      <c r="AI43" s="11" t="s">
        <v>73</v>
      </c>
      <c r="AK43" s="11"/>
      <c r="AL43" s="11"/>
      <c r="AM43" s="11"/>
      <c r="AN43" s="11" t="s">
        <v>79</v>
      </c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J43" s="11" t="s">
        <v>78</v>
      </c>
      <c r="BK43" s="11" t="s">
        <v>78</v>
      </c>
      <c r="BL43" s="11" t="s">
        <v>78</v>
      </c>
      <c r="BM43" s="11" t="s">
        <v>78</v>
      </c>
      <c r="BN43" s="11" t="s">
        <v>78</v>
      </c>
      <c r="BO43" s="11" t="s">
        <v>78</v>
      </c>
      <c r="BP43" s="11" t="s">
        <v>78</v>
      </c>
      <c r="BQ43" s="11" t="s">
        <v>78</v>
      </c>
      <c r="BS43" s="2" t="str">
        <f aca="false">IF(AK43="x","x",IF(AK43="-","-",""))</f>
        <v/>
      </c>
      <c r="BT43" s="2" t="str">
        <f aca="false">IF(AL43="x","x",IF(AL43="-","-",""))</f>
        <v/>
      </c>
      <c r="BU43" s="2" t="str">
        <f aca="false">IF(AM43="x","x",IF(AM43="-","-",""))</f>
        <v/>
      </c>
      <c r="BV43" s="2" t="str">
        <f aca="false">IF(AN43="x","x",IF(AN43="-","-",""))</f>
        <v>x</v>
      </c>
      <c r="BW43" s="2" t="str">
        <f aca="false">IF(AO43="x","x",IF(AO43="-","-",""))</f>
        <v/>
      </c>
      <c r="BX43" s="2" t="str">
        <f aca="false">IF(AP43="x","x",IF(AP43="-","-",""))</f>
        <v/>
      </c>
      <c r="BY43" s="2" t="str">
        <f aca="false">IF(AQ43="x","x",IF(AQ43="-","-",""))</f>
        <v/>
      </c>
      <c r="BZ43" s="2" t="str">
        <f aca="false">IF(AR43="x","x",IF(AR43="-","-",""))</f>
        <v/>
      </c>
      <c r="CA43" s="2" t="str">
        <f aca="false">IF(AS43="x","x",IF(AS43="-","-",""))</f>
        <v/>
      </c>
      <c r="CB43" s="2" t="str">
        <f aca="false">IF(AT43="x","x",IF(AT43="-","-",""))</f>
        <v/>
      </c>
      <c r="CC43" s="2" t="str">
        <f aca="false">IF(AU43="x","x",IF(AU43="-","-",""))</f>
        <v/>
      </c>
      <c r="CD43" s="2" t="str">
        <f aca="false">IF(AV43="x","x",IF(AV43="-","-",""))</f>
        <v/>
      </c>
      <c r="CE43" s="2" t="str">
        <f aca="false">IF(AW43="x","x",IF(AW43="-","-",""))</f>
        <v/>
      </c>
      <c r="CF43" s="2" t="str">
        <f aca="false">IF(AX43="x","x",IF(AX43="-","-",""))</f>
        <v/>
      </c>
      <c r="CG43" s="2" t="str">
        <f aca="false">IF(AY43="x","x",IF(AY43="-","-",""))</f>
        <v/>
      </c>
      <c r="CH43" s="2" t="str">
        <f aca="false">IF(AZ43="x","x",IF(AZ43="-","-",""))</f>
        <v/>
      </c>
      <c r="CI43" s="2" t="str">
        <f aca="false">IF(BA43="x","x",IF(BA43="-","-",""))</f>
        <v/>
      </c>
      <c r="CJ43" s="2" t="str">
        <f aca="false">IF(BB43="x","x",IF(BB43="-","-",""))</f>
        <v/>
      </c>
      <c r="CK43" s="2" t="str">
        <f aca="false">IF(BC43="x","x",IF(BC43="-","-",""))</f>
        <v/>
      </c>
      <c r="CL43" s="2" t="str">
        <f aca="false">IF(BD43="x","x",IF(BD43="-","-",""))</f>
        <v/>
      </c>
      <c r="CM43" s="2" t="str">
        <f aca="false">IF(BE43="x","x",IF(BE43="-","-",""))</f>
        <v/>
      </c>
      <c r="CN43" s="2" t="str">
        <f aca="false">IF(BF43="x","x",IF(BF43="-","-",""))</f>
        <v/>
      </c>
      <c r="CO43" s="2" t="str">
        <f aca="false">IF(BG43="x","x",IF(BG43="-","-",""))</f>
        <v/>
      </c>
      <c r="CP43" s="2" t="str">
        <f aca="false">IF(BH43="x","x",IF(BH43="-","-",""))</f>
        <v/>
      </c>
      <c r="CR43" s="2" t="str">
        <f aca="false">IF(P43="x","x",IF(P43="-","-",""))</f>
        <v>-</v>
      </c>
      <c r="CS43" s="2" t="str">
        <f aca="false">IF(Q43="x","x",IF(Q43="-","-",""))</f>
        <v>-</v>
      </c>
      <c r="CT43" s="2" t="str">
        <f aca="false">IF(R43="x","x",IF(R43="-","-",""))</f>
        <v>-</v>
      </c>
      <c r="CU43" s="2" t="str">
        <f aca="false">IF(S43="x","x",IF(S43="-","-",""))</f>
        <v>-</v>
      </c>
      <c r="CV43" s="2" t="str">
        <f aca="false">IF(T43="x","x",IF(T43="-","-",""))</f>
        <v>-</v>
      </c>
      <c r="CW43" s="2" t="str">
        <f aca="false">IF(U43="x","x",IF(U43="-","-",""))</f>
        <v>-</v>
      </c>
      <c r="CX43" s="2" t="str">
        <f aca="false">IF(V43="x","x",IF(V43="-","-",""))</f>
        <v>-</v>
      </c>
      <c r="CY43" s="2" t="str">
        <f aca="false">IF(W43="x","x",IF(W43="-","-",""))</f>
        <v>-</v>
      </c>
      <c r="CZ43" s="2" t="s">
        <v>78</v>
      </c>
      <c r="DA43" s="2" t="s">
        <v>78</v>
      </c>
      <c r="DB43" s="2" t="s">
        <v>78</v>
      </c>
      <c r="DC43" s="2" t="s">
        <v>78</v>
      </c>
      <c r="DE43" s="2" t="str">
        <f aca="false">IF(Y43="x","x",IF(Y43="-","-",""))</f>
        <v>-</v>
      </c>
      <c r="DF43" s="2" t="str">
        <f aca="false">IF(Z43="x","x",IF(Z43="-","-",""))</f>
        <v>-</v>
      </c>
      <c r="DG43" s="2" t="str">
        <f aca="false">IF(AA43="x","x",IF(AA43="-","-",""))</f>
        <v>-</v>
      </c>
      <c r="DH43" s="2" t="str">
        <f aca="false">IF(AB43="x","x",IF(AB43="-","-",""))</f>
        <v>-</v>
      </c>
      <c r="DI43" s="2" t="str">
        <f aca="false">IF(AC43="x","x",IF(AC43="-","-",""))</f>
        <v>-</v>
      </c>
      <c r="DJ43" s="2" t="str">
        <f aca="false">IF(AD43="x","x",IF(AD43="-","-",""))</f>
        <v>-</v>
      </c>
      <c r="DK43" s="2" t="str">
        <f aca="false">IF(AE43="x","x",IF(AE43="-","-",""))</f>
        <v>-</v>
      </c>
      <c r="DL43" s="2" t="str">
        <f aca="false">IF(AF43="x","x",IF(AF43="-","-",""))</f>
        <v>-</v>
      </c>
      <c r="DM43" s="2" t="s">
        <v>78</v>
      </c>
      <c r="DN43" s="2" t="s">
        <v>78</v>
      </c>
      <c r="DO43" s="2" t="s">
        <v>78</v>
      </c>
      <c r="DP43" s="2" t="s">
        <v>78</v>
      </c>
      <c r="EG43" s="11"/>
      <c r="EH43" s="11"/>
      <c r="EI43" s="11"/>
      <c r="EJ43" s="11"/>
      <c r="EK43" s="11"/>
      <c r="EL43" s="11"/>
      <c r="EM43" s="11"/>
      <c r="EN43" s="11"/>
    </row>
    <row r="44" customFormat="false" ht="13.8" hidden="false" customHeight="false" outlineLevel="0" collapsed="false">
      <c r="A44" s="11" t="s">
        <v>73</v>
      </c>
      <c r="B44" s="2" t="n">
        <v>43</v>
      </c>
      <c r="C44" s="12" t="s">
        <v>124</v>
      </c>
      <c r="D44" s="11" t="s">
        <v>118</v>
      </c>
      <c r="E44" s="11" t="s">
        <v>76</v>
      </c>
      <c r="F44" s="11" t="n">
        <v>43</v>
      </c>
      <c r="G44" s="11" t="s">
        <v>78</v>
      </c>
      <c r="H44" s="11" t="s">
        <v>78</v>
      </c>
      <c r="I44" s="11" t="s">
        <v>78</v>
      </c>
      <c r="J44" s="11" t="s">
        <v>73</v>
      </c>
      <c r="K44" s="11" t="n">
        <v>-10</v>
      </c>
      <c r="L44" s="11" t="s">
        <v>73</v>
      </c>
      <c r="M44" s="2" t="n">
        <v>860</v>
      </c>
      <c r="N44" s="11"/>
      <c r="O44" s="11"/>
      <c r="P44" s="11" t="s">
        <v>78</v>
      </c>
      <c r="Q44" s="11" t="s">
        <v>78</v>
      </c>
      <c r="R44" s="11" t="s">
        <v>78</v>
      </c>
      <c r="S44" s="11" t="s">
        <v>78</v>
      </c>
      <c r="T44" s="11" t="s">
        <v>78</v>
      </c>
      <c r="U44" s="11" t="s">
        <v>78</v>
      </c>
      <c r="V44" s="11" t="s">
        <v>78</v>
      </c>
      <c r="W44" s="11" t="s">
        <v>78</v>
      </c>
      <c r="X44" s="11"/>
      <c r="Y44" s="11" t="s">
        <v>78</v>
      </c>
      <c r="Z44" s="11" t="s">
        <v>78</v>
      </c>
      <c r="AA44" s="11" t="s">
        <v>78</v>
      </c>
      <c r="AB44" s="11" t="s">
        <v>78</v>
      </c>
      <c r="AC44" s="11" t="s">
        <v>78</v>
      </c>
      <c r="AD44" s="11" t="s">
        <v>78</v>
      </c>
      <c r="AE44" s="11" t="s">
        <v>78</v>
      </c>
      <c r="AF44" s="11" t="s">
        <v>78</v>
      </c>
      <c r="AH44" s="11" t="s">
        <v>73</v>
      </c>
      <c r="AI44" s="11" t="s">
        <v>73</v>
      </c>
      <c r="AK44" s="11"/>
      <c r="AL44" s="11"/>
      <c r="AM44" s="11"/>
      <c r="AN44" s="11" t="s">
        <v>79</v>
      </c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J44" s="11" t="s">
        <v>78</v>
      </c>
      <c r="BK44" s="11" t="s">
        <v>78</v>
      </c>
      <c r="BL44" s="11" t="s">
        <v>78</v>
      </c>
      <c r="BM44" s="11" t="s">
        <v>78</v>
      </c>
      <c r="BN44" s="11" t="s">
        <v>78</v>
      </c>
      <c r="BO44" s="11" t="s">
        <v>78</v>
      </c>
      <c r="BP44" s="11" t="s">
        <v>78</v>
      </c>
      <c r="BQ44" s="11" t="s">
        <v>78</v>
      </c>
      <c r="BS44" s="2" t="str">
        <f aca="false">IF(AK44="x","x",IF(AK44="-","-",""))</f>
        <v/>
      </c>
      <c r="BT44" s="2" t="str">
        <f aca="false">IF(AL44="x","x",IF(AL44="-","-",""))</f>
        <v/>
      </c>
      <c r="BU44" s="2" t="str">
        <f aca="false">IF(AM44="x","x",IF(AM44="-","-",""))</f>
        <v/>
      </c>
      <c r="BV44" s="2" t="str">
        <f aca="false">IF(AN44="x","x",IF(AN44="-","-",""))</f>
        <v>x</v>
      </c>
      <c r="BW44" s="2" t="str">
        <f aca="false">IF(AO44="x","x",IF(AO44="-","-",""))</f>
        <v/>
      </c>
      <c r="BX44" s="2" t="str">
        <f aca="false">IF(AP44="x","x",IF(AP44="-","-",""))</f>
        <v/>
      </c>
      <c r="BY44" s="2" t="str">
        <f aca="false">IF(AQ44="x","x",IF(AQ44="-","-",""))</f>
        <v/>
      </c>
      <c r="BZ44" s="2" t="str">
        <f aca="false">IF(AR44="x","x",IF(AR44="-","-",""))</f>
        <v/>
      </c>
      <c r="CA44" s="2" t="str">
        <f aca="false">IF(AS44="x","x",IF(AS44="-","-",""))</f>
        <v/>
      </c>
      <c r="CB44" s="2" t="str">
        <f aca="false">IF(AT44="x","x",IF(AT44="-","-",""))</f>
        <v/>
      </c>
      <c r="CC44" s="2" t="str">
        <f aca="false">IF(AU44="x","x",IF(AU44="-","-",""))</f>
        <v/>
      </c>
      <c r="CD44" s="2" t="str">
        <f aca="false">IF(AV44="x","x",IF(AV44="-","-",""))</f>
        <v/>
      </c>
      <c r="CE44" s="2" t="str">
        <f aca="false">IF(AW44="x","x",IF(AW44="-","-",""))</f>
        <v/>
      </c>
      <c r="CF44" s="2" t="str">
        <f aca="false">IF(AX44="x","x",IF(AX44="-","-",""))</f>
        <v/>
      </c>
      <c r="CG44" s="2" t="str">
        <f aca="false">IF(AY44="x","x",IF(AY44="-","-",""))</f>
        <v/>
      </c>
      <c r="CH44" s="2" t="str">
        <f aca="false">IF(AZ44="x","x",IF(AZ44="-","-",""))</f>
        <v/>
      </c>
      <c r="CI44" s="2" t="str">
        <f aca="false">IF(BA44="x","x",IF(BA44="-","-",""))</f>
        <v/>
      </c>
      <c r="CJ44" s="2" t="str">
        <f aca="false">IF(BB44="x","x",IF(BB44="-","-",""))</f>
        <v/>
      </c>
      <c r="CK44" s="2" t="str">
        <f aca="false">IF(BC44="x","x",IF(BC44="-","-",""))</f>
        <v/>
      </c>
      <c r="CL44" s="2" t="str">
        <f aca="false">IF(BD44="x","x",IF(BD44="-","-",""))</f>
        <v/>
      </c>
      <c r="CM44" s="2" t="str">
        <f aca="false">IF(BE44="x","x",IF(BE44="-","-",""))</f>
        <v/>
      </c>
      <c r="CN44" s="2" t="str">
        <f aca="false">IF(BF44="x","x",IF(BF44="-","-",""))</f>
        <v/>
      </c>
      <c r="CO44" s="2" t="str">
        <f aca="false">IF(BG44="x","x",IF(BG44="-","-",""))</f>
        <v/>
      </c>
      <c r="CP44" s="2" t="str">
        <f aca="false">IF(BH44="x","x",IF(BH44="-","-",""))</f>
        <v/>
      </c>
      <c r="CR44" s="2" t="str">
        <f aca="false">IF(P44="x","x",IF(P44="-","-",""))</f>
        <v>-</v>
      </c>
      <c r="CS44" s="2" t="str">
        <f aca="false">IF(Q44="x","x",IF(Q44="-","-",""))</f>
        <v>-</v>
      </c>
      <c r="CT44" s="2" t="str">
        <f aca="false">IF(R44="x","x",IF(R44="-","-",""))</f>
        <v>-</v>
      </c>
      <c r="CU44" s="2" t="str">
        <f aca="false">IF(S44="x","x",IF(S44="-","-",""))</f>
        <v>-</v>
      </c>
      <c r="CV44" s="2" t="str">
        <f aca="false">IF(T44="x","x",IF(T44="-","-",""))</f>
        <v>-</v>
      </c>
      <c r="CW44" s="2" t="str">
        <f aca="false">IF(U44="x","x",IF(U44="-","-",""))</f>
        <v>-</v>
      </c>
      <c r="CX44" s="2" t="str">
        <f aca="false">IF(V44="x","x",IF(V44="-","-",""))</f>
        <v>-</v>
      </c>
      <c r="CY44" s="2" t="str">
        <f aca="false">IF(W44="x","x",IF(W44="-","-",""))</f>
        <v>-</v>
      </c>
      <c r="CZ44" s="2" t="s">
        <v>78</v>
      </c>
      <c r="DA44" s="2" t="s">
        <v>78</v>
      </c>
      <c r="DB44" s="2" t="s">
        <v>78</v>
      </c>
      <c r="DC44" s="2" t="s">
        <v>78</v>
      </c>
      <c r="DE44" s="2" t="str">
        <f aca="false">IF(Y44="x","x",IF(Y44="-","-",""))</f>
        <v>-</v>
      </c>
      <c r="DF44" s="2" t="str">
        <f aca="false">IF(Z44="x","x",IF(Z44="-","-",""))</f>
        <v>-</v>
      </c>
      <c r="DG44" s="2" t="str">
        <f aca="false">IF(AA44="x","x",IF(AA44="-","-",""))</f>
        <v>-</v>
      </c>
      <c r="DH44" s="2" t="str">
        <f aca="false">IF(AB44="x","x",IF(AB44="-","-",""))</f>
        <v>-</v>
      </c>
      <c r="DI44" s="2" t="str">
        <f aca="false">IF(AC44="x","x",IF(AC44="-","-",""))</f>
        <v>-</v>
      </c>
      <c r="DJ44" s="2" t="str">
        <f aca="false">IF(AD44="x","x",IF(AD44="-","-",""))</f>
        <v>-</v>
      </c>
      <c r="DK44" s="2" t="str">
        <f aca="false">IF(AE44="x","x",IF(AE44="-","-",""))</f>
        <v>-</v>
      </c>
      <c r="DL44" s="2" t="str">
        <f aca="false">IF(AF44="x","x",IF(AF44="-","-",""))</f>
        <v>-</v>
      </c>
      <c r="DM44" s="2" t="s">
        <v>78</v>
      </c>
      <c r="DN44" s="2" t="s">
        <v>78</v>
      </c>
      <c r="DO44" s="2" t="s">
        <v>78</v>
      </c>
      <c r="DP44" s="2" t="s">
        <v>78</v>
      </c>
      <c r="EG44" s="11"/>
      <c r="EH44" s="11"/>
      <c r="EI44" s="11"/>
      <c r="EJ44" s="11"/>
      <c r="EK44" s="11"/>
      <c r="EL44" s="11"/>
      <c r="EM44" s="11"/>
      <c r="EN44" s="11"/>
    </row>
    <row r="45" customFormat="false" ht="13.8" hidden="false" customHeight="false" outlineLevel="0" collapsed="false">
      <c r="A45" s="11" t="s">
        <v>73</v>
      </c>
      <c r="B45" s="2" t="n">
        <v>44</v>
      </c>
      <c r="C45" s="12" t="s">
        <v>125</v>
      </c>
      <c r="D45" s="11" t="s">
        <v>118</v>
      </c>
      <c r="E45" s="11" t="s">
        <v>76</v>
      </c>
      <c r="F45" s="11" t="n">
        <v>44</v>
      </c>
      <c r="G45" s="11" t="s">
        <v>78</v>
      </c>
      <c r="H45" s="11" t="s">
        <v>78</v>
      </c>
      <c r="I45" s="11" t="s">
        <v>78</v>
      </c>
      <c r="J45" s="11" t="s">
        <v>77</v>
      </c>
      <c r="K45" s="11" t="n">
        <v>-15</v>
      </c>
      <c r="L45" s="11" t="s">
        <v>77</v>
      </c>
      <c r="M45" s="2" t="n">
        <v>880</v>
      </c>
      <c r="N45" s="11"/>
      <c r="O45" s="11"/>
      <c r="P45" s="11" t="s">
        <v>78</v>
      </c>
      <c r="Q45" s="11" t="s">
        <v>78</v>
      </c>
      <c r="R45" s="11" t="s">
        <v>78</v>
      </c>
      <c r="S45" s="11" t="s">
        <v>78</v>
      </c>
      <c r="T45" s="11" t="s">
        <v>78</v>
      </c>
      <c r="U45" s="11" t="s">
        <v>78</v>
      </c>
      <c r="V45" s="11" t="s">
        <v>78</v>
      </c>
      <c r="W45" s="11" t="s">
        <v>78</v>
      </c>
      <c r="X45" s="11"/>
      <c r="Y45" s="11" t="s">
        <v>78</v>
      </c>
      <c r="Z45" s="11" t="s">
        <v>78</v>
      </c>
      <c r="AA45" s="11" t="s">
        <v>78</v>
      </c>
      <c r="AB45" s="11" t="s">
        <v>78</v>
      </c>
      <c r="AC45" s="11" t="s">
        <v>78</v>
      </c>
      <c r="AD45" s="11" t="s">
        <v>78</v>
      </c>
      <c r="AE45" s="11" t="s">
        <v>78</v>
      </c>
      <c r="AF45" s="11" t="s">
        <v>78</v>
      </c>
      <c r="AH45" s="11" t="s">
        <v>73</v>
      </c>
      <c r="AI45" s="11" t="s">
        <v>73</v>
      </c>
      <c r="AK45" s="11"/>
      <c r="AL45" s="11"/>
      <c r="AM45" s="11"/>
      <c r="AN45" s="11" t="s">
        <v>79</v>
      </c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J45" s="11" t="s">
        <v>78</v>
      </c>
      <c r="BK45" s="11" t="s">
        <v>78</v>
      </c>
      <c r="BL45" s="11" t="s">
        <v>78</v>
      </c>
      <c r="BM45" s="11" t="s">
        <v>78</v>
      </c>
      <c r="BN45" s="11" t="s">
        <v>78</v>
      </c>
      <c r="BO45" s="11" t="s">
        <v>78</v>
      </c>
      <c r="BP45" s="11" t="s">
        <v>78</v>
      </c>
      <c r="BQ45" s="11" t="s">
        <v>78</v>
      </c>
      <c r="BS45" s="2" t="str">
        <f aca="false">IF(AK45="x","x",IF(AK45="-","-",""))</f>
        <v/>
      </c>
      <c r="BT45" s="2" t="str">
        <f aca="false">IF(AL45="x","x",IF(AL45="-","-",""))</f>
        <v/>
      </c>
      <c r="BU45" s="2" t="str">
        <f aca="false">IF(AM45="x","x",IF(AM45="-","-",""))</f>
        <v/>
      </c>
      <c r="BV45" s="2" t="str">
        <f aca="false">IF(AN45="x","x",IF(AN45="-","-",""))</f>
        <v>x</v>
      </c>
      <c r="BW45" s="2" t="str">
        <f aca="false">IF(AO45="x","x",IF(AO45="-","-",""))</f>
        <v/>
      </c>
      <c r="BX45" s="2" t="str">
        <f aca="false">IF(AP45="x","x",IF(AP45="-","-",""))</f>
        <v/>
      </c>
      <c r="BY45" s="2" t="str">
        <f aca="false">IF(AQ45="x","x",IF(AQ45="-","-",""))</f>
        <v/>
      </c>
      <c r="BZ45" s="2" t="str">
        <f aca="false">IF(AR45="x","x",IF(AR45="-","-",""))</f>
        <v/>
      </c>
      <c r="CA45" s="2" t="str">
        <f aca="false">IF(AS45="x","x",IF(AS45="-","-",""))</f>
        <v/>
      </c>
      <c r="CB45" s="2" t="str">
        <f aca="false">IF(AT45="x","x",IF(AT45="-","-",""))</f>
        <v/>
      </c>
      <c r="CC45" s="2" t="str">
        <f aca="false">IF(AU45="x","x",IF(AU45="-","-",""))</f>
        <v/>
      </c>
      <c r="CD45" s="2" t="str">
        <f aca="false">IF(AV45="x","x",IF(AV45="-","-",""))</f>
        <v/>
      </c>
      <c r="CE45" s="2" t="str">
        <f aca="false">IF(AW45="x","x",IF(AW45="-","-",""))</f>
        <v/>
      </c>
      <c r="CF45" s="2" t="str">
        <f aca="false">IF(AX45="x","x",IF(AX45="-","-",""))</f>
        <v/>
      </c>
      <c r="CG45" s="2" t="str">
        <f aca="false">IF(AY45="x","x",IF(AY45="-","-",""))</f>
        <v/>
      </c>
      <c r="CH45" s="2" t="str">
        <f aca="false">IF(AZ45="x","x",IF(AZ45="-","-",""))</f>
        <v/>
      </c>
      <c r="CI45" s="2" t="str">
        <f aca="false">IF(BA45="x","x",IF(BA45="-","-",""))</f>
        <v/>
      </c>
      <c r="CJ45" s="2" t="str">
        <f aca="false">IF(BB45="x","x",IF(BB45="-","-",""))</f>
        <v/>
      </c>
      <c r="CK45" s="2" t="str">
        <f aca="false">IF(BC45="x","x",IF(BC45="-","-",""))</f>
        <v/>
      </c>
      <c r="CL45" s="2" t="str">
        <f aca="false">IF(BD45="x","x",IF(BD45="-","-",""))</f>
        <v/>
      </c>
      <c r="CM45" s="2" t="str">
        <f aca="false">IF(BE45="x","x",IF(BE45="-","-",""))</f>
        <v/>
      </c>
      <c r="CN45" s="2" t="str">
        <f aca="false">IF(BF45="x","x",IF(BF45="-","-",""))</f>
        <v/>
      </c>
      <c r="CO45" s="2" t="str">
        <f aca="false">IF(BG45="x","x",IF(BG45="-","-",""))</f>
        <v/>
      </c>
      <c r="CP45" s="2" t="str">
        <f aca="false">IF(BH45="x","x",IF(BH45="-","-",""))</f>
        <v/>
      </c>
      <c r="CR45" s="2" t="str">
        <f aca="false">IF(P45="x","x",IF(P45="-","-",""))</f>
        <v>-</v>
      </c>
      <c r="CS45" s="2" t="str">
        <f aca="false">IF(Q45="x","x",IF(Q45="-","-",""))</f>
        <v>-</v>
      </c>
      <c r="CT45" s="2" t="str">
        <f aca="false">IF(R45="x","x",IF(R45="-","-",""))</f>
        <v>-</v>
      </c>
      <c r="CU45" s="2" t="str">
        <f aca="false">IF(S45="x","x",IF(S45="-","-",""))</f>
        <v>-</v>
      </c>
      <c r="CV45" s="2" t="str">
        <f aca="false">IF(T45="x","x",IF(T45="-","-",""))</f>
        <v>-</v>
      </c>
      <c r="CW45" s="2" t="str">
        <f aca="false">IF(U45="x","x",IF(U45="-","-",""))</f>
        <v>-</v>
      </c>
      <c r="CX45" s="2" t="str">
        <f aca="false">IF(V45="x","x",IF(V45="-","-",""))</f>
        <v>-</v>
      </c>
      <c r="CY45" s="2" t="str">
        <f aca="false">IF(W45="x","x",IF(W45="-","-",""))</f>
        <v>-</v>
      </c>
      <c r="CZ45" s="2" t="s">
        <v>78</v>
      </c>
      <c r="DA45" s="2" t="s">
        <v>78</v>
      </c>
      <c r="DB45" s="2" t="s">
        <v>78</v>
      </c>
      <c r="DC45" s="2" t="s">
        <v>78</v>
      </c>
      <c r="DE45" s="2" t="str">
        <f aca="false">IF(Y45="x","x",IF(Y45="-","-",""))</f>
        <v>-</v>
      </c>
      <c r="DF45" s="2" t="str">
        <f aca="false">IF(Z45="x","x",IF(Z45="-","-",""))</f>
        <v>-</v>
      </c>
      <c r="DG45" s="2" t="str">
        <f aca="false">IF(AA45="x","x",IF(AA45="-","-",""))</f>
        <v>-</v>
      </c>
      <c r="DH45" s="2" t="str">
        <f aca="false">IF(AB45="x","x",IF(AB45="-","-",""))</f>
        <v>-</v>
      </c>
      <c r="DI45" s="2" t="str">
        <f aca="false">IF(AC45="x","x",IF(AC45="-","-",""))</f>
        <v>-</v>
      </c>
      <c r="DJ45" s="2" t="str">
        <f aca="false">IF(AD45="x","x",IF(AD45="-","-",""))</f>
        <v>-</v>
      </c>
      <c r="DK45" s="2" t="str">
        <f aca="false">IF(AE45="x","x",IF(AE45="-","-",""))</f>
        <v>-</v>
      </c>
      <c r="DL45" s="2" t="str">
        <f aca="false">IF(AF45="x","x",IF(AF45="-","-",""))</f>
        <v>-</v>
      </c>
      <c r="DM45" s="2" t="s">
        <v>78</v>
      </c>
      <c r="DN45" s="2" t="s">
        <v>78</v>
      </c>
      <c r="DO45" s="2" t="s">
        <v>78</v>
      </c>
      <c r="DP45" s="2" t="s">
        <v>78</v>
      </c>
      <c r="EG45" s="11"/>
      <c r="EH45" s="11"/>
      <c r="EI45" s="11"/>
      <c r="EJ45" s="11"/>
      <c r="EK45" s="11"/>
      <c r="EL45" s="11"/>
      <c r="EM45" s="11"/>
      <c r="EN45" s="11"/>
    </row>
    <row r="46" customFormat="false" ht="13.8" hidden="false" customHeight="false" outlineLevel="0" collapsed="false">
      <c r="A46" s="11" t="s">
        <v>73</v>
      </c>
      <c r="B46" s="2" t="n">
        <v>45</v>
      </c>
      <c r="C46" s="12" t="s">
        <v>126</v>
      </c>
      <c r="D46" s="11" t="s">
        <v>118</v>
      </c>
      <c r="E46" s="11" t="s">
        <v>76</v>
      </c>
      <c r="F46" s="11" t="n">
        <v>45</v>
      </c>
      <c r="G46" s="11" t="s">
        <v>78</v>
      </c>
      <c r="H46" s="11" t="s">
        <v>78</v>
      </c>
      <c r="I46" s="11" t="s">
        <v>78</v>
      </c>
      <c r="J46" s="11" t="s">
        <v>73</v>
      </c>
      <c r="K46" s="11" t="n">
        <v>-20</v>
      </c>
      <c r="L46" s="11" t="s">
        <v>73</v>
      </c>
      <c r="M46" s="2" t="n">
        <v>900</v>
      </c>
      <c r="N46" s="11"/>
      <c r="O46" s="11"/>
      <c r="P46" s="11" t="s">
        <v>78</v>
      </c>
      <c r="Q46" s="11" t="s">
        <v>78</v>
      </c>
      <c r="R46" s="11" t="s">
        <v>78</v>
      </c>
      <c r="S46" s="11" t="s">
        <v>78</v>
      </c>
      <c r="T46" s="11" t="s">
        <v>78</v>
      </c>
      <c r="U46" s="11" t="s">
        <v>78</v>
      </c>
      <c r="V46" s="11" t="s">
        <v>78</v>
      </c>
      <c r="W46" s="11" t="s">
        <v>78</v>
      </c>
      <c r="X46" s="11"/>
      <c r="Y46" s="11" t="s">
        <v>78</v>
      </c>
      <c r="Z46" s="11" t="s">
        <v>78</v>
      </c>
      <c r="AA46" s="11" t="s">
        <v>78</v>
      </c>
      <c r="AB46" s="11" t="s">
        <v>78</v>
      </c>
      <c r="AC46" s="11" t="s">
        <v>78</v>
      </c>
      <c r="AD46" s="11" t="s">
        <v>78</v>
      </c>
      <c r="AE46" s="11" t="s">
        <v>78</v>
      </c>
      <c r="AF46" s="11" t="s">
        <v>78</v>
      </c>
      <c r="AH46" s="11" t="s">
        <v>73</v>
      </c>
      <c r="AI46" s="11" t="s">
        <v>73</v>
      </c>
      <c r="AK46" s="11"/>
      <c r="AL46" s="11"/>
      <c r="AM46" s="11"/>
      <c r="AN46" s="11" t="s">
        <v>79</v>
      </c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J46" s="11" t="s">
        <v>78</v>
      </c>
      <c r="BK46" s="11" t="s">
        <v>78</v>
      </c>
      <c r="BL46" s="11" t="s">
        <v>78</v>
      </c>
      <c r="BM46" s="11" t="s">
        <v>78</v>
      </c>
      <c r="BN46" s="11" t="s">
        <v>78</v>
      </c>
      <c r="BO46" s="11" t="s">
        <v>78</v>
      </c>
      <c r="BP46" s="11" t="s">
        <v>78</v>
      </c>
      <c r="BQ46" s="11" t="s">
        <v>78</v>
      </c>
      <c r="BS46" s="2" t="str">
        <f aca="false">IF(AK46="x","x",IF(AK46="-","-",""))</f>
        <v/>
      </c>
      <c r="BT46" s="2" t="str">
        <f aca="false">IF(AL46="x","x",IF(AL46="-","-",""))</f>
        <v/>
      </c>
      <c r="BU46" s="2" t="str">
        <f aca="false">IF(AM46="x","x",IF(AM46="-","-",""))</f>
        <v/>
      </c>
      <c r="BV46" s="2" t="str">
        <f aca="false">IF(AN46="x","x",IF(AN46="-","-",""))</f>
        <v>x</v>
      </c>
      <c r="BW46" s="2" t="str">
        <f aca="false">IF(AO46="x","x",IF(AO46="-","-",""))</f>
        <v/>
      </c>
      <c r="BX46" s="2" t="str">
        <f aca="false">IF(AP46="x","x",IF(AP46="-","-",""))</f>
        <v/>
      </c>
      <c r="BY46" s="2" t="str">
        <f aca="false">IF(AQ46="x","x",IF(AQ46="-","-",""))</f>
        <v/>
      </c>
      <c r="BZ46" s="2" t="str">
        <f aca="false">IF(AR46="x","x",IF(AR46="-","-",""))</f>
        <v/>
      </c>
      <c r="CA46" s="2" t="str">
        <f aca="false">IF(AS46="x","x",IF(AS46="-","-",""))</f>
        <v/>
      </c>
      <c r="CB46" s="2" t="str">
        <f aca="false">IF(AT46="x","x",IF(AT46="-","-",""))</f>
        <v/>
      </c>
      <c r="CC46" s="2" t="str">
        <f aca="false">IF(AU46="x","x",IF(AU46="-","-",""))</f>
        <v/>
      </c>
      <c r="CD46" s="2" t="str">
        <f aca="false">IF(AV46="x","x",IF(AV46="-","-",""))</f>
        <v/>
      </c>
      <c r="CE46" s="2" t="str">
        <f aca="false">IF(AW46="x","x",IF(AW46="-","-",""))</f>
        <v/>
      </c>
      <c r="CF46" s="2" t="str">
        <f aca="false">IF(AX46="x","x",IF(AX46="-","-",""))</f>
        <v/>
      </c>
      <c r="CG46" s="2" t="str">
        <f aca="false">IF(AY46="x","x",IF(AY46="-","-",""))</f>
        <v/>
      </c>
      <c r="CH46" s="2" t="str">
        <f aca="false">IF(AZ46="x","x",IF(AZ46="-","-",""))</f>
        <v/>
      </c>
      <c r="CI46" s="2" t="str">
        <f aca="false">IF(BA46="x","x",IF(BA46="-","-",""))</f>
        <v/>
      </c>
      <c r="CJ46" s="2" t="str">
        <f aca="false">IF(BB46="x","x",IF(BB46="-","-",""))</f>
        <v/>
      </c>
      <c r="CK46" s="2" t="str">
        <f aca="false">IF(BC46="x","x",IF(BC46="-","-",""))</f>
        <v/>
      </c>
      <c r="CL46" s="2" t="str">
        <f aca="false">IF(BD46="x","x",IF(BD46="-","-",""))</f>
        <v/>
      </c>
      <c r="CM46" s="2" t="str">
        <f aca="false">IF(BE46="x","x",IF(BE46="-","-",""))</f>
        <v/>
      </c>
      <c r="CN46" s="2" t="str">
        <f aca="false">IF(BF46="x","x",IF(BF46="-","-",""))</f>
        <v/>
      </c>
      <c r="CO46" s="2" t="str">
        <f aca="false">IF(BG46="x","x",IF(BG46="-","-",""))</f>
        <v/>
      </c>
      <c r="CP46" s="2" t="str">
        <f aca="false">IF(BH46="x","x",IF(BH46="-","-",""))</f>
        <v/>
      </c>
      <c r="CR46" s="2" t="str">
        <f aca="false">IF(P46="x","x",IF(P46="-","-",""))</f>
        <v>-</v>
      </c>
      <c r="CS46" s="2" t="str">
        <f aca="false">IF(Q46="x","x",IF(Q46="-","-",""))</f>
        <v>-</v>
      </c>
      <c r="CT46" s="2" t="str">
        <f aca="false">IF(R46="x","x",IF(R46="-","-",""))</f>
        <v>-</v>
      </c>
      <c r="CU46" s="2" t="str">
        <f aca="false">IF(S46="x","x",IF(S46="-","-",""))</f>
        <v>-</v>
      </c>
      <c r="CV46" s="2" t="str">
        <f aca="false">IF(T46="x","x",IF(T46="-","-",""))</f>
        <v>-</v>
      </c>
      <c r="CW46" s="2" t="str">
        <f aca="false">IF(U46="x","x",IF(U46="-","-",""))</f>
        <v>-</v>
      </c>
      <c r="CX46" s="2" t="str">
        <f aca="false">IF(V46="x","x",IF(V46="-","-",""))</f>
        <v>-</v>
      </c>
      <c r="CY46" s="2" t="str">
        <f aca="false">IF(W46="x","x",IF(W46="-","-",""))</f>
        <v>-</v>
      </c>
      <c r="CZ46" s="2" t="s">
        <v>78</v>
      </c>
      <c r="DA46" s="2" t="s">
        <v>78</v>
      </c>
      <c r="DB46" s="2" t="s">
        <v>78</v>
      </c>
      <c r="DC46" s="2" t="s">
        <v>78</v>
      </c>
      <c r="DE46" s="2" t="str">
        <f aca="false">IF(Y46="x","x",IF(Y46="-","-",""))</f>
        <v>-</v>
      </c>
      <c r="DF46" s="2" t="str">
        <f aca="false">IF(Z46="x","x",IF(Z46="-","-",""))</f>
        <v>-</v>
      </c>
      <c r="DG46" s="2" t="str">
        <f aca="false">IF(AA46="x","x",IF(AA46="-","-",""))</f>
        <v>-</v>
      </c>
      <c r="DH46" s="2" t="str">
        <f aca="false">IF(AB46="x","x",IF(AB46="-","-",""))</f>
        <v>-</v>
      </c>
      <c r="DI46" s="2" t="str">
        <f aca="false">IF(AC46="x","x",IF(AC46="-","-",""))</f>
        <v>-</v>
      </c>
      <c r="DJ46" s="2" t="str">
        <f aca="false">IF(AD46="x","x",IF(AD46="-","-",""))</f>
        <v>-</v>
      </c>
      <c r="DK46" s="2" t="str">
        <f aca="false">IF(AE46="x","x",IF(AE46="-","-",""))</f>
        <v>-</v>
      </c>
      <c r="DL46" s="2" t="str">
        <f aca="false">IF(AF46="x","x",IF(AF46="-","-",""))</f>
        <v>-</v>
      </c>
      <c r="DM46" s="2" t="s">
        <v>78</v>
      </c>
      <c r="DN46" s="2" t="s">
        <v>78</v>
      </c>
      <c r="DO46" s="2" t="s">
        <v>78</v>
      </c>
      <c r="DP46" s="2" t="s">
        <v>78</v>
      </c>
      <c r="EG46" s="11"/>
      <c r="EH46" s="11"/>
      <c r="EI46" s="11"/>
      <c r="EJ46" s="11"/>
      <c r="EK46" s="11"/>
      <c r="EL46" s="11"/>
      <c r="EM46" s="11"/>
      <c r="EN46" s="11"/>
    </row>
    <row r="47" customFormat="false" ht="13.8" hidden="false" customHeight="false" outlineLevel="0" collapsed="false">
      <c r="A47" s="11" t="s">
        <v>73</v>
      </c>
      <c r="B47" s="2" t="n">
        <v>46</v>
      </c>
      <c r="C47" s="12" t="s">
        <v>127</v>
      </c>
      <c r="D47" s="11" t="s">
        <v>118</v>
      </c>
      <c r="E47" s="11" t="s">
        <v>76</v>
      </c>
      <c r="F47" s="11" t="n">
        <v>46</v>
      </c>
      <c r="G47" s="11" t="s">
        <v>78</v>
      </c>
      <c r="H47" s="11" t="s">
        <v>78</v>
      </c>
      <c r="I47" s="11" t="s">
        <v>78</v>
      </c>
      <c r="J47" s="11" t="s">
        <v>77</v>
      </c>
      <c r="K47" s="11" t="n">
        <v>-25</v>
      </c>
      <c r="L47" s="11" t="s">
        <v>77</v>
      </c>
      <c r="M47" s="2" t="n">
        <v>920</v>
      </c>
      <c r="N47" s="11"/>
      <c r="O47" s="11"/>
      <c r="P47" s="11" t="s">
        <v>78</v>
      </c>
      <c r="Q47" s="11" t="s">
        <v>78</v>
      </c>
      <c r="R47" s="11" t="s">
        <v>78</v>
      </c>
      <c r="S47" s="11" t="s">
        <v>78</v>
      </c>
      <c r="T47" s="11" t="s">
        <v>78</v>
      </c>
      <c r="U47" s="11" t="s">
        <v>78</v>
      </c>
      <c r="V47" s="11" t="s">
        <v>78</v>
      </c>
      <c r="W47" s="11" t="s">
        <v>78</v>
      </c>
      <c r="X47" s="11"/>
      <c r="Y47" s="11" t="s">
        <v>78</v>
      </c>
      <c r="Z47" s="11" t="s">
        <v>78</v>
      </c>
      <c r="AA47" s="11" t="s">
        <v>78</v>
      </c>
      <c r="AB47" s="11" t="s">
        <v>78</v>
      </c>
      <c r="AC47" s="11" t="s">
        <v>78</v>
      </c>
      <c r="AD47" s="11" t="s">
        <v>78</v>
      </c>
      <c r="AE47" s="11" t="s">
        <v>78</v>
      </c>
      <c r="AF47" s="11" t="s">
        <v>78</v>
      </c>
      <c r="AH47" s="11" t="s">
        <v>73</v>
      </c>
      <c r="AI47" s="11" t="s">
        <v>73</v>
      </c>
      <c r="AK47" s="11"/>
      <c r="AL47" s="11"/>
      <c r="AM47" s="11"/>
      <c r="AN47" s="11" t="s">
        <v>79</v>
      </c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J47" s="11" t="s">
        <v>78</v>
      </c>
      <c r="BK47" s="11" t="s">
        <v>78</v>
      </c>
      <c r="BL47" s="11" t="s">
        <v>78</v>
      </c>
      <c r="BM47" s="11" t="s">
        <v>78</v>
      </c>
      <c r="BN47" s="11" t="s">
        <v>78</v>
      </c>
      <c r="BO47" s="11" t="s">
        <v>78</v>
      </c>
      <c r="BP47" s="11" t="s">
        <v>78</v>
      </c>
      <c r="BQ47" s="11" t="s">
        <v>78</v>
      </c>
      <c r="BS47" s="2" t="str">
        <f aca="false">IF(AK47="x","x",IF(AK47="-","-",""))</f>
        <v/>
      </c>
      <c r="BT47" s="2" t="str">
        <f aca="false">IF(AL47="x","x",IF(AL47="-","-",""))</f>
        <v/>
      </c>
      <c r="BU47" s="2" t="str">
        <f aca="false">IF(AM47="x","x",IF(AM47="-","-",""))</f>
        <v/>
      </c>
      <c r="BV47" s="2" t="str">
        <f aca="false">IF(AN47="x","x",IF(AN47="-","-",""))</f>
        <v>x</v>
      </c>
      <c r="BW47" s="2" t="str">
        <f aca="false">IF(AO47="x","x",IF(AO47="-","-",""))</f>
        <v/>
      </c>
      <c r="BX47" s="2" t="str">
        <f aca="false">IF(AP47="x","x",IF(AP47="-","-",""))</f>
        <v/>
      </c>
      <c r="BY47" s="2" t="str">
        <f aca="false">IF(AQ47="x","x",IF(AQ47="-","-",""))</f>
        <v/>
      </c>
      <c r="BZ47" s="2" t="str">
        <f aca="false">IF(AR47="x","x",IF(AR47="-","-",""))</f>
        <v/>
      </c>
      <c r="CA47" s="2" t="str">
        <f aca="false">IF(AS47="x","x",IF(AS47="-","-",""))</f>
        <v/>
      </c>
      <c r="CB47" s="2" t="str">
        <f aca="false">IF(AT47="x","x",IF(AT47="-","-",""))</f>
        <v/>
      </c>
      <c r="CC47" s="2" t="str">
        <f aca="false">IF(AU47="x","x",IF(AU47="-","-",""))</f>
        <v/>
      </c>
      <c r="CD47" s="2" t="str">
        <f aca="false">IF(AV47="x","x",IF(AV47="-","-",""))</f>
        <v/>
      </c>
      <c r="CE47" s="2" t="str">
        <f aca="false">IF(AW47="x","x",IF(AW47="-","-",""))</f>
        <v/>
      </c>
      <c r="CF47" s="2" t="str">
        <f aca="false">IF(AX47="x","x",IF(AX47="-","-",""))</f>
        <v/>
      </c>
      <c r="CG47" s="2" t="str">
        <f aca="false">IF(AY47="x","x",IF(AY47="-","-",""))</f>
        <v/>
      </c>
      <c r="CH47" s="2" t="str">
        <f aca="false">IF(AZ47="x","x",IF(AZ47="-","-",""))</f>
        <v/>
      </c>
      <c r="CI47" s="2" t="str">
        <f aca="false">IF(BA47="x","x",IF(BA47="-","-",""))</f>
        <v/>
      </c>
      <c r="CJ47" s="2" t="str">
        <f aca="false">IF(BB47="x","x",IF(BB47="-","-",""))</f>
        <v/>
      </c>
      <c r="CK47" s="2" t="str">
        <f aca="false">IF(BC47="x","x",IF(BC47="-","-",""))</f>
        <v/>
      </c>
      <c r="CL47" s="2" t="str">
        <f aca="false">IF(BD47="x","x",IF(BD47="-","-",""))</f>
        <v/>
      </c>
      <c r="CM47" s="2" t="str">
        <f aca="false">IF(BE47="x","x",IF(BE47="-","-",""))</f>
        <v/>
      </c>
      <c r="CN47" s="2" t="str">
        <f aca="false">IF(BF47="x","x",IF(BF47="-","-",""))</f>
        <v/>
      </c>
      <c r="CO47" s="2" t="str">
        <f aca="false">IF(BG47="x","x",IF(BG47="-","-",""))</f>
        <v/>
      </c>
      <c r="CP47" s="2" t="str">
        <f aca="false">IF(BH47="x","x",IF(BH47="-","-",""))</f>
        <v/>
      </c>
      <c r="CR47" s="2" t="str">
        <f aca="false">IF(P47="x","x",IF(P47="-","-",""))</f>
        <v>-</v>
      </c>
      <c r="CS47" s="2" t="str">
        <f aca="false">IF(Q47="x","x",IF(Q47="-","-",""))</f>
        <v>-</v>
      </c>
      <c r="CT47" s="2" t="str">
        <f aca="false">IF(R47="x","x",IF(R47="-","-",""))</f>
        <v>-</v>
      </c>
      <c r="CU47" s="2" t="str">
        <f aca="false">IF(S47="x","x",IF(S47="-","-",""))</f>
        <v>-</v>
      </c>
      <c r="CV47" s="2" t="str">
        <f aca="false">IF(T47="x","x",IF(T47="-","-",""))</f>
        <v>-</v>
      </c>
      <c r="CW47" s="2" t="str">
        <f aca="false">IF(U47="x","x",IF(U47="-","-",""))</f>
        <v>-</v>
      </c>
      <c r="CX47" s="2" t="str">
        <f aca="false">IF(V47="x","x",IF(V47="-","-",""))</f>
        <v>-</v>
      </c>
      <c r="CY47" s="2" t="str">
        <f aca="false">IF(W47="x","x",IF(W47="-","-",""))</f>
        <v>-</v>
      </c>
      <c r="CZ47" s="2" t="s">
        <v>78</v>
      </c>
      <c r="DA47" s="2" t="s">
        <v>78</v>
      </c>
      <c r="DB47" s="2" t="s">
        <v>78</v>
      </c>
      <c r="DC47" s="2" t="s">
        <v>78</v>
      </c>
      <c r="DE47" s="2" t="str">
        <f aca="false">IF(Y47="x","x",IF(Y47="-","-",""))</f>
        <v>-</v>
      </c>
      <c r="DF47" s="2" t="str">
        <f aca="false">IF(Z47="x","x",IF(Z47="-","-",""))</f>
        <v>-</v>
      </c>
      <c r="DG47" s="2" t="str">
        <f aca="false">IF(AA47="x","x",IF(AA47="-","-",""))</f>
        <v>-</v>
      </c>
      <c r="DH47" s="2" t="str">
        <f aca="false">IF(AB47="x","x",IF(AB47="-","-",""))</f>
        <v>-</v>
      </c>
      <c r="DI47" s="2" t="str">
        <f aca="false">IF(AC47="x","x",IF(AC47="-","-",""))</f>
        <v>-</v>
      </c>
      <c r="DJ47" s="2" t="str">
        <f aca="false">IF(AD47="x","x",IF(AD47="-","-",""))</f>
        <v>-</v>
      </c>
      <c r="DK47" s="2" t="str">
        <f aca="false">IF(AE47="x","x",IF(AE47="-","-",""))</f>
        <v>-</v>
      </c>
      <c r="DL47" s="2" t="str">
        <f aca="false">IF(AF47="x","x",IF(AF47="-","-",""))</f>
        <v>-</v>
      </c>
      <c r="DM47" s="2" t="s">
        <v>78</v>
      </c>
      <c r="DN47" s="2" t="s">
        <v>78</v>
      </c>
      <c r="DO47" s="2" t="s">
        <v>78</v>
      </c>
      <c r="DP47" s="2" t="s">
        <v>78</v>
      </c>
      <c r="EG47" s="11"/>
      <c r="EH47" s="11"/>
      <c r="EI47" s="11"/>
      <c r="EJ47" s="11"/>
      <c r="EK47" s="11"/>
      <c r="EL47" s="11"/>
      <c r="EM47" s="11"/>
      <c r="EN47" s="11"/>
    </row>
    <row r="48" customFormat="false" ht="13.8" hidden="false" customHeight="false" outlineLevel="0" collapsed="false">
      <c r="A48" s="11" t="s">
        <v>73</v>
      </c>
      <c r="B48" s="2" t="n">
        <v>47</v>
      </c>
      <c r="C48" s="12" t="s">
        <v>128</v>
      </c>
      <c r="D48" s="11" t="s">
        <v>118</v>
      </c>
      <c r="E48" s="11" t="s">
        <v>76</v>
      </c>
      <c r="F48" s="11" t="n">
        <v>47</v>
      </c>
      <c r="G48" s="11" t="s">
        <v>78</v>
      </c>
      <c r="H48" s="11" t="s">
        <v>78</v>
      </c>
      <c r="I48" s="11" t="s">
        <v>78</v>
      </c>
      <c r="J48" s="11" t="s">
        <v>73</v>
      </c>
      <c r="K48" s="11" t="n">
        <v>-30</v>
      </c>
      <c r="L48" s="11" t="s">
        <v>73</v>
      </c>
      <c r="M48" s="2" t="n">
        <v>940</v>
      </c>
      <c r="N48" s="11"/>
      <c r="O48" s="11"/>
      <c r="P48" s="11" t="s">
        <v>78</v>
      </c>
      <c r="Q48" s="11" t="s">
        <v>78</v>
      </c>
      <c r="R48" s="11" t="s">
        <v>78</v>
      </c>
      <c r="S48" s="11" t="s">
        <v>78</v>
      </c>
      <c r="T48" s="11" t="s">
        <v>78</v>
      </c>
      <c r="U48" s="11" t="s">
        <v>78</v>
      </c>
      <c r="V48" s="11" t="s">
        <v>78</v>
      </c>
      <c r="W48" s="11" t="s">
        <v>78</v>
      </c>
      <c r="X48" s="11"/>
      <c r="Y48" s="11" t="s">
        <v>78</v>
      </c>
      <c r="Z48" s="11" t="s">
        <v>78</v>
      </c>
      <c r="AA48" s="11" t="s">
        <v>78</v>
      </c>
      <c r="AB48" s="11" t="s">
        <v>78</v>
      </c>
      <c r="AC48" s="11" t="s">
        <v>78</v>
      </c>
      <c r="AD48" s="11" t="s">
        <v>78</v>
      </c>
      <c r="AE48" s="11" t="s">
        <v>78</v>
      </c>
      <c r="AF48" s="11" t="s">
        <v>78</v>
      </c>
      <c r="AH48" s="11" t="s">
        <v>73</v>
      </c>
      <c r="AI48" s="11" t="s">
        <v>73</v>
      </c>
      <c r="AK48" s="11"/>
      <c r="AL48" s="11"/>
      <c r="AM48" s="11"/>
      <c r="AN48" s="11" t="s">
        <v>79</v>
      </c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J48" s="11" t="s">
        <v>78</v>
      </c>
      <c r="BK48" s="11" t="s">
        <v>78</v>
      </c>
      <c r="BL48" s="11" t="s">
        <v>78</v>
      </c>
      <c r="BM48" s="11" t="s">
        <v>78</v>
      </c>
      <c r="BN48" s="11" t="s">
        <v>78</v>
      </c>
      <c r="BO48" s="11" t="s">
        <v>78</v>
      </c>
      <c r="BP48" s="11" t="s">
        <v>78</v>
      </c>
      <c r="BQ48" s="11" t="s">
        <v>78</v>
      </c>
      <c r="BS48" s="2" t="str">
        <f aca="false">IF(AK48="x","x",IF(AK48="-","-",""))</f>
        <v/>
      </c>
      <c r="BT48" s="2" t="str">
        <f aca="false">IF(AL48="x","x",IF(AL48="-","-",""))</f>
        <v/>
      </c>
      <c r="BU48" s="2" t="str">
        <f aca="false">IF(AM48="x","x",IF(AM48="-","-",""))</f>
        <v/>
      </c>
      <c r="BV48" s="2" t="str">
        <f aca="false">IF(AN48="x","x",IF(AN48="-","-",""))</f>
        <v>x</v>
      </c>
      <c r="BW48" s="2" t="str">
        <f aca="false">IF(AO48="x","x",IF(AO48="-","-",""))</f>
        <v/>
      </c>
      <c r="BX48" s="2" t="str">
        <f aca="false">IF(AP48="x","x",IF(AP48="-","-",""))</f>
        <v/>
      </c>
      <c r="BY48" s="2" t="str">
        <f aca="false">IF(AQ48="x","x",IF(AQ48="-","-",""))</f>
        <v/>
      </c>
      <c r="BZ48" s="2" t="str">
        <f aca="false">IF(AR48="x","x",IF(AR48="-","-",""))</f>
        <v/>
      </c>
      <c r="CA48" s="2" t="str">
        <f aca="false">IF(AS48="x","x",IF(AS48="-","-",""))</f>
        <v/>
      </c>
      <c r="CB48" s="2" t="str">
        <f aca="false">IF(AT48="x","x",IF(AT48="-","-",""))</f>
        <v/>
      </c>
      <c r="CC48" s="2" t="str">
        <f aca="false">IF(AU48="x","x",IF(AU48="-","-",""))</f>
        <v/>
      </c>
      <c r="CD48" s="2" t="str">
        <f aca="false">IF(AV48="x","x",IF(AV48="-","-",""))</f>
        <v/>
      </c>
      <c r="CE48" s="2" t="str">
        <f aca="false">IF(AW48="x","x",IF(AW48="-","-",""))</f>
        <v/>
      </c>
      <c r="CF48" s="2" t="str">
        <f aca="false">IF(AX48="x","x",IF(AX48="-","-",""))</f>
        <v/>
      </c>
      <c r="CG48" s="2" t="str">
        <f aca="false">IF(AY48="x","x",IF(AY48="-","-",""))</f>
        <v/>
      </c>
      <c r="CH48" s="2" t="str">
        <f aca="false">IF(AZ48="x","x",IF(AZ48="-","-",""))</f>
        <v/>
      </c>
      <c r="CI48" s="2" t="str">
        <f aca="false">IF(BA48="x","x",IF(BA48="-","-",""))</f>
        <v/>
      </c>
      <c r="CJ48" s="2" t="str">
        <f aca="false">IF(BB48="x","x",IF(BB48="-","-",""))</f>
        <v/>
      </c>
      <c r="CK48" s="2" t="str">
        <f aca="false">IF(BC48="x","x",IF(BC48="-","-",""))</f>
        <v/>
      </c>
      <c r="CL48" s="2" t="str">
        <f aca="false">IF(BD48="x","x",IF(BD48="-","-",""))</f>
        <v/>
      </c>
      <c r="CM48" s="2" t="str">
        <f aca="false">IF(BE48="x","x",IF(BE48="-","-",""))</f>
        <v/>
      </c>
      <c r="CN48" s="2" t="str">
        <f aca="false">IF(BF48="x","x",IF(BF48="-","-",""))</f>
        <v/>
      </c>
      <c r="CO48" s="2" t="str">
        <f aca="false">IF(BG48="x","x",IF(BG48="-","-",""))</f>
        <v/>
      </c>
      <c r="CP48" s="2" t="str">
        <f aca="false">IF(BH48="x","x",IF(BH48="-","-",""))</f>
        <v/>
      </c>
      <c r="CR48" s="2" t="str">
        <f aca="false">IF(P48="x","x",IF(P48="-","-",""))</f>
        <v>-</v>
      </c>
      <c r="CS48" s="2" t="str">
        <f aca="false">IF(Q48="x","x",IF(Q48="-","-",""))</f>
        <v>-</v>
      </c>
      <c r="CT48" s="2" t="str">
        <f aca="false">IF(R48="x","x",IF(R48="-","-",""))</f>
        <v>-</v>
      </c>
      <c r="CU48" s="2" t="str">
        <f aca="false">IF(S48="x","x",IF(S48="-","-",""))</f>
        <v>-</v>
      </c>
      <c r="CV48" s="2" t="str">
        <f aca="false">IF(T48="x","x",IF(T48="-","-",""))</f>
        <v>-</v>
      </c>
      <c r="CW48" s="2" t="str">
        <f aca="false">IF(U48="x","x",IF(U48="-","-",""))</f>
        <v>-</v>
      </c>
      <c r="CX48" s="2" t="str">
        <f aca="false">IF(V48="x","x",IF(V48="-","-",""))</f>
        <v>-</v>
      </c>
      <c r="CY48" s="2" t="str">
        <f aca="false">IF(W48="x","x",IF(W48="-","-",""))</f>
        <v>-</v>
      </c>
      <c r="CZ48" s="2" t="s">
        <v>78</v>
      </c>
      <c r="DA48" s="2" t="s">
        <v>78</v>
      </c>
      <c r="DB48" s="2" t="s">
        <v>78</v>
      </c>
      <c r="DC48" s="2" t="s">
        <v>78</v>
      </c>
      <c r="DE48" s="2" t="str">
        <f aca="false">IF(Y48="x","x",IF(Y48="-","-",""))</f>
        <v>-</v>
      </c>
      <c r="DF48" s="2" t="str">
        <f aca="false">IF(Z48="x","x",IF(Z48="-","-",""))</f>
        <v>-</v>
      </c>
      <c r="DG48" s="2" t="str">
        <f aca="false">IF(AA48="x","x",IF(AA48="-","-",""))</f>
        <v>-</v>
      </c>
      <c r="DH48" s="2" t="str">
        <f aca="false">IF(AB48="x","x",IF(AB48="-","-",""))</f>
        <v>-</v>
      </c>
      <c r="DI48" s="2" t="str">
        <f aca="false">IF(AC48="x","x",IF(AC48="-","-",""))</f>
        <v>-</v>
      </c>
      <c r="DJ48" s="2" t="str">
        <f aca="false">IF(AD48="x","x",IF(AD48="-","-",""))</f>
        <v>-</v>
      </c>
      <c r="DK48" s="2" t="str">
        <f aca="false">IF(AE48="x","x",IF(AE48="-","-",""))</f>
        <v>-</v>
      </c>
      <c r="DL48" s="2" t="str">
        <f aca="false">IF(AF48="x","x",IF(AF48="-","-",""))</f>
        <v>-</v>
      </c>
      <c r="DM48" s="2" t="s">
        <v>78</v>
      </c>
      <c r="DN48" s="2" t="s">
        <v>78</v>
      </c>
      <c r="DO48" s="2" t="s">
        <v>78</v>
      </c>
      <c r="DP48" s="2" t="s">
        <v>78</v>
      </c>
      <c r="EG48" s="11"/>
      <c r="EH48" s="11"/>
      <c r="EI48" s="11"/>
      <c r="EJ48" s="11"/>
      <c r="EK48" s="11"/>
      <c r="EL48" s="11"/>
      <c r="EM48" s="11"/>
      <c r="EN48" s="11"/>
    </row>
    <row r="49" customFormat="false" ht="13.8" hidden="false" customHeight="false" outlineLevel="0" collapsed="false">
      <c r="A49" s="11" t="s">
        <v>73</v>
      </c>
      <c r="B49" s="2" t="n">
        <v>48</v>
      </c>
      <c r="C49" s="12" t="s">
        <v>129</v>
      </c>
      <c r="D49" s="11" t="s">
        <v>118</v>
      </c>
      <c r="E49" s="11" t="s">
        <v>76</v>
      </c>
      <c r="F49" s="11" t="n">
        <v>48</v>
      </c>
      <c r="G49" s="11" t="s">
        <v>78</v>
      </c>
      <c r="H49" s="11" t="s">
        <v>78</v>
      </c>
      <c r="I49" s="11" t="s">
        <v>78</v>
      </c>
      <c r="J49" s="11" t="s">
        <v>77</v>
      </c>
      <c r="K49" s="11" t="n">
        <v>-35</v>
      </c>
      <c r="L49" s="11" t="s">
        <v>77</v>
      </c>
      <c r="M49" s="2" t="n">
        <v>960</v>
      </c>
      <c r="N49" s="11"/>
      <c r="O49" s="11"/>
      <c r="P49" s="11" t="s">
        <v>78</v>
      </c>
      <c r="Q49" s="11" t="s">
        <v>78</v>
      </c>
      <c r="R49" s="11" t="s">
        <v>78</v>
      </c>
      <c r="S49" s="11" t="s">
        <v>78</v>
      </c>
      <c r="T49" s="11" t="s">
        <v>78</v>
      </c>
      <c r="U49" s="11" t="s">
        <v>78</v>
      </c>
      <c r="V49" s="11" t="s">
        <v>78</v>
      </c>
      <c r="W49" s="11" t="s">
        <v>78</v>
      </c>
      <c r="X49" s="11"/>
      <c r="Y49" s="11" t="s">
        <v>78</v>
      </c>
      <c r="Z49" s="11" t="s">
        <v>78</v>
      </c>
      <c r="AA49" s="11" t="s">
        <v>78</v>
      </c>
      <c r="AB49" s="11" t="s">
        <v>78</v>
      </c>
      <c r="AC49" s="11" t="s">
        <v>78</v>
      </c>
      <c r="AD49" s="11" t="s">
        <v>78</v>
      </c>
      <c r="AE49" s="11" t="s">
        <v>78</v>
      </c>
      <c r="AF49" s="11" t="s">
        <v>78</v>
      </c>
      <c r="AH49" s="11" t="s">
        <v>73</v>
      </c>
      <c r="AI49" s="11" t="s">
        <v>73</v>
      </c>
      <c r="AK49" s="11"/>
      <c r="AL49" s="11"/>
      <c r="AM49" s="11"/>
      <c r="AN49" s="11" t="s">
        <v>79</v>
      </c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J49" s="11" t="s">
        <v>78</v>
      </c>
      <c r="BK49" s="11" t="s">
        <v>78</v>
      </c>
      <c r="BL49" s="11" t="s">
        <v>78</v>
      </c>
      <c r="BM49" s="11" t="s">
        <v>78</v>
      </c>
      <c r="BN49" s="11" t="s">
        <v>78</v>
      </c>
      <c r="BO49" s="11" t="s">
        <v>78</v>
      </c>
      <c r="BP49" s="11" t="s">
        <v>78</v>
      </c>
      <c r="BQ49" s="11" t="s">
        <v>78</v>
      </c>
      <c r="BS49" s="2" t="str">
        <f aca="false">IF(AK49="x","x",IF(AK49="-","-",""))</f>
        <v/>
      </c>
      <c r="BT49" s="2" t="str">
        <f aca="false">IF(AL49="x","x",IF(AL49="-","-",""))</f>
        <v/>
      </c>
      <c r="BU49" s="2" t="str">
        <f aca="false">IF(AM49="x","x",IF(AM49="-","-",""))</f>
        <v/>
      </c>
      <c r="BV49" s="2" t="str">
        <f aca="false">IF(AN49="x","x",IF(AN49="-","-",""))</f>
        <v>x</v>
      </c>
      <c r="BW49" s="2" t="str">
        <f aca="false">IF(AO49="x","x",IF(AO49="-","-",""))</f>
        <v/>
      </c>
      <c r="BX49" s="2" t="str">
        <f aca="false">IF(AP49="x","x",IF(AP49="-","-",""))</f>
        <v/>
      </c>
      <c r="BY49" s="2" t="str">
        <f aca="false">IF(AQ49="x","x",IF(AQ49="-","-",""))</f>
        <v/>
      </c>
      <c r="BZ49" s="2" t="str">
        <f aca="false">IF(AR49="x","x",IF(AR49="-","-",""))</f>
        <v/>
      </c>
      <c r="CA49" s="2" t="str">
        <f aca="false">IF(AS49="x","x",IF(AS49="-","-",""))</f>
        <v/>
      </c>
      <c r="CB49" s="2" t="str">
        <f aca="false">IF(AT49="x","x",IF(AT49="-","-",""))</f>
        <v/>
      </c>
      <c r="CC49" s="2" t="str">
        <f aca="false">IF(AU49="x","x",IF(AU49="-","-",""))</f>
        <v/>
      </c>
      <c r="CD49" s="2" t="str">
        <f aca="false">IF(AV49="x","x",IF(AV49="-","-",""))</f>
        <v/>
      </c>
      <c r="CE49" s="2" t="str">
        <f aca="false">IF(AW49="x","x",IF(AW49="-","-",""))</f>
        <v/>
      </c>
      <c r="CF49" s="2" t="str">
        <f aca="false">IF(AX49="x","x",IF(AX49="-","-",""))</f>
        <v/>
      </c>
      <c r="CG49" s="2" t="str">
        <f aca="false">IF(AY49="x","x",IF(AY49="-","-",""))</f>
        <v/>
      </c>
      <c r="CH49" s="2" t="str">
        <f aca="false">IF(AZ49="x","x",IF(AZ49="-","-",""))</f>
        <v/>
      </c>
      <c r="CI49" s="2" t="str">
        <f aca="false">IF(BA49="x","x",IF(BA49="-","-",""))</f>
        <v/>
      </c>
      <c r="CJ49" s="2" t="str">
        <f aca="false">IF(BB49="x","x",IF(BB49="-","-",""))</f>
        <v/>
      </c>
      <c r="CK49" s="2" t="str">
        <f aca="false">IF(BC49="x","x",IF(BC49="-","-",""))</f>
        <v/>
      </c>
      <c r="CL49" s="2" t="str">
        <f aca="false">IF(BD49="x","x",IF(BD49="-","-",""))</f>
        <v/>
      </c>
      <c r="CM49" s="2" t="str">
        <f aca="false">IF(BE49="x","x",IF(BE49="-","-",""))</f>
        <v/>
      </c>
      <c r="CN49" s="2" t="str">
        <f aca="false">IF(BF49="x","x",IF(BF49="-","-",""))</f>
        <v/>
      </c>
      <c r="CO49" s="2" t="str">
        <f aca="false">IF(BG49="x","x",IF(BG49="-","-",""))</f>
        <v/>
      </c>
      <c r="CP49" s="2" t="str">
        <f aca="false">IF(BH49="x","x",IF(BH49="-","-",""))</f>
        <v/>
      </c>
      <c r="CR49" s="2" t="str">
        <f aca="false">IF(P49="x","x",IF(P49="-","-",""))</f>
        <v>-</v>
      </c>
      <c r="CS49" s="2" t="str">
        <f aca="false">IF(Q49="x","x",IF(Q49="-","-",""))</f>
        <v>-</v>
      </c>
      <c r="CT49" s="2" t="str">
        <f aca="false">IF(R49="x","x",IF(R49="-","-",""))</f>
        <v>-</v>
      </c>
      <c r="CU49" s="2" t="str">
        <f aca="false">IF(S49="x","x",IF(S49="-","-",""))</f>
        <v>-</v>
      </c>
      <c r="CV49" s="2" t="str">
        <f aca="false">IF(T49="x","x",IF(T49="-","-",""))</f>
        <v>-</v>
      </c>
      <c r="CW49" s="2" t="str">
        <f aca="false">IF(U49="x","x",IF(U49="-","-",""))</f>
        <v>-</v>
      </c>
      <c r="CX49" s="2" t="str">
        <f aca="false">IF(V49="x","x",IF(V49="-","-",""))</f>
        <v>-</v>
      </c>
      <c r="CY49" s="2" t="str">
        <f aca="false">IF(W49="x","x",IF(W49="-","-",""))</f>
        <v>-</v>
      </c>
      <c r="CZ49" s="2" t="s">
        <v>78</v>
      </c>
      <c r="DA49" s="2" t="s">
        <v>78</v>
      </c>
      <c r="DB49" s="2" t="s">
        <v>78</v>
      </c>
      <c r="DC49" s="2" t="s">
        <v>78</v>
      </c>
      <c r="DE49" s="2" t="str">
        <f aca="false">IF(Y49="x","x",IF(Y49="-","-",""))</f>
        <v>-</v>
      </c>
      <c r="DF49" s="2" t="str">
        <f aca="false">IF(Z49="x","x",IF(Z49="-","-",""))</f>
        <v>-</v>
      </c>
      <c r="DG49" s="2" t="str">
        <f aca="false">IF(AA49="x","x",IF(AA49="-","-",""))</f>
        <v>-</v>
      </c>
      <c r="DH49" s="2" t="str">
        <f aca="false">IF(AB49="x","x",IF(AB49="-","-",""))</f>
        <v>-</v>
      </c>
      <c r="DI49" s="2" t="str">
        <f aca="false">IF(AC49="x","x",IF(AC49="-","-",""))</f>
        <v>-</v>
      </c>
      <c r="DJ49" s="2" t="str">
        <f aca="false">IF(AD49="x","x",IF(AD49="-","-",""))</f>
        <v>-</v>
      </c>
      <c r="DK49" s="2" t="str">
        <f aca="false">IF(AE49="x","x",IF(AE49="-","-",""))</f>
        <v>-</v>
      </c>
      <c r="DL49" s="2" t="str">
        <f aca="false">IF(AF49="x","x",IF(AF49="-","-",""))</f>
        <v>-</v>
      </c>
      <c r="DM49" s="2" t="s">
        <v>78</v>
      </c>
      <c r="DN49" s="2" t="s">
        <v>78</v>
      </c>
      <c r="DO49" s="2" t="s">
        <v>78</v>
      </c>
      <c r="DP49" s="2" t="s">
        <v>78</v>
      </c>
      <c r="EG49" s="11"/>
      <c r="EH49" s="11"/>
      <c r="EI49" s="11"/>
      <c r="EJ49" s="11"/>
      <c r="EK49" s="11"/>
      <c r="EL49" s="11"/>
      <c r="EM49" s="11"/>
      <c r="EN49" s="11"/>
    </row>
    <row r="50" customFormat="false" ht="13.8" hidden="false" customHeight="false" outlineLevel="0" collapsed="false">
      <c r="A50" s="11" t="s">
        <v>73</v>
      </c>
      <c r="B50" s="2" t="n">
        <v>49</v>
      </c>
      <c r="C50" s="12" t="s">
        <v>130</v>
      </c>
      <c r="D50" s="11" t="s">
        <v>131</v>
      </c>
      <c r="E50" s="11" t="s">
        <v>76</v>
      </c>
      <c r="F50" s="11" t="n">
        <v>49</v>
      </c>
      <c r="G50" s="11" t="s">
        <v>78</v>
      </c>
      <c r="H50" s="11" t="s">
        <v>78</v>
      </c>
      <c r="I50" s="11" t="s">
        <v>78</v>
      </c>
      <c r="J50" s="11" t="s">
        <v>73</v>
      </c>
      <c r="K50" s="11" t="n">
        <v>-40</v>
      </c>
      <c r="L50" s="11" t="s">
        <v>73</v>
      </c>
      <c r="M50" s="2" t="n">
        <v>980</v>
      </c>
      <c r="N50" s="11" t="s">
        <v>73</v>
      </c>
      <c r="O50" s="11"/>
      <c r="P50" s="11" t="s">
        <v>78</v>
      </c>
      <c r="Q50" s="11" t="s">
        <v>78</v>
      </c>
      <c r="R50" s="11" t="s">
        <v>78</v>
      </c>
      <c r="S50" s="11" t="s">
        <v>78</v>
      </c>
      <c r="T50" s="11" t="s">
        <v>78</v>
      </c>
      <c r="U50" s="11" t="s">
        <v>78</v>
      </c>
      <c r="V50" s="11" t="s">
        <v>78</v>
      </c>
      <c r="W50" s="11" t="s">
        <v>78</v>
      </c>
      <c r="X50" s="11"/>
      <c r="Y50" s="11" t="s">
        <v>78</v>
      </c>
      <c r="Z50" s="11" t="s">
        <v>78</v>
      </c>
      <c r="AA50" s="11" t="s">
        <v>78</v>
      </c>
      <c r="AB50" s="11" t="s">
        <v>78</v>
      </c>
      <c r="AC50" s="11" t="s">
        <v>78</v>
      </c>
      <c r="AD50" s="11" t="s">
        <v>78</v>
      </c>
      <c r="AE50" s="11" t="s">
        <v>78</v>
      </c>
      <c r="AF50" s="11" t="s">
        <v>78</v>
      </c>
      <c r="AH50" s="11" t="s">
        <v>73</v>
      </c>
      <c r="AI50" s="11" t="s">
        <v>73</v>
      </c>
      <c r="AK50" s="11"/>
      <c r="AL50" s="11"/>
      <c r="AM50" s="11"/>
      <c r="AN50" s="11"/>
      <c r="AO50" s="11" t="s">
        <v>79</v>
      </c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J50" s="11" t="s">
        <v>78</v>
      </c>
      <c r="BK50" s="11" t="s">
        <v>78</v>
      </c>
      <c r="BL50" s="11" t="s">
        <v>78</v>
      </c>
      <c r="BM50" s="11" t="s">
        <v>78</v>
      </c>
      <c r="BN50" s="11" t="s">
        <v>78</v>
      </c>
      <c r="BO50" s="11" t="s">
        <v>78</v>
      </c>
      <c r="BP50" s="11" t="s">
        <v>78</v>
      </c>
      <c r="BQ50" s="11" t="s">
        <v>78</v>
      </c>
      <c r="BS50" s="2" t="str">
        <f aca="false">IF(AK50="x","x",IF(AK50="-","-",""))</f>
        <v/>
      </c>
      <c r="BT50" s="2" t="str">
        <f aca="false">IF(AL50="x","x",IF(AL50="-","-",""))</f>
        <v/>
      </c>
      <c r="BU50" s="2" t="str">
        <f aca="false">IF(AM50="x","x",IF(AM50="-","-",""))</f>
        <v/>
      </c>
      <c r="BV50" s="2" t="str">
        <f aca="false">IF(AN50="x","x",IF(AN50="-","-",""))</f>
        <v/>
      </c>
      <c r="BW50" s="2" t="str">
        <f aca="false">IF(AO50="x","x",IF(AO50="-","-",""))</f>
        <v>x</v>
      </c>
      <c r="BX50" s="2" t="str">
        <f aca="false">IF(AP50="x","x",IF(AP50="-","-",""))</f>
        <v/>
      </c>
      <c r="BY50" s="2" t="str">
        <f aca="false">IF(AQ50="x","x",IF(AQ50="-","-",""))</f>
        <v/>
      </c>
      <c r="BZ50" s="2" t="str">
        <f aca="false">IF(AR50="x","x",IF(AR50="-","-",""))</f>
        <v/>
      </c>
      <c r="CA50" s="2" t="str">
        <f aca="false">IF(AS50="x","x",IF(AS50="-","-",""))</f>
        <v/>
      </c>
      <c r="CB50" s="2" t="str">
        <f aca="false">IF(AT50="x","x",IF(AT50="-","-",""))</f>
        <v/>
      </c>
      <c r="CC50" s="2" t="str">
        <f aca="false">IF(AU50="x","x",IF(AU50="-","-",""))</f>
        <v/>
      </c>
      <c r="CD50" s="2" t="str">
        <f aca="false">IF(AV50="x","x",IF(AV50="-","-",""))</f>
        <v/>
      </c>
      <c r="CE50" s="2" t="str">
        <f aca="false">IF(AW50="x","x",IF(AW50="-","-",""))</f>
        <v/>
      </c>
      <c r="CF50" s="2" t="str">
        <f aca="false">IF(AX50="x","x",IF(AX50="-","-",""))</f>
        <v/>
      </c>
      <c r="CG50" s="2" t="str">
        <f aca="false">IF(AY50="x","x",IF(AY50="-","-",""))</f>
        <v/>
      </c>
      <c r="CH50" s="2" t="str">
        <f aca="false">IF(AZ50="x","x",IF(AZ50="-","-",""))</f>
        <v/>
      </c>
      <c r="CI50" s="2" t="str">
        <f aca="false">IF(BA50="x","x",IF(BA50="-","-",""))</f>
        <v/>
      </c>
      <c r="CJ50" s="2" t="str">
        <f aca="false">IF(BB50="x","x",IF(BB50="-","-",""))</f>
        <v/>
      </c>
      <c r="CK50" s="2" t="str">
        <f aca="false">IF(BC50="x","x",IF(BC50="-","-",""))</f>
        <v/>
      </c>
      <c r="CL50" s="2" t="str">
        <f aca="false">IF(BD50="x","x",IF(BD50="-","-",""))</f>
        <v/>
      </c>
      <c r="CM50" s="2" t="str">
        <f aca="false">IF(BE50="x","x",IF(BE50="-","-",""))</f>
        <v/>
      </c>
      <c r="CN50" s="2" t="str">
        <f aca="false">IF(BF50="x","x",IF(BF50="-","-",""))</f>
        <v/>
      </c>
      <c r="CO50" s="2" t="str">
        <f aca="false">IF(BG50="x","x",IF(BG50="-","-",""))</f>
        <v/>
      </c>
      <c r="CP50" s="2" t="str">
        <f aca="false">IF(BH50="x","x",IF(BH50="-","-",""))</f>
        <v/>
      </c>
      <c r="CR50" s="2" t="str">
        <f aca="false">IF(P50="x","x",IF(P50="-","-",""))</f>
        <v>-</v>
      </c>
      <c r="CS50" s="2" t="str">
        <f aca="false">IF(Q50="x","x",IF(Q50="-","-",""))</f>
        <v>-</v>
      </c>
      <c r="CT50" s="2" t="str">
        <f aca="false">IF(R50="x","x",IF(R50="-","-",""))</f>
        <v>-</v>
      </c>
      <c r="CU50" s="2" t="str">
        <f aca="false">IF(S50="x","x",IF(S50="-","-",""))</f>
        <v>-</v>
      </c>
      <c r="CV50" s="2" t="str">
        <f aca="false">IF(T50="x","x",IF(T50="-","-",""))</f>
        <v>-</v>
      </c>
      <c r="CW50" s="2" t="str">
        <f aca="false">IF(U50="x","x",IF(U50="-","-",""))</f>
        <v>-</v>
      </c>
      <c r="CX50" s="2" t="str">
        <f aca="false">IF(V50="x","x",IF(V50="-","-",""))</f>
        <v>-</v>
      </c>
      <c r="CY50" s="2" t="str">
        <f aca="false">IF(W50="x","x",IF(W50="-","-",""))</f>
        <v>-</v>
      </c>
      <c r="CZ50" s="2" t="s">
        <v>78</v>
      </c>
      <c r="DA50" s="2" t="s">
        <v>78</v>
      </c>
      <c r="DB50" s="2" t="s">
        <v>78</v>
      </c>
      <c r="DC50" s="2" t="s">
        <v>78</v>
      </c>
      <c r="DE50" s="2" t="str">
        <f aca="false">IF(Y50="x","x",IF(Y50="-","-",""))</f>
        <v>-</v>
      </c>
      <c r="DF50" s="2" t="str">
        <f aca="false">IF(Z50="x","x",IF(Z50="-","-",""))</f>
        <v>-</v>
      </c>
      <c r="DG50" s="2" t="str">
        <f aca="false">IF(AA50="x","x",IF(AA50="-","-",""))</f>
        <v>-</v>
      </c>
      <c r="DH50" s="2" t="str">
        <f aca="false">IF(AB50="x","x",IF(AB50="-","-",""))</f>
        <v>-</v>
      </c>
      <c r="DI50" s="2" t="str">
        <f aca="false">IF(AC50="x","x",IF(AC50="-","-",""))</f>
        <v>-</v>
      </c>
      <c r="DJ50" s="2" t="str">
        <f aca="false">IF(AD50="x","x",IF(AD50="-","-",""))</f>
        <v>-</v>
      </c>
      <c r="DK50" s="2" t="str">
        <f aca="false">IF(AE50="x","x",IF(AE50="-","-",""))</f>
        <v>-</v>
      </c>
      <c r="DL50" s="2" t="str">
        <f aca="false">IF(AF50="x","x",IF(AF50="-","-",""))</f>
        <v>-</v>
      </c>
      <c r="DM50" s="2" t="s">
        <v>78</v>
      </c>
      <c r="DN50" s="2" t="s">
        <v>78</v>
      </c>
      <c r="DO50" s="2" t="s">
        <v>78</v>
      </c>
      <c r="DP50" s="2" t="s">
        <v>78</v>
      </c>
      <c r="EG50" s="11"/>
      <c r="EH50" s="11"/>
      <c r="EI50" s="11"/>
      <c r="EJ50" s="11"/>
      <c r="EK50" s="11"/>
      <c r="EL50" s="11"/>
      <c r="EM50" s="11"/>
      <c r="EN50" s="11"/>
    </row>
    <row r="51" customFormat="false" ht="13.8" hidden="false" customHeight="false" outlineLevel="0" collapsed="false">
      <c r="A51" s="11" t="s">
        <v>73</v>
      </c>
      <c r="B51" s="2" t="n">
        <v>50</v>
      </c>
      <c r="C51" s="12" t="s">
        <v>132</v>
      </c>
      <c r="D51" s="11" t="s">
        <v>131</v>
      </c>
      <c r="E51" s="11" t="s">
        <v>76</v>
      </c>
      <c r="F51" s="11" t="n">
        <v>50</v>
      </c>
      <c r="G51" s="11" t="s">
        <v>78</v>
      </c>
      <c r="H51" s="11" t="s">
        <v>78</v>
      </c>
      <c r="I51" s="11" t="s">
        <v>78</v>
      </c>
      <c r="J51" s="11" t="s">
        <v>77</v>
      </c>
      <c r="K51" s="11" t="n">
        <v>-45</v>
      </c>
      <c r="L51" s="11" t="s">
        <v>77</v>
      </c>
      <c r="M51" s="2" t="n">
        <v>1000</v>
      </c>
      <c r="N51" s="11" t="s">
        <v>77</v>
      </c>
      <c r="O51" s="11"/>
      <c r="P51" s="11" t="s">
        <v>78</v>
      </c>
      <c r="Q51" s="11" t="s">
        <v>78</v>
      </c>
      <c r="R51" s="11" t="s">
        <v>78</v>
      </c>
      <c r="S51" s="11" t="s">
        <v>78</v>
      </c>
      <c r="T51" s="11" t="s">
        <v>78</v>
      </c>
      <c r="U51" s="11" t="s">
        <v>78</v>
      </c>
      <c r="V51" s="11" t="s">
        <v>78</v>
      </c>
      <c r="W51" s="11" t="s">
        <v>78</v>
      </c>
      <c r="X51" s="11"/>
      <c r="Y51" s="11" t="s">
        <v>78</v>
      </c>
      <c r="Z51" s="11" t="s">
        <v>78</v>
      </c>
      <c r="AA51" s="11" t="s">
        <v>78</v>
      </c>
      <c r="AB51" s="11" t="s">
        <v>78</v>
      </c>
      <c r="AC51" s="11" t="s">
        <v>78</v>
      </c>
      <c r="AD51" s="11" t="s">
        <v>78</v>
      </c>
      <c r="AE51" s="11" t="s">
        <v>78</v>
      </c>
      <c r="AF51" s="11" t="s">
        <v>78</v>
      </c>
      <c r="AH51" s="11" t="s">
        <v>73</v>
      </c>
      <c r="AI51" s="11" t="s">
        <v>73</v>
      </c>
      <c r="AK51" s="11"/>
      <c r="AL51" s="11"/>
      <c r="AM51" s="11"/>
      <c r="AN51" s="11"/>
      <c r="AO51" s="11" t="s">
        <v>79</v>
      </c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J51" s="11" t="s">
        <v>78</v>
      </c>
      <c r="BK51" s="11" t="s">
        <v>78</v>
      </c>
      <c r="BL51" s="11" t="s">
        <v>78</v>
      </c>
      <c r="BM51" s="11" t="s">
        <v>78</v>
      </c>
      <c r="BN51" s="11" t="s">
        <v>78</v>
      </c>
      <c r="BO51" s="11" t="s">
        <v>78</v>
      </c>
      <c r="BP51" s="11" t="s">
        <v>78</v>
      </c>
      <c r="BQ51" s="11" t="s">
        <v>78</v>
      </c>
      <c r="BS51" s="2" t="str">
        <f aca="false">IF(AK51="x","x",IF(AK51="-","-",""))</f>
        <v/>
      </c>
      <c r="BT51" s="2" t="str">
        <f aca="false">IF(AL51="x","x",IF(AL51="-","-",""))</f>
        <v/>
      </c>
      <c r="BU51" s="2" t="str">
        <f aca="false">IF(AM51="x","x",IF(AM51="-","-",""))</f>
        <v/>
      </c>
      <c r="BV51" s="2" t="str">
        <f aca="false">IF(AN51="x","x",IF(AN51="-","-",""))</f>
        <v/>
      </c>
      <c r="BW51" s="2" t="str">
        <f aca="false">IF(AO51="x","x",IF(AO51="-","-",""))</f>
        <v>x</v>
      </c>
      <c r="BX51" s="2" t="str">
        <f aca="false">IF(AP51="x","x",IF(AP51="-","-",""))</f>
        <v/>
      </c>
      <c r="BY51" s="2" t="str">
        <f aca="false">IF(AQ51="x","x",IF(AQ51="-","-",""))</f>
        <v/>
      </c>
      <c r="BZ51" s="2" t="str">
        <f aca="false">IF(AR51="x","x",IF(AR51="-","-",""))</f>
        <v/>
      </c>
      <c r="CA51" s="2" t="str">
        <f aca="false">IF(AS51="x","x",IF(AS51="-","-",""))</f>
        <v/>
      </c>
      <c r="CB51" s="2" t="str">
        <f aca="false">IF(AT51="x","x",IF(AT51="-","-",""))</f>
        <v/>
      </c>
      <c r="CC51" s="2" t="str">
        <f aca="false">IF(AU51="x","x",IF(AU51="-","-",""))</f>
        <v/>
      </c>
      <c r="CD51" s="2" t="str">
        <f aca="false">IF(AV51="x","x",IF(AV51="-","-",""))</f>
        <v/>
      </c>
      <c r="CE51" s="2" t="str">
        <f aca="false">IF(AW51="x","x",IF(AW51="-","-",""))</f>
        <v/>
      </c>
      <c r="CF51" s="2" t="str">
        <f aca="false">IF(AX51="x","x",IF(AX51="-","-",""))</f>
        <v/>
      </c>
      <c r="CG51" s="2" t="str">
        <f aca="false">IF(AY51="x","x",IF(AY51="-","-",""))</f>
        <v/>
      </c>
      <c r="CH51" s="2" t="str">
        <f aca="false">IF(AZ51="x","x",IF(AZ51="-","-",""))</f>
        <v/>
      </c>
      <c r="CI51" s="2" t="str">
        <f aca="false">IF(BA51="x","x",IF(BA51="-","-",""))</f>
        <v/>
      </c>
      <c r="CJ51" s="2" t="str">
        <f aca="false">IF(BB51="x","x",IF(BB51="-","-",""))</f>
        <v/>
      </c>
      <c r="CK51" s="2" t="str">
        <f aca="false">IF(BC51="x","x",IF(BC51="-","-",""))</f>
        <v/>
      </c>
      <c r="CL51" s="2" t="str">
        <f aca="false">IF(BD51="x","x",IF(BD51="-","-",""))</f>
        <v/>
      </c>
      <c r="CM51" s="2" t="str">
        <f aca="false">IF(BE51="x","x",IF(BE51="-","-",""))</f>
        <v/>
      </c>
      <c r="CN51" s="2" t="str">
        <f aca="false">IF(BF51="x","x",IF(BF51="-","-",""))</f>
        <v/>
      </c>
      <c r="CO51" s="2" t="str">
        <f aca="false">IF(BG51="x","x",IF(BG51="-","-",""))</f>
        <v/>
      </c>
      <c r="CP51" s="2" t="str">
        <f aca="false">IF(BH51="x","x",IF(BH51="-","-",""))</f>
        <v/>
      </c>
      <c r="CR51" s="2" t="str">
        <f aca="false">IF(P51="x","x",IF(P51="-","-",""))</f>
        <v>-</v>
      </c>
      <c r="CS51" s="2" t="str">
        <f aca="false">IF(Q51="x","x",IF(Q51="-","-",""))</f>
        <v>-</v>
      </c>
      <c r="CT51" s="2" t="str">
        <f aca="false">IF(R51="x","x",IF(R51="-","-",""))</f>
        <v>-</v>
      </c>
      <c r="CU51" s="2" t="str">
        <f aca="false">IF(S51="x","x",IF(S51="-","-",""))</f>
        <v>-</v>
      </c>
      <c r="CV51" s="2" t="str">
        <f aca="false">IF(T51="x","x",IF(T51="-","-",""))</f>
        <v>-</v>
      </c>
      <c r="CW51" s="2" t="str">
        <f aca="false">IF(U51="x","x",IF(U51="-","-",""))</f>
        <v>-</v>
      </c>
      <c r="CX51" s="2" t="str">
        <f aca="false">IF(V51="x","x",IF(V51="-","-",""))</f>
        <v>-</v>
      </c>
      <c r="CY51" s="2" t="str">
        <f aca="false">IF(W51="x","x",IF(W51="-","-",""))</f>
        <v>-</v>
      </c>
      <c r="CZ51" s="2" t="s">
        <v>78</v>
      </c>
      <c r="DA51" s="2" t="s">
        <v>78</v>
      </c>
      <c r="DB51" s="2" t="s">
        <v>78</v>
      </c>
      <c r="DC51" s="2" t="s">
        <v>78</v>
      </c>
      <c r="DE51" s="2" t="str">
        <f aca="false">IF(Y51="x","x",IF(Y51="-","-",""))</f>
        <v>-</v>
      </c>
      <c r="DF51" s="2" t="str">
        <f aca="false">IF(Z51="x","x",IF(Z51="-","-",""))</f>
        <v>-</v>
      </c>
      <c r="DG51" s="2" t="str">
        <f aca="false">IF(AA51="x","x",IF(AA51="-","-",""))</f>
        <v>-</v>
      </c>
      <c r="DH51" s="2" t="str">
        <f aca="false">IF(AB51="x","x",IF(AB51="-","-",""))</f>
        <v>-</v>
      </c>
      <c r="DI51" s="2" t="str">
        <f aca="false">IF(AC51="x","x",IF(AC51="-","-",""))</f>
        <v>-</v>
      </c>
      <c r="DJ51" s="2" t="str">
        <f aca="false">IF(AD51="x","x",IF(AD51="-","-",""))</f>
        <v>-</v>
      </c>
      <c r="DK51" s="2" t="str">
        <f aca="false">IF(AE51="x","x",IF(AE51="-","-",""))</f>
        <v>-</v>
      </c>
      <c r="DL51" s="2" t="str">
        <f aca="false">IF(AF51="x","x",IF(AF51="-","-",""))</f>
        <v>-</v>
      </c>
      <c r="DM51" s="2" t="s">
        <v>78</v>
      </c>
      <c r="DN51" s="2" t="s">
        <v>78</v>
      </c>
      <c r="DO51" s="2" t="s">
        <v>78</v>
      </c>
      <c r="DP51" s="2" t="s">
        <v>78</v>
      </c>
      <c r="EG51" s="11"/>
      <c r="EH51" s="11"/>
      <c r="EI51" s="11"/>
      <c r="EJ51" s="11"/>
      <c r="EK51" s="11"/>
      <c r="EL51" s="11"/>
      <c r="EM51" s="11"/>
      <c r="EN51" s="11"/>
    </row>
    <row r="52" customFormat="false" ht="13.8" hidden="false" customHeight="false" outlineLevel="0" collapsed="false">
      <c r="A52" s="11" t="s">
        <v>73</v>
      </c>
      <c r="B52" s="2" t="n">
        <v>51</v>
      </c>
      <c r="C52" s="12" t="s">
        <v>133</v>
      </c>
      <c r="D52" s="11" t="s">
        <v>131</v>
      </c>
      <c r="E52" s="11" t="s">
        <v>76</v>
      </c>
      <c r="F52" s="11" t="n">
        <v>51</v>
      </c>
      <c r="G52" s="11" t="s">
        <v>78</v>
      </c>
      <c r="H52" s="11" t="s">
        <v>78</v>
      </c>
      <c r="I52" s="11" t="s">
        <v>78</v>
      </c>
      <c r="J52" s="11" t="s">
        <v>73</v>
      </c>
      <c r="K52" s="11" t="n">
        <v>-99</v>
      </c>
      <c r="L52" s="11" t="s">
        <v>73</v>
      </c>
      <c r="M52" s="2" t="n">
        <v>1020</v>
      </c>
      <c r="N52" s="11" t="s">
        <v>73</v>
      </c>
      <c r="O52" s="11"/>
      <c r="P52" s="11" t="s">
        <v>78</v>
      </c>
      <c r="Q52" s="11" t="s">
        <v>78</v>
      </c>
      <c r="R52" s="11" t="s">
        <v>78</v>
      </c>
      <c r="S52" s="11" t="s">
        <v>78</v>
      </c>
      <c r="T52" s="11" t="s">
        <v>78</v>
      </c>
      <c r="U52" s="11" t="s">
        <v>78</v>
      </c>
      <c r="V52" s="11" t="s">
        <v>78</v>
      </c>
      <c r="W52" s="11" t="s">
        <v>78</v>
      </c>
      <c r="X52" s="11"/>
      <c r="Y52" s="11" t="s">
        <v>78</v>
      </c>
      <c r="Z52" s="11" t="s">
        <v>78</v>
      </c>
      <c r="AA52" s="11" t="s">
        <v>78</v>
      </c>
      <c r="AB52" s="11" t="s">
        <v>78</v>
      </c>
      <c r="AC52" s="11" t="s">
        <v>78</v>
      </c>
      <c r="AD52" s="11" t="s">
        <v>78</v>
      </c>
      <c r="AE52" s="11" t="s">
        <v>78</v>
      </c>
      <c r="AF52" s="11" t="s">
        <v>78</v>
      </c>
      <c r="AH52" s="11" t="s">
        <v>73</v>
      </c>
      <c r="AI52" s="11" t="s">
        <v>73</v>
      </c>
      <c r="AK52" s="11"/>
      <c r="AL52" s="11"/>
      <c r="AM52" s="11"/>
      <c r="AN52" s="11"/>
      <c r="AO52" s="11" t="s">
        <v>79</v>
      </c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J52" s="11" t="s">
        <v>78</v>
      </c>
      <c r="BK52" s="11" t="s">
        <v>78</v>
      </c>
      <c r="BL52" s="11" t="s">
        <v>78</v>
      </c>
      <c r="BM52" s="11" t="s">
        <v>78</v>
      </c>
      <c r="BN52" s="11" t="s">
        <v>78</v>
      </c>
      <c r="BO52" s="11" t="s">
        <v>78</v>
      </c>
      <c r="BP52" s="11" t="s">
        <v>78</v>
      </c>
      <c r="BQ52" s="11" t="s">
        <v>78</v>
      </c>
      <c r="BS52" s="2" t="str">
        <f aca="false">IF(AK52="x","x",IF(AK52="-","-",""))</f>
        <v/>
      </c>
      <c r="BT52" s="2" t="str">
        <f aca="false">IF(AL52="x","x",IF(AL52="-","-",""))</f>
        <v/>
      </c>
      <c r="BU52" s="2" t="str">
        <f aca="false">IF(AM52="x","x",IF(AM52="-","-",""))</f>
        <v/>
      </c>
      <c r="BV52" s="2" t="str">
        <f aca="false">IF(AN52="x","x",IF(AN52="-","-",""))</f>
        <v/>
      </c>
      <c r="BW52" s="2" t="str">
        <f aca="false">IF(AO52="x","x",IF(AO52="-","-",""))</f>
        <v>x</v>
      </c>
      <c r="BX52" s="2" t="str">
        <f aca="false">IF(AP52="x","x",IF(AP52="-","-",""))</f>
        <v/>
      </c>
      <c r="BY52" s="2" t="str">
        <f aca="false">IF(AQ52="x","x",IF(AQ52="-","-",""))</f>
        <v/>
      </c>
      <c r="BZ52" s="2" t="str">
        <f aca="false">IF(AR52="x","x",IF(AR52="-","-",""))</f>
        <v/>
      </c>
      <c r="CA52" s="2" t="str">
        <f aca="false">IF(AS52="x","x",IF(AS52="-","-",""))</f>
        <v/>
      </c>
      <c r="CB52" s="2" t="str">
        <f aca="false">IF(AT52="x","x",IF(AT52="-","-",""))</f>
        <v/>
      </c>
      <c r="CC52" s="2" t="str">
        <f aca="false">IF(AU52="x","x",IF(AU52="-","-",""))</f>
        <v/>
      </c>
      <c r="CD52" s="2" t="str">
        <f aca="false">IF(AV52="x","x",IF(AV52="-","-",""))</f>
        <v/>
      </c>
      <c r="CE52" s="2" t="str">
        <f aca="false">IF(AW52="x","x",IF(AW52="-","-",""))</f>
        <v/>
      </c>
      <c r="CF52" s="2" t="str">
        <f aca="false">IF(AX52="x","x",IF(AX52="-","-",""))</f>
        <v/>
      </c>
      <c r="CG52" s="2" t="str">
        <f aca="false">IF(AY52="x","x",IF(AY52="-","-",""))</f>
        <v/>
      </c>
      <c r="CH52" s="2" t="str">
        <f aca="false">IF(AZ52="x","x",IF(AZ52="-","-",""))</f>
        <v/>
      </c>
      <c r="CI52" s="2" t="str">
        <f aca="false">IF(BA52="x","x",IF(BA52="-","-",""))</f>
        <v/>
      </c>
      <c r="CJ52" s="2" t="str">
        <f aca="false">IF(BB52="x","x",IF(BB52="-","-",""))</f>
        <v/>
      </c>
      <c r="CK52" s="2" t="str">
        <f aca="false">IF(BC52="x","x",IF(BC52="-","-",""))</f>
        <v/>
      </c>
      <c r="CL52" s="2" t="str">
        <f aca="false">IF(BD52="x","x",IF(BD52="-","-",""))</f>
        <v/>
      </c>
      <c r="CM52" s="2" t="str">
        <f aca="false">IF(BE52="x","x",IF(BE52="-","-",""))</f>
        <v/>
      </c>
      <c r="CN52" s="2" t="str">
        <f aca="false">IF(BF52="x","x",IF(BF52="-","-",""))</f>
        <v/>
      </c>
      <c r="CO52" s="2" t="str">
        <f aca="false">IF(BG52="x","x",IF(BG52="-","-",""))</f>
        <v/>
      </c>
      <c r="CP52" s="2" t="str">
        <f aca="false">IF(BH52="x","x",IF(BH52="-","-",""))</f>
        <v/>
      </c>
      <c r="CR52" s="2" t="str">
        <f aca="false">IF(P52="x","x",IF(P52="-","-",""))</f>
        <v>-</v>
      </c>
      <c r="CS52" s="2" t="str">
        <f aca="false">IF(Q52="x","x",IF(Q52="-","-",""))</f>
        <v>-</v>
      </c>
      <c r="CT52" s="2" t="str">
        <f aca="false">IF(R52="x","x",IF(R52="-","-",""))</f>
        <v>-</v>
      </c>
      <c r="CU52" s="2" t="str">
        <f aca="false">IF(S52="x","x",IF(S52="-","-",""))</f>
        <v>-</v>
      </c>
      <c r="CV52" s="2" t="str">
        <f aca="false">IF(T52="x","x",IF(T52="-","-",""))</f>
        <v>-</v>
      </c>
      <c r="CW52" s="2" t="str">
        <f aca="false">IF(U52="x","x",IF(U52="-","-",""))</f>
        <v>-</v>
      </c>
      <c r="CX52" s="2" t="str">
        <f aca="false">IF(V52="x","x",IF(V52="-","-",""))</f>
        <v>-</v>
      </c>
      <c r="CY52" s="2" t="str">
        <f aca="false">IF(W52="x","x",IF(W52="-","-",""))</f>
        <v>-</v>
      </c>
      <c r="CZ52" s="2" t="s">
        <v>78</v>
      </c>
      <c r="DA52" s="2" t="s">
        <v>78</v>
      </c>
      <c r="DB52" s="2" t="s">
        <v>78</v>
      </c>
      <c r="DC52" s="2" t="s">
        <v>78</v>
      </c>
      <c r="DE52" s="2" t="str">
        <f aca="false">IF(Y52="x","x",IF(Y52="-","-",""))</f>
        <v>-</v>
      </c>
      <c r="DF52" s="2" t="str">
        <f aca="false">IF(Z52="x","x",IF(Z52="-","-",""))</f>
        <v>-</v>
      </c>
      <c r="DG52" s="2" t="str">
        <f aca="false">IF(AA52="x","x",IF(AA52="-","-",""))</f>
        <v>-</v>
      </c>
      <c r="DH52" s="2" t="str">
        <f aca="false">IF(AB52="x","x",IF(AB52="-","-",""))</f>
        <v>-</v>
      </c>
      <c r="DI52" s="2" t="str">
        <f aca="false">IF(AC52="x","x",IF(AC52="-","-",""))</f>
        <v>-</v>
      </c>
      <c r="DJ52" s="2" t="str">
        <f aca="false">IF(AD52="x","x",IF(AD52="-","-",""))</f>
        <v>-</v>
      </c>
      <c r="DK52" s="2" t="str">
        <f aca="false">IF(AE52="x","x",IF(AE52="-","-",""))</f>
        <v>-</v>
      </c>
      <c r="DL52" s="2" t="str">
        <f aca="false">IF(AF52="x","x",IF(AF52="-","-",""))</f>
        <v>-</v>
      </c>
      <c r="DM52" s="2" t="s">
        <v>78</v>
      </c>
      <c r="DN52" s="2" t="s">
        <v>78</v>
      </c>
      <c r="DO52" s="2" t="s">
        <v>78</v>
      </c>
      <c r="DP52" s="2" t="s">
        <v>78</v>
      </c>
      <c r="EG52" s="11"/>
      <c r="EH52" s="11"/>
      <c r="EI52" s="11"/>
      <c r="EJ52" s="11"/>
      <c r="EK52" s="11"/>
      <c r="EL52" s="11"/>
      <c r="EM52" s="11"/>
      <c r="EN52" s="11"/>
    </row>
    <row r="53" customFormat="false" ht="13.8" hidden="false" customHeight="false" outlineLevel="0" collapsed="false">
      <c r="A53" s="11" t="s">
        <v>73</v>
      </c>
      <c r="B53" s="2" t="n">
        <v>52</v>
      </c>
      <c r="C53" s="12" t="s">
        <v>134</v>
      </c>
      <c r="D53" s="11" t="s">
        <v>131</v>
      </c>
      <c r="E53" s="11" t="s">
        <v>76</v>
      </c>
      <c r="F53" s="11" t="n">
        <v>52</v>
      </c>
      <c r="G53" s="11" t="s">
        <v>78</v>
      </c>
      <c r="H53" s="11" t="s">
        <v>78</v>
      </c>
      <c r="I53" s="11" t="s">
        <v>78</v>
      </c>
      <c r="J53" s="11" t="s">
        <v>77</v>
      </c>
      <c r="K53" s="11" t="n">
        <v>10</v>
      </c>
      <c r="L53" s="11" t="s">
        <v>77</v>
      </c>
      <c r="M53" s="2" t="n">
        <v>1040</v>
      </c>
      <c r="N53" s="11" t="s">
        <v>77</v>
      </c>
      <c r="O53" s="11"/>
      <c r="P53" s="11" t="s">
        <v>78</v>
      </c>
      <c r="Q53" s="11" t="s">
        <v>78</v>
      </c>
      <c r="R53" s="11" t="s">
        <v>78</v>
      </c>
      <c r="S53" s="11" t="s">
        <v>78</v>
      </c>
      <c r="T53" s="11" t="s">
        <v>78</v>
      </c>
      <c r="U53" s="11" t="s">
        <v>78</v>
      </c>
      <c r="V53" s="11" t="s">
        <v>78</v>
      </c>
      <c r="W53" s="11" t="s">
        <v>78</v>
      </c>
      <c r="X53" s="11"/>
      <c r="Y53" s="11" t="s">
        <v>78</v>
      </c>
      <c r="Z53" s="11" t="s">
        <v>78</v>
      </c>
      <c r="AA53" s="11" t="s">
        <v>78</v>
      </c>
      <c r="AB53" s="11" t="s">
        <v>78</v>
      </c>
      <c r="AC53" s="11" t="s">
        <v>78</v>
      </c>
      <c r="AD53" s="11" t="s">
        <v>78</v>
      </c>
      <c r="AE53" s="11" t="s">
        <v>78</v>
      </c>
      <c r="AF53" s="11" t="s">
        <v>78</v>
      </c>
      <c r="AH53" s="11" t="s">
        <v>73</v>
      </c>
      <c r="AI53" s="11" t="s">
        <v>73</v>
      </c>
      <c r="AK53" s="11"/>
      <c r="AL53" s="11"/>
      <c r="AM53" s="11"/>
      <c r="AN53" s="11"/>
      <c r="AO53" s="11" t="s">
        <v>79</v>
      </c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J53" s="11" t="s">
        <v>78</v>
      </c>
      <c r="BK53" s="11" t="s">
        <v>78</v>
      </c>
      <c r="BL53" s="11" t="s">
        <v>78</v>
      </c>
      <c r="BM53" s="11" t="s">
        <v>78</v>
      </c>
      <c r="BN53" s="11" t="s">
        <v>78</v>
      </c>
      <c r="BO53" s="11" t="s">
        <v>78</v>
      </c>
      <c r="BP53" s="11" t="s">
        <v>78</v>
      </c>
      <c r="BQ53" s="11" t="s">
        <v>78</v>
      </c>
      <c r="BS53" s="2" t="str">
        <f aca="false">IF(AK53="x","x",IF(AK53="-","-",""))</f>
        <v/>
      </c>
      <c r="BT53" s="2" t="str">
        <f aca="false">IF(AL53="x","x",IF(AL53="-","-",""))</f>
        <v/>
      </c>
      <c r="BU53" s="2" t="str">
        <f aca="false">IF(AM53="x","x",IF(AM53="-","-",""))</f>
        <v/>
      </c>
      <c r="BV53" s="2" t="str">
        <f aca="false">IF(AN53="x","x",IF(AN53="-","-",""))</f>
        <v/>
      </c>
      <c r="BW53" s="2" t="str">
        <f aca="false">IF(AO53="x","x",IF(AO53="-","-",""))</f>
        <v>x</v>
      </c>
      <c r="BX53" s="2" t="str">
        <f aca="false">IF(AP53="x","x",IF(AP53="-","-",""))</f>
        <v/>
      </c>
      <c r="BY53" s="2" t="str">
        <f aca="false">IF(AQ53="x","x",IF(AQ53="-","-",""))</f>
        <v/>
      </c>
      <c r="BZ53" s="2" t="str">
        <f aca="false">IF(AR53="x","x",IF(AR53="-","-",""))</f>
        <v/>
      </c>
      <c r="CA53" s="2" t="str">
        <f aca="false">IF(AS53="x","x",IF(AS53="-","-",""))</f>
        <v/>
      </c>
      <c r="CB53" s="2" t="str">
        <f aca="false">IF(AT53="x","x",IF(AT53="-","-",""))</f>
        <v/>
      </c>
      <c r="CC53" s="2" t="str">
        <f aca="false">IF(AU53="x","x",IF(AU53="-","-",""))</f>
        <v/>
      </c>
      <c r="CD53" s="2" t="str">
        <f aca="false">IF(AV53="x","x",IF(AV53="-","-",""))</f>
        <v/>
      </c>
      <c r="CE53" s="2" t="str">
        <f aca="false">IF(AW53="x","x",IF(AW53="-","-",""))</f>
        <v/>
      </c>
      <c r="CF53" s="2" t="str">
        <f aca="false">IF(AX53="x","x",IF(AX53="-","-",""))</f>
        <v/>
      </c>
      <c r="CG53" s="2" t="str">
        <f aca="false">IF(AY53="x","x",IF(AY53="-","-",""))</f>
        <v/>
      </c>
      <c r="CH53" s="2" t="str">
        <f aca="false">IF(AZ53="x","x",IF(AZ53="-","-",""))</f>
        <v/>
      </c>
      <c r="CI53" s="2" t="str">
        <f aca="false">IF(BA53="x","x",IF(BA53="-","-",""))</f>
        <v/>
      </c>
      <c r="CJ53" s="2" t="str">
        <f aca="false">IF(BB53="x","x",IF(BB53="-","-",""))</f>
        <v/>
      </c>
      <c r="CK53" s="2" t="str">
        <f aca="false">IF(BC53="x","x",IF(BC53="-","-",""))</f>
        <v/>
      </c>
      <c r="CL53" s="2" t="str">
        <f aca="false">IF(BD53="x","x",IF(BD53="-","-",""))</f>
        <v/>
      </c>
      <c r="CM53" s="2" t="str">
        <f aca="false">IF(BE53="x","x",IF(BE53="-","-",""))</f>
        <v/>
      </c>
      <c r="CN53" s="2" t="str">
        <f aca="false">IF(BF53="x","x",IF(BF53="-","-",""))</f>
        <v/>
      </c>
      <c r="CO53" s="2" t="str">
        <f aca="false">IF(BG53="x","x",IF(BG53="-","-",""))</f>
        <v/>
      </c>
      <c r="CP53" s="2" t="str">
        <f aca="false">IF(BH53="x","x",IF(BH53="-","-",""))</f>
        <v/>
      </c>
      <c r="CR53" s="2" t="str">
        <f aca="false">IF(P53="x","x",IF(P53="-","-",""))</f>
        <v>-</v>
      </c>
      <c r="CS53" s="2" t="str">
        <f aca="false">IF(Q53="x","x",IF(Q53="-","-",""))</f>
        <v>-</v>
      </c>
      <c r="CT53" s="2" t="str">
        <f aca="false">IF(R53="x","x",IF(R53="-","-",""))</f>
        <v>-</v>
      </c>
      <c r="CU53" s="2" t="str">
        <f aca="false">IF(S53="x","x",IF(S53="-","-",""))</f>
        <v>-</v>
      </c>
      <c r="CV53" s="2" t="str">
        <f aca="false">IF(T53="x","x",IF(T53="-","-",""))</f>
        <v>-</v>
      </c>
      <c r="CW53" s="2" t="str">
        <f aca="false">IF(U53="x","x",IF(U53="-","-",""))</f>
        <v>-</v>
      </c>
      <c r="CX53" s="2" t="str">
        <f aca="false">IF(V53="x","x",IF(V53="-","-",""))</f>
        <v>-</v>
      </c>
      <c r="CY53" s="2" t="str">
        <f aca="false">IF(W53="x","x",IF(W53="-","-",""))</f>
        <v>-</v>
      </c>
      <c r="CZ53" s="2" t="s">
        <v>78</v>
      </c>
      <c r="DA53" s="2" t="s">
        <v>78</v>
      </c>
      <c r="DB53" s="2" t="s">
        <v>78</v>
      </c>
      <c r="DC53" s="2" t="s">
        <v>78</v>
      </c>
      <c r="DE53" s="2" t="str">
        <f aca="false">IF(Y53="x","x",IF(Y53="-","-",""))</f>
        <v>-</v>
      </c>
      <c r="DF53" s="2" t="str">
        <f aca="false">IF(Z53="x","x",IF(Z53="-","-",""))</f>
        <v>-</v>
      </c>
      <c r="DG53" s="2" t="str">
        <f aca="false">IF(AA53="x","x",IF(AA53="-","-",""))</f>
        <v>-</v>
      </c>
      <c r="DH53" s="2" t="str">
        <f aca="false">IF(AB53="x","x",IF(AB53="-","-",""))</f>
        <v>-</v>
      </c>
      <c r="DI53" s="2" t="str">
        <f aca="false">IF(AC53="x","x",IF(AC53="-","-",""))</f>
        <v>-</v>
      </c>
      <c r="DJ53" s="2" t="str">
        <f aca="false">IF(AD53="x","x",IF(AD53="-","-",""))</f>
        <v>-</v>
      </c>
      <c r="DK53" s="2" t="str">
        <f aca="false">IF(AE53="x","x",IF(AE53="-","-",""))</f>
        <v>-</v>
      </c>
      <c r="DL53" s="2" t="str">
        <f aca="false">IF(AF53="x","x",IF(AF53="-","-",""))</f>
        <v>-</v>
      </c>
      <c r="DM53" s="2" t="s">
        <v>78</v>
      </c>
      <c r="DN53" s="2" t="s">
        <v>78</v>
      </c>
      <c r="DO53" s="2" t="s">
        <v>78</v>
      </c>
      <c r="DP53" s="2" t="s">
        <v>78</v>
      </c>
      <c r="EG53" s="11"/>
      <c r="EH53" s="11"/>
      <c r="EI53" s="11"/>
      <c r="EJ53" s="11"/>
      <c r="EK53" s="11"/>
      <c r="EL53" s="11"/>
      <c r="EM53" s="11"/>
      <c r="EN53" s="11"/>
    </row>
    <row r="54" customFormat="false" ht="13.8" hidden="false" customHeight="false" outlineLevel="0" collapsed="false">
      <c r="A54" s="11" t="s">
        <v>73</v>
      </c>
      <c r="B54" s="2" t="n">
        <v>53</v>
      </c>
      <c r="C54" s="12" t="s">
        <v>135</v>
      </c>
      <c r="D54" s="11" t="s">
        <v>131</v>
      </c>
      <c r="E54" s="11" t="s">
        <v>76</v>
      </c>
      <c r="F54" s="11" t="n">
        <v>53</v>
      </c>
      <c r="G54" s="11" t="s">
        <v>78</v>
      </c>
      <c r="H54" s="11" t="s">
        <v>78</v>
      </c>
      <c r="I54" s="11" t="s">
        <v>78</v>
      </c>
      <c r="J54" s="11" t="s">
        <v>73</v>
      </c>
      <c r="K54" s="11" t="n">
        <v>5</v>
      </c>
      <c r="L54" s="11" t="s">
        <v>73</v>
      </c>
      <c r="M54" s="2" t="n">
        <v>1060</v>
      </c>
      <c r="N54" s="11" t="s">
        <v>73</v>
      </c>
      <c r="O54" s="11"/>
      <c r="P54" s="11" t="s">
        <v>78</v>
      </c>
      <c r="Q54" s="11" t="s">
        <v>78</v>
      </c>
      <c r="R54" s="11" t="s">
        <v>78</v>
      </c>
      <c r="S54" s="11" t="s">
        <v>78</v>
      </c>
      <c r="T54" s="11" t="s">
        <v>78</v>
      </c>
      <c r="U54" s="11" t="s">
        <v>78</v>
      </c>
      <c r="V54" s="11" t="s">
        <v>78</v>
      </c>
      <c r="W54" s="11" t="s">
        <v>78</v>
      </c>
      <c r="X54" s="11"/>
      <c r="Y54" s="11" t="s">
        <v>78</v>
      </c>
      <c r="Z54" s="11" t="s">
        <v>78</v>
      </c>
      <c r="AA54" s="11" t="s">
        <v>78</v>
      </c>
      <c r="AB54" s="11" t="s">
        <v>78</v>
      </c>
      <c r="AC54" s="11" t="s">
        <v>78</v>
      </c>
      <c r="AD54" s="11" t="s">
        <v>78</v>
      </c>
      <c r="AE54" s="11" t="s">
        <v>78</v>
      </c>
      <c r="AF54" s="11" t="s">
        <v>78</v>
      </c>
      <c r="AH54" s="11" t="s">
        <v>73</v>
      </c>
      <c r="AI54" s="11" t="s">
        <v>73</v>
      </c>
      <c r="AK54" s="11"/>
      <c r="AL54" s="11"/>
      <c r="AM54" s="11"/>
      <c r="AN54" s="11"/>
      <c r="AO54" s="11" t="s">
        <v>79</v>
      </c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J54" s="11" t="s">
        <v>78</v>
      </c>
      <c r="BK54" s="11" t="s">
        <v>78</v>
      </c>
      <c r="BL54" s="11" t="s">
        <v>78</v>
      </c>
      <c r="BM54" s="11" t="s">
        <v>78</v>
      </c>
      <c r="BN54" s="11" t="s">
        <v>78</v>
      </c>
      <c r="BO54" s="11" t="s">
        <v>78</v>
      </c>
      <c r="BP54" s="11" t="s">
        <v>78</v>
      </c>
      <c r="BQ54" s="11" t="s">
        <v>78</v>
      </c>
      <c r="BS54" s="2" t="str">
        <f aca="false">IF(AK54="x","x",IF(AK54="-","-",""))</f>
        <v/>
      </c>
      <c r="BT54" s="2" t="str">
        <f aca="false">IF(AL54="x","x",IF(AL54="-","-",""))</f>
        <v/>
      </c>
      <c r="BU54" s="2" t="str">
        <f aca="false">IF(AM54="x","x",IF(AM54="-","-",""))</f>
        <v/>
      </c>
      <c r="BV54" s="2" t="str">
        <f aca="false">IF(AN54="x","x",IF(AN54="-","-",""))</f>
        <v/>
      </c>
      <c r="BW54" s="2" t="str">
        <f aca="false">IF(AO54="x","x",IF(AO54="-","-",""))</f>
        <v>x</v>
      </c>
      <c r="BX54" s="2" t="str">
        <f aca="false">IF(AP54="x","x",IF(AP54="-","-",""))</f>
        <v/>
      </c>
      <c r="BY54" s="2" t="str">
        <f aca="false">IF(AQ54="x","x",IF(AQ54="-","-",""))</f>
        <v/>
      </c>
      <c r="BZ54" s="2" t="str">
        <f aca="false">IF(AR54="x","x",IF(AR54="-","-",""))</f>
        <v/>
      </c>
      <c r="CA54" s="2" t="str">
        <f aca="false">IF(AS54="x","x",IF(AS54="-","-",""))</f>
        <v/>
      </c>
      <c r="CB54" s="2" t="str">
        <f aca="false">IF(AT54="x","x",IF(AT54="-","-",""))</f>
        <v/>
      </c>
      <c r="CC54" s="2" t="str">
        <f aca="false">IF(AU54="x","x",IF(AU54="-","-",""))</f>
        <v/>
      </c>
      <c r="CD54" s="2" t="str">
        <f aca="false">IF(AV54="x","x",IF(AV54="-","-",""))</f>
        <v/>
      </c>
      <c r="CE54" s="2" t="str">
        <f aca="false">IF(AW54="x","x",IF(AW54="-","-",""))</f>
        <v/>
      </c>
      <c r="CF54" s="2" t="str">
        <f aca="false">IF(AX54="x","x",IF(AX54="-","-",""))</f>
        <v/>
      </c>
      <c r="CG54" s="2" t="str">
        <f aca="false">IF(AY54="x","x",IF(AY54="-","-",""))</f>
        <v/>
      </c>
      <c r="CH54" s="2" t="str">
        <f aca="false">IF(AZ54="x","x",IF(AZ54="-","-",""))</f>
        <v/>
      </c>
      <c r="CI54" s="2" t="str">
        <f aca="false">IF(BA54="x","x",IF(BA54="-","-",""))</f>
        <v/>
      </c>
      <c r="CJ54" s="2" t="str">
        <f aca="false">IF(BB54="x","x",IF(BB54="-","-",""))</f>
        <v/>
      </c>
      <c r="CK54" s="2" t="str">
        <f aca="false">IF(BC54="x","x",IF(BC54="-","-",""))</f>
        <v/>
      </c>
      <c r="CL54" s="2" t="str">
        <f aca="false">IF(BD54="x","x",IF(BD54="-","-",""))</f>
        <v/>
      </c>
      <c r="CM54" s="2" t="str">
        <f aca="false">IF(BE54="x","x",IF(BE54="-","-",""))</f>
        <v/>
      </c>
      <c r="CN54" s="2" t="str">
        <f aca="false">IF(BF54="x","x",IF(BF54="-","-",""))</f>
        <v/>
      </c>
      <c r="CO54" s="2" t="str">
        <f aca="false">IF(BG54="x","x",IF(BG54="-","-",""))</f>
        <v/>
      </c>
      <c r="CP54" s="2" t="str">
        <f aca="false">IF(BH54="x","x",IF(BH54="-","-",""))</f>
        <v/>
      </c>
      <c r="CR54" s="2" t="str">
        <f aca="false">IF(P54="x","x",IF(P54="-","-",""))</f>
        <v>-</v>
      </c>
      <c r="CS54" s="2" t="str">
        <f aca="false">IF(Q54="x","x",IF(Q54="-","-",""))</f>
        <v>-</v>
      </c>
      <c r="CT54" s="2" t="str">
        <f aca="false">IF(R54="x","x",IF(R54="-","-",""))</f>
        <v>-</v>
      </c>
      <c r="CU54" s="2" t="str">
        <f aca="false">IF(S54="x","x",IF(S54="-","-",""))</f>
        <v>-</v>
      </c>
      <c r="CV54" s="2" t="str">
        <f aca="false">IF(T54="x","x",IF(T54="-","-",""))</f>
        <v>-</v>
      </c>
      <c r="CW54" s="2" t="str">
        <f aca="false">IF(U54="x","x",IF(U54="-","-",""))</f>
        <v>-</v>
      </c>
      <c r="CX54" s="2" t="str">
        <f aca="false">IF(V54="x","x",IF(V54="-","-",""))</f>
        <v>-</v>
      </c>
      <c r="CY54" s="2" t="str">
        <f aca="false">IF(W54="x","x",IF(W54="-","-",""))</f>
        <v>-</v>
      </c>
      <c r="CZ54" s="2" t="s">
        <v>78</v>
      </c>
      <c r="DA54" s="2" t="s">
        <v>78</v>
      </c>
      <c r="DB54" s="2" t="s">
        <v>78</v>
      </c>
      <c r="DC54" s="2" t="s">
        <v>78</v>
      </c>
      <c r="DE54" s="2" t="str">
        <f aca="false">IF(Y54="x","x",IF(Y54="-","-",""))</f>
        <v>-</v>
      </c>
      <c r="DF54" s="2" t="str">
        <f aca="false">IF(Z54="x","x",IF(Z54="-","-",""))</f>
        <v>-</v>
      </c>
      <c r="DG54" s="2" t="str">
        <f aca="false">IF(AA54="x","x",IF(AA54="-","-",""))</f>
        <v>-</v>
      </c>
      <c r="DH54" s="2" t="str">
        <f aca="false">IF(AB54="x","x",IF(AB54="-","-",""))</f>
        <v>-</v>
      </c>
      <c r="DI54" s="2" t="str">
        <f aca="false">IF(AC54="x","x",IF(AC54="-","-",""))</f>
        <v>-</v>
      </c>
      <c r="DJ54" s="2" t="str">
        <f aca="false">IF(AD54="x","x",IF(AD54="-","-",""))</f>
        <v>-</v>
      </c>
      <c r="DK54" s="2" t="str">
        <f aca="false">IF(AE54="x","x",IF(AE54="-","-",""))</f>
        <v>-</v>
      </c>
      <c r="DL54" s="2" t="str">
        <f aca="false">IF(AF54="x","x",IF(AF54="-","-",""))</f>
        <v>-</v>
      </c>
      <c r="DM54" s="2" t="s">
        <v>78</v>
      </c>
      <c r="DN54" s="2" t="s">
        <v>78</v>
      </c>
      <c r="DO54" s="2" t="s">
        <v>78</v>
      </c>
      <c r="DP54" s="2" t="s">
        <v>78</v>
      </c>
      <c r="EG54" s="11"/>
      <c r="EH54" s="11"/>
      <c r="EI54" s="11"/>
      <c r="EJ54" s="11"/>
      <c r="EK54" s="11"/>
      <c r="EL54" s="11"/>
      <c r="EM54" s="11"/>
      <c r="EN54" s="11"/>
    </row>
    <row r="55" customFormat="false" ht="13.8" hidden="false" customHeight="false" outlineLevel="0" collapsed="false">
      <c r="A55" s="11" t="s">
        <v>73</v>
      </c>
      <c r="B55" s="2" t="n">
        <v>54</v>
      </c>
      <c r="C55" s="12" t="s">
        <v>136</v>
      </c>
      <c r="D55" s="11" t="s">
        <v>131</v>
      </c>
      <c r="E55" s="11" t="s">
        <v>76</v>
      </c>
      <c r="F55" s="11" t="n">
        <v>54</v>
      </c>
      <c r="G55" s="11" t="s">
        <v>78</v>
      </c>
      <c r="H55" s="11" t="s">
        <v>78</v>
      </c>
      <c r="I55" s="11" t="s">
        <v>78</v>
      </c>
      <c r="J55" s="11" t="s">
        <v>77</v>
      </c>
      <c r="K55" s="11" t="n">
        <v>0</v>
      </c>
      <c r="L55" s="11" t="s">
        <v>77</v>
      </c>
      <c r="M55" s="2" t="n">
        <v>1080</v>
      </c>
      <c r="N55" s="11" t="s">
        <v>77</v>
      </c>
      <c r="O55" s="11"/>
      <c r="P55" s="11" t="s">
        <v>78</v>
      </c>
      <c r="Q55" s="11" t="s">
        <v>78</v>
      </c>
      <c r="R55" s="11" t="s">
        <v>78</v>
      </c>
      <c r="S55" s="11" t="s">
        <v>78</v>
      </c>
      <c r="T55" s="11" t="s">
        <v>78</v>
      </c>
      <c r="U55" s="11" t="s">
        <v>78</v>
      </c>
      <c r="V55" s="11" t="s">
        <v>78</v>
      </c>
      <c r="W55" s="11" t="s">
        <v>78</v>
      </c>
      <c r="X55" s="11"/>
      <c r="Y55" s="11" t="s">
        <v>78</v>
      </c>
      <c r="Z55" s="11" t="s">
        <v>78</v>
      </c>
      <c r="AA55" s="11" t="s">
        <v>78</v>
      </c>
      <c r="AB55" s="11" t="s">
        <v>78</v>
      </c>
      <c r="AC55" s="11" t="s">
        <v>78</v>
      </c>
      <c r="AD55" s="11" t="s">
        <v>78</v>
      </c>
      <c r="AE55" s="11" t="s">
        <v>78</v>
      </c>
      <c r="AF55" s="11" t="s">
        <v>78</v>
      </c>
      <c r="AH55" s="11" t="s">
        <v>73</v>
      </c>
      <c r="AI55" s="11" t="s">
        <v>73</v>
      </c>
      <c r="AK55" s="11"/>
      <c r="AL55" s="11"/>
      <c r="AM55" s="11"/>
      <c r="AN55" s="11"/>
      <c r="AO55" s="11" t="s">
        <v>79</v>
      </c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J55" s="11" t="s">
        <v>78</v>
      </c>
      <c r="BK55" s="11" t="s">
        <v>78</v>
      </c>
      <c r="BL55" s="11" t="s">
        <v>78</v>
      </c>
      <c r="BM55" s="11" t="s">
        <v>78</v>
      </c>
      <c r="BN55" s="11" t="s">
        <v>78</v>
      </c>
      <c r="BO55" s="11" t="s">
        <v>78</v>
      </c>
      <c r="BP55" s="11" t="s">
        <v>78</v>
      </c>
      <c r="BQ55" s="11" t="s">
        <v>78</v>
      </c>
      <c r="BS55" s="2" t="str">
        <f aca="false">IF(AK55="x","x",IF(AK55="-","-",""))</f>
        <v/>
      </c>
      <c r="BT55" s="2" t="str">
        <f aca="false">IF(AL55="x","x",IF(AL55="-","-",""))</f>
        <v/>
      </c>
      <c r="BU55" s="2" t="str">
        <f aca="false">IF(AM55="x","x",IF(AM55="-","-",""))</f>
        <v/>
      </c>
      <c r="BV55" s="2" t="str">
        <f aca="false">IF(AN55="x","x",IF(AN55="-","-",""))</f>
        <v/>
      </c>
      <c r="BW55" s="2" t="str">
        <f aca="false">IF(AO55="x","x",IF(AO55="-","-",""))</f>
        <v>x</v>
      </c>
      <c r="BX55" s="2" t="str">
        <f aca="false">IF(AP55="x","x",IF(AP55="-","-",""))</f>
        <v/>
      </c>
      <c r="BY55" s="2" t="str">
        <f aca="false">IF(AQ55="x","x",IF(AQ55="-","-",""))</f>
        <v/>
      </c>
      <c r="BZ55" s="2" t="str">
        <f aca="false">IF(AR55="x","x",IF(AR55="-","-",""))</f>
        <v/>
      </c>
      <c r="CA55" s="2" t="str">
        <f aca="false">IF(AS55="x","x",IF(AS55="-","-",""))</f>
        <v/>
      </c>
      <c r="CB55" s="2" t="str">
        <f aca="false">IF(AT55="x","x",IF(AT55="-","-",""))</f>
        <v/>
      </c>
      <c r="CC55" s="2" t="str">
        <f aca="false">IF(AU55="x","x",IF(AU55="-","-",""))</f>
        <v/>
      </c>
      <c r="CD55" s="2" t="str">
        <f aca="false">IF(AV55="x","x",IF(AV55="-","-",""))</f>
        <v/>
      </c>
      <c r="CE55" s="2" t="str">
        <f aca="false">IF(AW55="x","x",IF(AW55="-","-",""))</f>
        <v/>
      </c>
      <c r="CF55" s="2" t="str">
        <f aca="false">IF(AX55="x","x",IF(AX55="-","-",""))</f>
        <v/>
      </c>
      <c r="CG55" s="2" t="str">
        <f aca="false">IF(AY55="x","x",IF(AY55="-","-",""))</f>
        <v/>
      </c>
      <c r="CH55" s="2" t="str">
        <f aca="false">IF(AZ55="x","x",IF(AZ55="-","-",""))</f>
        <v/>
      </c>
      <c r="CI55" s="2" t="str">
        <f aca="false">IF(BA55="x","x",IF(BA55="-","-",""))</f>
        <v/>
      </c>
      <c r="CJ55" s="2" t="str">
        <f aca="false">IF(BB55="x","x",IF(BB55="-","-",""))</f>
        <v/>
      </c>
      <c r="CK55" s="2" t="str">
        <f aca="false">IF(BC55="x","x",IF(BC55="-","-",""))</f>
        <v/>
      </c>
      <c r="CL55" s="2" t="str">
        <f aca="false">IF(BD55="x","x",IF(BD55="-","-",""))</f>
        <v/>
      </c>
      <c r="CM55" s="2" t="str">
        <f aca="false">IF(BE55="x","x",IF(BE55="-","-",""))</f>
        <v/>
      </c>
      <c r="CN55" s="2" t="str">
        <f aca="false">IF(BF55="x","x",IF(BF55="-","-",""))</f>
        <v/>
      </c>
      <c r="CO55" s="2" t="str">
        <f aca="false">IF(BG55="x","x",IF(BG55="-","-",""))</f>
        <v/>
      </c>
      <c r="CP55" s="2" t="str">
        <f aca="false">IF(BH55="x","x",IF(BH55="-","-",""))</f>
        <v/>
      </c>
      <c r="CR55" s="2" t="str">
        <f aca="false">IF(P55="x","x",IF(P55="-","-",""))</f>
        <v>-</v>
      </c>
      <c r="CS55" s="2" t="str">
        <f aca="false">IF(Q55="x","x",IF(Q55="-","-",""))</f>
        <v>-</v>
      </c>
      <c r="CT55" s="2" t="str">
        <f aca="false">IF(R55="x","x",IF(R55="-","-",""))</f>
        <v>-</v>
      </c>
      <c r="CU55" s="2" t="str">
        <f aca="false">IF(S55="x","x",IF(S55="-","-",""))</f>
        <v>-</v>
      </c>
      <c r="CV55" s="2" t="str">
        <f aca="false">IF(T55="x","x",IF(T55="-","-",""))</f>
        <v>-</v>
      </c>
      <c r="CW55" s="2" t="str">
        <f aca="false">IF(U55="x","x",IF(U55="-","-",""))</f>
        <v>-</v>
      </c>
      <c r="CX55" s="2" t="str">
        <f aca="false">IF(V55="x","x",IF(V55="-","-",""))</f>
        <v>-</v>
      </c>
      <c r="CY55" s="2" t="str">
        <f aca="false">IF(W55="x","x",IF(W55="-","-",""))</f>
        <v>-</v>
      </c>
      <c r="CZ55" s="2" t="s">
        <v>78</v>
      </c>
      <c r="DA55" s="2" t="s">
        <v>78</v>
      </c>
      <c r="DB55" s="2" t="s">
        <v>78</v>
      </c>
      <c r="DC55" s="2" t="s">
        <v>78</v>
      </c>
      <c r="DE55" s="2" t="str">
        <f aca="false">IF(Y55="x","x",IF(Y55="-","-",""))</f>
        <v>-</v>
      </c>
      <c r="DF55" s="2" t="str">
        <f aca="false">IF(Z55="x","x",IF(Z55="-","-",""))</f>
        <v>-</v>
      </c>
      <c r="DG55" s="2" t="str">
        <f aca="false">IF(AA55="x","x",IF(AA55="-","-",""))</f>
        <v>-</v>
      </c>
      <c r="DH55" s="2" t="str">
        <f aca="false">IF(AB55="x","x",IF(AB55="-","-",""))</f>
        <v>-</v>
      </c>
      <c r="DI55" s="2" t="str">
        <f aca="false">IF(AC55="x","x",IF(AC55="-","-",""))</f>
        <v>-</v>
      </c>
      <c r="DJ55" s="2" t="str">
        <f aca="false">IF(AD55="x","x",IF(AD55="-","-",""))</f>
        <v>-</v>
      </c>
      <c r="DK55" s="2" t="str">
        <f aca="false">IF(AE55="x","x",IF(AE55="-","-",""))</f>
        <v>-</v>
      </c>
      <c r="DL55" s="2" t="str">
        <f aca="false">IF(AF55="x","x",IF(AF55="-","-",""))</f>
        <v>-</v>
      </c>
      <c r="DM55" s="2" t="s">
        <v>78</v>
      </c>
      <c r="DN55" s="2" t="s">
        <v>78</v>
      </c>
      <c r="DO55" s="2" t="s">
        <v>78</v>
      </c>
      <c r="DP55" s="2" t="s">
        <v>78</v>
      </c>
      <c r="EG55" s="11"/>
      <c r="EH55" s="11"/>
      <c r="EI55" s="11"/>
      <c r="EJ55" s="11"/>
      <c r="EK55" s="11"/>
      <c r="EL55" s="11"/>
      <c r="EM55" s="11"/>
      <c r="EN55" s="11"/>
    </row>
    <row r="56" customFormat="false" ht="13.8" hidden="false" customHeight="false" outlineLevel="0" collapsed="false">
      <c r="A56" s="11" t="s">
        <v>73</v>
      </c>
      <c r="B56" s="2" t="n">
        <v>55</v>
      </c>
      <c r="C56" s="12" t="s">
        <v>137</v>
      </c>
      <c r="D56" s="11" t="s">
        <v>131</v>
      </c>
      <c r="E56" s="11" t="s">
        <v>76</v>
      </c>
      <c r="F56" s="11" t="n">
        <v>55</v>
      </c>
      <c r="G56" s="11" t="s">
        <v>78</v>
      </c>
      <c r="H56" s="11" t="s">
        <v>78</v>
      </c>
      <c r="I56" s="11" t="s">
        <v>78</v>
      </c>
      <c r="J56" s="11" t="s">
        <v>73</v>
      </c>
      <c r="K56" s="11" t="n">
        <v>-5</v>
      </c>
      <c r="L56" s="11" t="s">
        <v>73</v>
      </c>
      <c r="M56" s="2" t="n">
        <v>1100</v>
      </c>
      <c r="N56" s="11" t="s">
        <v>73</v>
      </c>
      <c r="O56" s="11"/>
      <c r="P56" s="11" t="s">
        <v>78</v>
      </c>
      <c r="Q56" s="11" t="s">
        <v>78</v>
      </c>
      <c r="R56" s="11" t="s">
        <v>78</v>
      </c>
      <c r="S56" s="11" t="s">
        <v>78</v>
      </c>
      <c r="T56" s="11" t="s">
        <v>78</v>
      </c>
      <c r="U56" s="11" t="s">
        <v>78</v>
      </c>
      <c r="V56" s="11" t="s">
        <v>78</v>
      </c>
      <c r="W56" s="11" t="s">
        <v>78</v>
      </c>
      <c r="X56" s="11"/>
      <c r="Y56" s="11" t="s">
        <v>78</v>
      </c>
      <c r="Z56" s="11" t="s">
        <v>78</v>
      </c>
      <c r="AA56" s="11" t="s">
        <v>78</v>
      </c>
      <c r="AB56" s="11" t="s">
        <v>78</v>
      </c>
      <c r="AC56" s="11" t="s">
        <v>78</v>
      </c>
      <c r="AD56" s="11" t="s">
        <v>78</v>
      </c>
      <c r="AE56" s="11" t="s">
        <v>78</v>
      </c>
      <c r="AF56" s="11" t="s">
        <v>78</v>
      </c>
      <c r="AH56" s="11" t="s">
        <v>73</v>
      </c>
      <c r="AI56" s="11" t="s">
        <v>73</v>
      </c>
      <c r="AK56" s="11"/>
      <c r="AL56" s="11"/>
      <c r="AM56" s="11"/>
      <c r="AN56" s="11"/>
      <c r="AO56" s="11" t="s">
        <v>79</v>
      </c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J56" s="11" t="s">
        <v>78</v>
      </c>
      <c r="BK56" s="11" t="s">
        <v>78</v>
      </c>
      <c r="BL56" s="11" t="s">
        <v>78</v>
      </c>
      <c r="BM56" s="11" t="s">
        <v>78</v>
      </c>
      <c r="BN56" s="11" t="s">
        <v>78</v>
      </c>
      <c r="BO56" s="11" t="s">
        <v>78</v>
      </c>
      <c r="BP56" s="11" t="s">
        <v>78</v>
      </c>
      <c r="BQ56" s="11" t="s">
        <v>78</v>
      </c>
      <c r="BS56" s="2" t="str">
        <f aca="false">IF(AK56="x","x",IF(AK56="-","-",""))</f>
        <v/>
      </c>
      <c r="BT56" s="2" t="str">
        <f aca="false">IF(AL56="x","x",IF(AL56="-","-",""))</f>
        <v/>
      </c>
      <c r="BU56" s="2" t="str">
        <f aca="false">IF(AM56="x","x",IF(AM56="-","-",""))</f>
        <v/>
      </c>
      <c r="BV56" s="2" t="str">
        <f aca="false">IF(AN56="x","x",IF(AN56="-","-",""))</f>
        <v/>
      </c>
      <c r="BW56" s="2" t="str">
        <f aca="false">IF(AO56="x","x",IF(AO56="-","-",""))</f>
        <v>x</v>
      </c>
      <c r="BX56" s="2" t="str">
        <f aca="false">IF(AP56="x","x",IF(AP56="-","-",""))</f>
        <v/>
      </c>
      <c r="BY56" s="2" t="str">
        <f aca="false">IF(AQ56="x","x",IF(AQ56="-","-",""))</f>
        <v/>
      </c>
      <c r="BZ56" s="2" t="str">
        <f aca="false">IF(AR56="x","x",IF(AR56="-","-",""))</f>
        <v/>
      </c>
      <c r="CA56" s="2" t="str">
        <f aca="false">IF(AS56="x","x",IF(AS56="-","-",""))</f>
        <v/>
      </c>
      <c r="CB56" s="2" t="str">
        <f aca="false">IF(AT56="x","x",IF(AT56="-","-",""))</f>
        <v/>
      </c>
      <c r="CC56" s="2" t="str">
        <f aca="false">IF(AU56="x","x",IF(AU56="-","-",""))</f>
        <v/>
      </c>
      <c r="CD56" s="2" t="str">
        <f aca="false">IF(AV56="x","x",IF(AV56="-","-",""))</f>
        <v/>
      </c>
      <c r="CE56" s="2" t="str">
        <f aca="false">IF(AW56="x","x",IF(AW56="-","-",""))</f>
        <v/>
      </c>
      <c r="CF56" s="2" t="str">
        <f aca="false">IF(AX56="x","x",IF(AX56="-","-",""))</f>
        <v/>
      </c>
      <c r="CG56" s="2" t="str">
        <f aca="false">IF(AY56="x","x",IF(AY56="-","-",""))</f>
        <v/>
      </c>
      <c r="CH56" s="2" t="str">
        <f aca="false">IF(AZ56="x","x",IF(AZ56="-","-",""))</f>
        <v/>
      </c>
      <c r="CI56" s="2" t="str">
        <f aca="false">IF(BA56="x","x",IF(BA56="-","-",""))</f>
        <v/>
      </c>
      <c r="CJ56" s="2" t="str">
        <f aca="false">IF(BB56="x","x",IF(BB56="-","-",""))</f>
        <v/>
      </c>
      <c r="CK56" s="2" t="str">
        <f aca="false">IF(BC56="x","x",IF(BC56="-","-",""))</f>
        <v/>
      </c>
      <c r="CL56" s="2" t="str">
        <f aca="false">IF(BD56="x","x",IF(BD56="-","-",""))</f>
        <v/>
      </c>
      <c r="CM56" s="2" t="str">
        <f aca="false">IF(BE56="x","x",IF(BE56="-","-",""))</f>
        <v/>
      </c>
      <c r="CN56" s="2" t="str">
        <f aca="false">IF(BF56="x","x",IF(BF56="-","-",""))</f>
        <v/>
      </c>
      <c r="CO56" s="2" t="str">
        <f aca="false">IF(BG56="x","x",IF(BG56="-","-",""))</f>
        <v/>
      </c>
      <c r="CP56" s="2" t="str">
        <f aca="false">IF(BH56="x","x",IF(BH56="-","-",""))</f>
        <v/>
      </c>
      <c r="CR56" s="2" t="str">
        <f aca="false">IF(P56="x","x",IF(P56="-","-",""))</f>
        <v>-</v>
      </c>
      <c r="CS56" s="2" t="str">
        <f aca="false">IF(Q56="x","x",IF(Q56="-","-",""))</f>
        <v>-</v>
      </c>
      <c r="CT56" s="2" t="str">
        <f aca="false">IF(R56="x","x",IF(R56="-","-",""))</f>
        <v>-</v>
      </c>
      <c r="CU56" s="2" t="str">
        <f aca="false">IF(S56="x","x",IF(S56="-","-",""))</f>
        <v>-</v>
      </c>
      <c r="CV56" s="2" t="str">
        <f aca="false">IF(T56="x","x",IF(T56="-","-",""))</f>
        <v>-</v>
      </c>
      <c r="CW56" s="2" t="str">
        <f aca="false">IF(U56="x","x",IF(U56="-","-",""))</f>
        <v>-</v>
      </c>
      <c r="CX56" s="2" t="str">
        <f aca="false">IF(V56="x","x",IF(V56="-","-",""))</f>
        <v>-</v>
      </c>
      <c r="CY56" s="2" t="str">
        <f aca="false">IF(W56="x","x",IF(W56="-","-",""))</f>
        <v>-</v>
      </c>
      <c r="CZ56" s="2" t="s">
        <v>78</v>
      </c>
      <c r="DA56" s="2" t="s">
        <v>78</v>
      </c>
      <c r="DB56" s="2" t="s">
        <v>78</v>
      </c>
      <c r="DC56" s="2" t="s">
        <v>78</v>
      </c>
      <c r="DE56" s="2" t="str">
        <f aca="false">IF(Y56="x","x",IF(Y56="-","-",""))</f>
        <v>-</v>
      </c>
      <c r="DF56" s="2" t="str">
        <f aca="false">IF(Z56="x","x",IF(Z56="-","-",""))</f>
        <v>-</v>
      </c>
      <c r="DG56" s="2" t="str">
        <f aca="false">IF(AA56="x","x",IF(AA56="-","-",""))</f>
        <v>-</v>
      </c>
      <c r="DH56" s="2" t="str">
        <f aca="false">IF(AB56="x","x",IF(AB56="-","-",""))</f>
        <v>-</v>
      </c>
      <c r="DI56" s="2" t="str">
        <f aca="false">IF(AC56="x","x",IF(AC56="-","-",""))</f>
        <v>-</v>
      </c>
      <c r="DJ56" s="2" t="str">
        <f aca="false">IF(AD56="x","x",IF(AD56="-","-",""))</f>
        <v>-</v>
      </c>
      <c r="DK56" s="2" t="str">
        <f aca="false">IF(AE56="x","x",IF(AE56="-","-",""))</f>
        <v>-</v>
      </c>
      <c r="DL56" s="2" t="str">
        <f aca="false">IF(AF56="x","x",IF(AF56="-","-",""))</f>
        <v>-</v>
      </c>
      <c r="DM56" s="2" t="s">
        <v>78</v>
      </c>
      <c r="DN56" s="2" t="s">
        <v>78</v>
      </c>
      <c r="DO56" s="2" t="s">
        <v>78</v>
      </c>
      <c r="DP56" s="2" t="s">
        <v>78</v>
      </c>
      <c r="EG56" s="11"/>
      <c r="EH56" s="11"/>
      <c r="EI56" s="11"/>
      <c r="EJ56" s="11"/>
      <c r="EK56" s="11"/>
      <c r="EL56" s="11"/>
      <c r="EM56" s="11"/>
      <c r="EN56" s="11"/>
    </row>
    <row r="57" customFormat="false" ht="13.8" hidden="false" customHeight="false" outlineLevel="0" collapsed="false">
      <c r="A57" s="11" t="s">
        <v>73</v>
      </c>
      <c r="B57" s="2" t="n">
        <v>56</v>
      </c>
      <c r="C57" s="12" t="s">
        <v>138</v>
      </c>
      <c r="D57" s="11" t="s">
        <v>131</v>
      </c>
      <c r="E57" s="11" t="s">
        <v>76</v>
      </c>
      <c r="F57" s="11" t="n">
        <v>56</v>
      </c>
      <c r="G57" s="11" t="s">
        <v>78</v>
      </c>
      <c r="H57" s="11" t="s">
        <v>78</v>
      </c>
      <c r="I57" s="11" t="s">
        <v>78</v>
      </c>
      <c r="J57" s="11" t="s">
        <v>77</v>
      </c>
      <c r="K57" s="11" t="n">
        <v>-10</v>
      </c>
      <c r="L57" s="11" t="s">
        <v>77</v>
      </c>
      <c r="M57" s="2" t="n">
        <v>1120</v>
      </c>
      <c r="N57" s="11" t="s">
        <v>77</v>
      </c>
      <c r="O57" s="11"/>
      <c r="P57" s="11" t="s">
        <v>78</v>
      </c>
      <c r="Q57" s="11" t="s">
        <v>78</v>
      </c>
      <c r="R57" s="11" t="s">
        <v>78</v>
      </c>
      <c r="S57" s="11" t="s">
        <v>78</v>
      </c>
      <c r="T57" s="11" t="s">
        <v>78</v>
      </c>
      <c r="U57" s="11" t="s">
        <v>78</v>
      </c>
      <c r="V57" s="11" t="s">
        <v>78</v>
      </c>
      <c r="W57" s="11" t="s">
        <v>78</v>
      </c>
      <c r="X57" s="11"/>
      <c r="Y57" s="11" t="s">
        <v>78</v>
      </c>
      <c r="Z57" s="11" t="s">
        <v>78</v>
      </c>
      <c r="AA57" s="11" t="s">
        <v>78</v>
      </c>
      <c r="AB57" s="11" t="s">
        <v>78</v>
      </c>
      <c r="AC57" s="11" t="s">
        <v>78</v>
      </c>
      <c r="AD57" s="11" t="s">
        <v>78</v>
      </c>
      <c r="AE57" s="11" t="s">
        <v>78</v>
      </c>
      <c r="AF57" s="11" t="s">
        <v>78</v>
      </c>
      <c r="AH57" s="11" t="s">
        <v>73</v>
      </c>
      <c r="AI57" s="11" t="s">
        <v>73</v>
      </c>
      <c r="AK57" s="11"/>
      <c r="AL57" s="11"/>
      <c r="AM57" s="11"/>
      <c r="AN57" s="11"/>
      <c r="AO57" s="11" t="s">
        <v>79</v>
      </c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J57" s="11" t="s">
        <v>78</v>
      </c>
      <c r="BK57" s="11" t="s">
        <v>78</v>
      </c>
      <c r="BL57" s="11" t="s">
        <v>78</v>
      </c>
      <c r="BM57" s="11" t="s">
        <v>78</v>
      </c>
      <c r="BN57" s="11" t="s">
        <v>78</v>
      </c>
      <c r="BO57" s="11" t="s">
        <v>78</v>
      </c>
      <c r="BP57" s="11" t="s">
        <v>78</v>
      </c>
      <c r="BQ57" s="11" t="s">
        <v>78</v>
      </c>
      <c r="BS57" s="2" t="str">
        <f aca="false">IF(AK57="x","x",IF(AK57="-","-",""))</f>
        <v/>
      </c>
      <c r="BT57" s="2" t="str">
        <f aca="false">IF(AL57="x","x",IF(AL57="-","-",""))</f>
        <v/>
      </c>
      <c r="BU57" s="2" t="str">
        <f aca="false">IF(AM57="x","x",IF(AM57="-","-",""))</f>
        <v/>
      </c>
      <c r="BV57" s="2" t="str">
        <f aca="false">IF(AN57="x","x",IF(AN57="-","-",""))</f>
        <v/>
      </c>
      <c r="BW57" s="2" t="str">
        <f aca="false">IF(AO57="x","x",IF(AO57="-","-",""))</f>
        <v>x</v>
      </c>
      <c r="BX57" s="2" t="str">
        <f aca="false">IF(AP57="x","x",IF(AP57="-","-",""))</f>
        <v/>
      </c>
      <c r="BY57" s="2" t="str">
        <f aca="false">IF(AQ57="x","x",IF(AQ57="-","-",""))</f>
        <v/>
      </c>
      <c r="BZ57" s="2" t="str">
        <f aca="false">IF(AR57="x","x",IF(AR57="-","-",""))</f>
        <v/>
      </c>
      <c r="CA57" s="2" t="str">
        <f aca="false">IF(AS57="x","x",IF(AS57="-","-",""))</f>
        <v/>
      </c>
      <c r="CB57" s="2" t="str">
        <f aca="false">IF(AT57="x","x",IF(AT57="-","-",""))</f>
        <v/>
      </c>
      <c r="CC57" s="2" t="str">
        <f aca="false">IF(AU57="x","x",IF(AU57="-","-",""))</f>
        <v/>
      </c>
      <c r="CD57" s="2" t="str">
        <f aca="false">IF(AV57="x","x",IF(AV57="-","-",""))</f>
        <v/>
      </c>
      <c r="CE57" s="2" t="str">
        <f aca="false">IF(AW57="x","x",IF(AW57="-","-",""))</f>
        <v/>
      </c>
      <c r="CF57" s="2" t="str">
        <f aca="false">IF(AX57="x","x",IF(AX57="-","-",""))</f>
        <v/>
      </c>
      <c r="CG57" s="2" t="str">
        <f aca="false">IF(AY57="x","x",IF(AY57="-","-",""))</f>
        <v/>
      </c>
      <c r="CH57" s="2" t="str">
        <f aca="false">IF(AZ57="x","x",IF(AZ57="-","-",""))</f>
        <v/>
      </c>
      <c r="CI57" s="2" t="str">
        <f aca="false">IF(BA57="x","x",IF(BA57="-","-",""))</f>
        <v/>
      </c>
      <c r="CJ57" s="2" t="str">
        <f aca="false">IF(BB57="x","x",IF(BB57="-","-",""))</f>
        <v/>
      </c>
      <c r="CK57" s="2" t="str">
        <f aca="false">IF(BC57="x","x",IF(BC57="-","-",""))</f>
        <v/>
      </c>
      <c r="CL57" s="2" t="str">
        <f aca="false">IF(BD57="x","x",IF(BD57="-","-",""))</f>
        <v/>
      </c>
      <c r="CM57" s="2" t="str">
        <f aca="false">IF(BE57="x","x",IF(BE57="-","-",""))</f>
        <v/>
      </c>
      <c r="CN57" s="2" t="str">
        <f aca="false">IF(BF57="x","x",IF(BF57="-","-",""))</f>
        <v/>
      </c>
      <c r="CO57" s="2" t="str">
        <f aca="false">IF(BG57="x","x",IF(BG57="-","-",""))</f>
        <v/>
      </c>
      <c r="CP57" s="2" t="str">
        <f aca="false">IF(BH57="x","x",IF(BH57="-","-",""))</f>
        <v/>
      </c>
      <c r="CR57" s="2" t="str">
        <f aca="false">IF(P57="x","x",IF(P57="-","-",""))</f>
        <v>-</v>
      </c>
      <c r="CS57" s="2" t="str">
        <f aca="false">IF(Q57="x","x",IF(Q57="-","-",""))</f>
        <v>-</v>
      </c>
      <c r="CT57" s="2" t="str">
        <f aca="false">IF(R57="x","x",IF(R57="-","-",""))</f>
        <v>-</v>
      </c>
      <c r="CU57" s="2" t="str">
        <f aca="false">IF(S57="x","x",IF(S57="-","-",""))</f>
        <v>-</v>
      </c>
      <c r="CV57" s="2" t="str">
        <f aca="false">IF(T57="x","x",IF(T57="-","-",""))</f>
        <v>-</v>
      </c>
      <c r="CW57" s="2" t="str">
        <f aca="false">IF(U57="x","x",IF(U57="-","-",""))</f>
        <v>-</v>
      </c>
      <c r="CX57" s="2" t="str">
        <f aca="false">IF(V57="x","x",IF(V57="-","-",""))</f>
        <v>-</v>
      </c>
      <c r="CY57" s="2" t="str">
        <f aca="false">IF(W57="x","x",IF(W57="-","-",""))</f>
        <v>-</v>
      </c>
      <c r="CZ57" s="2" t="s">
        <v>78</v>
      </c>
      <c r="DA57" s="2" t="s">
        <v>78</v>
      </c>
      <c r="DB57" s="2" t="s">
        <v>78</v>
      </c>
      <c r="DC57" s="2" t="s">
        <v>78</v>
      </c>
      <c r="DE57" s="2" t="str">
        <f aca="false">IF(Y57="x","x",IF(Y57="-","-",""))</f>
        <v>-</v>
      </c>
      <c r="DF57" s="2" t="str">
        <f aca="false">IF(Z57="x","x",IF(Z57="-","-",""))</f>
        <v>-</v>
      </c>
      <c r="DG57" s="2" t="str">
        <f aca="false">IF(AA57="x","x",IF(AA57="-","-",""))</f>
        <v>-</v>
      </c>
      <c r="DH57" s="2" t="str">
        <f aca="false">IF(AB57="x","x",IF(AB57="-","-",""))</f>
        <v>-</v>
      </c>
      <c r="DI57" s="2" t="str">
        <f aca="false">IF(AC57="x","x",IF(AC57="-","-",""))</f>
        <v>-</v>
      </c>
      <c r="DJ57" s="2" t="str">
        <f aca="false">IF(AD57="x","x",IF(AD57="-","-",""))</f>
        <v>-</v>
      </c>
      <c r="DK57" s="2" t="str">
        <f aca="false">IF(AE57="x","x",IF(AE57="-","-",""))</f>
        <v>-</v>
      </c>
      <c r="DL57" s="2" t="str">
        <f aca="false">IF(AF57="x","x",IF(AF57="-","-",""))</f>
        <v>-</v>
      </c>
      <c r="DM57" s="2" t="s">
        <v>78</v>
      </c>
      <c r="DN57" s="2" t="s">
        <v>78</v>
      </c>
      <c r="DO57" s="2" t="s">
        <v>78</v>
      </c>
      <c r="DP57" s="2" t="s">
        <v>78</v>
      </c>
      <c r="EG57" s="11"/>
      <c r="EH57" s="11"/>
      <c r="EI57" s="11"/>
      <c r="EJ57" s="11"/>
      <c r="EK57" s="11"/>
      <c r="EL57" s="11"/>
      <c r="EM57" s="11"/>
      <c r="EN57" s="11"/>
    </row>
    <row r="58" customFormat="false" ht="13.8" hidden="false" customHeight="false" outlineLevel="0" collapsed="false">
      <c r="A58" s="11" t="s">
        <v>73</v>
      </c>
      <c r="B58" s="2" t="n">
        <v>57</v>
      </c>
      <c r="C58" s="12" t="s">
        <v>139</v>
      </c>
      <c r="D58" s="11" t="s">
        <v>131</v>
      </c>
      <c r="E58" s="11" t="s">
        <v>76</v>
      </c>
      <c r="F58" s="11" t="n">
        <v>57</v>
      </c>
      <c r="G58" s="11" t="s">
        <v>78</v>
      </c>
      <c r="H58" s="11" t="s">
        <v>78</v>
      </c>
      <c r="I58" s="11" t="s">
        <v>78</v>
      </c>
      <c r="J58" s="11" t="s">
        <v>73</v>
      </c>
      <c r="K58" s="11" t="n">
        <v>-15</v>
      </c>
      <c r="L58" s="11" t="s">
        <v>73</v>
      </c>
      <c r="M58" s="2" t="n">
        <v>1140</v>
      </c>
      <c r="N58" s="11" t="s">
        <v>73</v>
      </c>
      <c r="O58" s="11"/>
      <c r="P58" s="11" t="s">
        <v>78</v>
      </c>
      <c r="Q58" s="11" t="s">
        <v>78</v>
      </c>
      <c r="R58" s="11" t="s">
        <v>78</v>
      </c>
      <c r="S58" s="11" t="s">
        <v>78</v>
      </c>
      <c r="T58" s="11" t="s">
        <v>78</v>
      </c>
      <c r="U58" s="11" t="s">
        <v>78</v>
      </c>
      <c r="V58" s="11" t="s">
        <v>78</v>
      </c>
      <c r="W58" s="11" t="s">
        <v>78</v>
      </c>
      <c r="X58" s="11"/>
      <c r="Y58" s="11" t="s">
        <v>78</v>
      </c>
      <c r="Z58" s="11" t="s">
        <v>78</v>
      </c>
      <c r="AA58" s="11" t="s">
        <v>78</v>
      </c>
      <c r="AB58" s="11" t="s">
        <v>78</v>
      </c>
      <c r="AC58" s="11" t="s">
        <v>78</v>
      </c>
      <c r="AD58" s="11" t="s">
        <v>78</v>
      </c>
      <c r="AE58" s="11" t="s">
        <v>78</v>
      </c>
      <c r="AF58" s="11" t="s">
        <v>78</v>
      </c>
      <c r="AH58" s="11" t="s">
        <v>73</v>
      </c>
      <c r="AI58" s="11" t="s">
        <v>73</v>
      </c>
      <c r="AK58" s="11"/>
      <c r="AL58" s="11"/>
      <c r="AM58" s="11"/>
      <c r="AN58" s="11"/>
      <c r="AO58" s="11" t="s">
        <v>79</v>
      </c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J58" s="11" t="s">
        <v>78</v>
      </c>
      <c r="BK58" s="11" t="s">
        <v>78</v>
      </c>
      <c r="BL58" s="11" t="s">
        <v>78</v>
      </c>
      <c r="BM58" s="11" t="s">
        <v>78</v>
      </c>
      <c r="BN58" s="11" t="s">
        <v>78</v>
      </c>
      <c r="BO58" s="11" t="s">
        <v>78</v>
      </c>
      <c r="BP58" s="11" t="s">
        <v>78</v>
      </c>
      <c r="BQ58" s="11" t="s">
        <v>78</v>
      </c>
      <c r="BS58" s="2" t="str">
        <f aca="false">IF(AK58="x","x",IF(AK58="-","-",""))</f>
        <v/>
      </c>
      <c r="BT58" s="2" t="str">
        <f aca="false">IF(AL58="x","x",IF(AL58="-","-",""))</f>
        <v/>
      </c>
      <c r="BU58" s="2" t="str">
        <f aca="false">IF(AM58="x","x",IF(AM58="-","-",""))</f>
        <v/>
      </c>
      <c r="BV58" s="2" t="str">
        <f aca="false">IF(AN58="x","x",IF(AN58="-","-",""))</f>
        <v/>
      </c>
      <c r="BW58" s="2" t="str">
        <f aca="false">IF(AO58="x","x",IF(AO58="-","-",""))</f>
        <v>x</v>
      </c>
      <c r="BX58" s="2" t="str">
        <f aca="false">IF(AP58="x","x",IF(AP58="-","-",""))</f>
        <v/>
      </c>
      <c r="BY58" s="2" t="str">
        <f aca="false">IF(AQ58="x","x",IF(AQ58="-","-",""))</f>
        <v/>
      </c>
      <c r="BZ58" s="2" t="str">
        <f aca="false">IF(AR58="x","x",IF(AR58="-","-",""))</f>
        <v/>
      </c>
      <c r="CA58" s="2" t="str">
        <f aca="false">IF(AS58="x","x",IF(AS58="-","-",""))</f>
        <v/>
      </c>
      <c r="CB58" s="2" t="str">
        <f aca="false">IF(AT58="x","x",IF(AT58="-","-",""))</f>
        <v/>
      </c>
      <c r="CC58" s="2" t="str">
        <f aca="false">IF(AU58="x","x",IF(AU58="-","-",""))</f>
        <v/>
      </c>
      <c r="CD58" s="2" t="str">
        <f aca="false">IF(AV58="x","x",IF(AV58="-","-",""))</f>
        <v/>
      </c>
      <c r="CE58" s="2" t="str">
        <f aca="false">IF(AW58="x","x",IF(AW58="-","-",""))</f>
        <v/>
      </c>
      <c r="CF58" s="2" t="str">
        <f aca="false">IF(AX58="x","x",IF(AX58="-","-",""))</f>
        <v/>
      </c>
      <c r="CG58" s="2" t="str">
        <f aca="false">IF(AY58="x","x",IF(AY58="-","-",""))</f>
        <v/>
      </c>
      <c r="CH58" s="2" t="str">
        <f aca="false">IF(AZ58="x","x",IF(AZ58="-","-",""))</f>
        <v/>
      </c>
      <c r="CI58" s="2" t="str">
        <f aca="false">IF(BA58="x","x",IF(BA58="-","-",""))</f>
        <v/>
      </c>
      <c r="CJ58" s="2" t="str">
        <f aca="false">IF(BB58="x","x",IF(BB58="-","-",""))</f>
        <v/>
      </c>
      <c r="CK58" s="2" t="str">
        <f aca="false">IF(BC58="x","x",IF(BC58="-","-",""))</f>
        <v/>
      </c>
      <c r="CL58" s="2" t="str">
        <f aca="false">IF(BD58="x","x",IF(BD58="-","-",""))</f>
        <v/>
      </c>
      <c r="CM58" s="2" t="str">
        <f aca="false">IF(BE58="x","x",IF(BE58="-","-",""))</f>
        <v/>
      </c>
      <c r="CN58" s="2" t="str">
        <f aca="false">IF(BF58="x","x",IF(BF58="-","-",""))</f>
        <v/>
      </c>
      <c r="CO58" s="2" t="str">
        <f aca="false">IF(BG58="x","x",IF(BG58="-","-",""))</f>
        <v/>
      </c>
      <c r="CP58" s="2" t="str">
        <f aca="false">IF(BH58="x","x",IF(BH58="-","-",""))</f>
        <v/>
      </c>
      <c r="CR58" s="2" t="str">
        <f aca="false">IF(P58="x","x",IF(P58="-","-",""))</f>
        <v>-</v>
      </c>
      <c r="CS58" s="2" t="str">
        <f aca="false">IF(Q58="x","x",IF(Q58="-","-",""))</f>
        <v>-</v>
      </c>
      <c r="CT58" s="2" t="str">
        <f aca="false">IF(R58="x","x",IF(R58="-","-",""))</f>
        <v>-</v>
      </c>
      <c r="CU58" s="2" t="str">
        <f aca="false">IF(S58="x","x",IF(S58="-","-",""))</f>
        <v>-</v>
      </c>
      <c r="CV58" s="2" t="str">
        <f aca="false">IF(T58="x","x",IF(T58="-","-",""))</f>
        <v>-</v>
      </c>
      <c r="CW58" s="2" t="str">
        <f aca="false">IF(U58="x","x",IF(U58="-","-",""))</f>
        <v>-</v>
      </c>
      <c r="CX58" s="2" t="str">
        <f aca="false">IF(V58="x","x",IF(V58="-","-",""))</f>
        <v>-</v>
      </c>
      <c r="CY58" s="2" t="str">
        <f aca="false">IF(W58="x","x",IF(W58="-","-",""))</f>
        <v>-</v>
      </c>
      <c r="CZ58" s="2" t="s">
        <v>78</v>
      </c>
      <c r="DA58" s="2" t="s">
        <v>78</v>
      </c>
      <c r="DB58" s="2" t="s">
        <v>78</v>
      </c>
      <c r="DC58" s="2" t="s">
        <v>78</v>
      </c>
      <c r="DE58" s="2" t="str">
        <f aca="false">IF(Y58="x","x",IF(Y58="-","-",""))</f>
        <v>-</v>
      </c>
      <c r="DF58" s="2" t="str">
        <f aca="false">IF(Z58="x","x",IF(Z58="-","-",""))</f>
        <v>-</v>
      </c>
      <c r="DG58" s="2" t="str">
        <f aca="false">IF(AA58="x","x",IF(AA58="-","-",""))</f>
        <v>-</v>
      </c>
      <c r="DH58" s="2" t="str">
        <f aca="false">IF(AB58="x","x",IF(AB58="-","-",""))</f>
        <v>-</v>
      </c>
      <c r="DI58" s="2" t="str">
        <f aca="false">IF(AC58="x","x",IF(AC58="-","-",""))</f>
        <v>-</v>
      </c>
      <c r="DJ58" s="2" t="str">
        <f aca="false">IF(AD58="x","x",IF(AD58="-","-",""))</f>
        <v>-</v>
      </c>
      <c r="DK58" s="2" t="str">
        <f aca="false">IF(AE58="x","x",IF(AE58="-","-",""))</f>
        <v>-</v>
      </c>
      <c r="DL58" s="2" t="str">
        <f aca="false">IF(AF58="x","x",IF(AF58="-","-",""))</f>
        <v>-</v>
      </c>
      <c r="DM58" s="2" t="s">
        <v>78</v>
      </c>
      <c r="DN58" s="2" t="s">
        <v>78</v>
      </c>
      <c r="DO58" s="2" t="s">
        <v>78</v>
      </c>
      <c r="DP58" s="2" t="s">
        <v>78</v>
      </c>
      <c r="EG58" s="11"/>
      <c r="EH58" s="11"/>
      <c r="EI58" s="11"/>
      <c r="EJ58" s="11"/>
      <c r="EK58" s="11"/>
      <c r="EL58" s="11"/>
      <c r="EM58" s="11"/>
      <c r="EN58" s="11"/>
    </row>
    <row r="59" customFormat="false" ht="13.8" hidden="false" customHeight="false" outlineLevel="0" collapsed="false">
      <c r="A59" s="11" t="s">
        <v>73</v>
      </c>
      <c r="B59" s="2" t="n">
        <v>58</v>
      </c>
      <c r="C59" s="12" t="s">
        <v>140</v>
      </c>
      <c r="D59" s="11" t="s">
        <v>131</v>
      </c>
      <c r="E59" s="11" t="s">
        <v>141</v>
      </c>
      <c r="F59" s="11"/>
      <c r="G59" s="11" t="s">
        <v>78</v>
      </c>
      <c r="H59" s="11" t="s">
        <v>78</v>
      </c>
      <c r="I59" s="11" t="s">
        <v>78</v>
      </c>
      <c r="J59" s="11" t="s">
        <v>77</v>
      </c>
      <c r="K59" s="11" t="n">
        <v>-20</v>
      </c>
      <c r="L59" s="11" t="s">
        <v>77</v>
      </c>
      <c r="M59" s="2" t="n">
        <v>1160</v>
      </c>
      <c r="N59" s="11" t="s">
        <v>77</v>
      </c>
      <c r="O59" s="11"/>
      <c r="P59" s="11" t="s">
        <v>78</v>
      </c>
      <c r="Q59" s="11" t="s">
        <v>78</v>
      </c>
      <c r="R59" s="11" t="s">
        <v>78</v>
      </c>
      <c r="S59" s="11" t="s">
        <v>78</v>
      </c>
      <c r="T59" s="11" t="s">
        <v>78</v>
      </c>
      <c r="U59" s="11" t="s">
        <v>78</v>
      </c>
      <c r="V59" s="11" t="s">
        <v>78</v>
      </c>
      <c r="W59" s="11" t="s">
        <v>78</v>
      </c>
      <c r="X59" s="11"/>
      <c r="Y59" s="11" t="s">
        <v>78</v>
      </c>
      <c r="Z59" s="11" t="s">
        <v>78</v>
      </c>
      <c r="AA59" s="11" t="s">
        <v>78</v>
      </c>
      <c r="AB59" s="11" t="s">
        <v>78</v>
      </c>
      <c r="AC59" s="11" t="s">
        <v>78</v>
      </c>
      <c r="AD59" s="11" t="s">
        <v>78</v>
      </c>
      <c r="AE59" s="11" t="s">
        <v>78</v>
      </c>
      <c r="AF59" s="11" t="s">
        <v>78</v>
      </c>
      <c r="AH59" s="11" t="s">
        <v>73</v>
      </c>
      <c r="AI59" s="11" t="s">
        <v>73</v>
      </c>
      <c r="AK59" s="11"/>
      <c r="AL59" s="11"/>
      <c r="AM59" s="11"/>
      <c r="AN59" s="11"/>
      <c r="AO59" s="11" t="s">
        <v>79</v>
      </c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J59" s="11" t="s">
        <v>78</v>
      </c>
      <c r="BK59" s="11" t="s">
        <v>78</v>
      </c>
      <c r="BL59" s="11" t="s">
        <v>78</v>
      </c>
      <c r="BM59" s="11" t="s">
        <v>78</v>
      </c>
      <c r="BN59" s="11" t="s">
        <v>78</v>
      </c>
      <c r="BO59" s="11" t="s">
        <v>78</v>
      </c>
      <c r="BP59" s="11" t="s">
        <v>78</v>
      </c>
      <c r="BQ59" s="11" t="s">
        <v>78</v>
      </c>
      <c r="BS59" s="2" t="str">
        <f aca="false">IF(AK59="x","x",IF(AK59="-","-",""))</f>
        <v/>
      </c>
      <c r="BT59" s="2" t="str">
        <f aca="false">IF(AL59="x","x",IF(AL59="-","-",""))</f>
        <v/>
      </c>
      <c r="BU59" s="2" t="str">
        <f aca="false">IF(AM59="x","x",IF(AM59="-","-",""))</f>
        <v/>
      </c>
      <c r="BV59" s="2" t="str">
        <f aca="false">IF(AN59="x","x",IF(AN59="-","-",""))</f>
        <v/>
      </c>
      <c r="BW59" s="2" t="str">
        <f aca="false">IF(AO59="x","x",IF(AO59="-","-",""))</f>
        <v>x</v>
      </c>
      <c r="BX59" s="2" t="str">
        <f aca="false">IF(AP59="x","x",IF(AP59="-","-",""))</f>
        <v/>
      </c>
      <c r="BY59" s="2" t="str">
        <f aca="false">IF(AQ59="x","x",IF(AQ59="-","-",""))</f>
        <v/>
      </c>
      <c r="BZ59" s="2" t="str">
        <f aca="false">IF(AR59="x","x",IF(AR59="-","-",""))</f>
        <v/>
      </c>
      <c r="CA59" s="2" t="str">
        <f aca="false">IF(AS59="x","x",IF(AS59="-","-",""))</f>
        <v/>
      </c>
      <c r="CB59" s="2" t="str">
        <f aca="false">IF(AT59="x","x",IF(AT59="-","-",""))</f>
        <v/>
      </c>
      <c r="CC59" s="2" t="str">
        <f aca="false">IF(AU59="x","x",IF(AU59="-","-",""))</f>
        <v/>
      </c>
      <c r="CD59" s="2" t="str">
        <f aca="false">IF(AV59="x","x",IF(AV59="-","-",""))</f>
        <v/>
      </c>
      <c r="CE59" s="2" t="str">
        <f aca="false">IF(AW59="x","x",IF(AW59="-","-",""))</f>
        <v/>
      </c>
      <c r="CF59" s="2" t="str">
        <f aca="false">IF(AX59="x","x",IF(AX59="-","-",""))</f>
        <v/>
      </c>
      <c r="CG59" s="2" t="str">
        <f aca="false">IF(AY59="x","x",IF(AY59="-","-",""))</f>
        <v/>
      </c>
      <c r="CH59" s="2" t="str">
        <f aca="false">IF(AZ59="x","x",IF(AZ59="-","-",""))</f>
        <v/>
      </c>
      <c r="CI59" s="2" t="str">
        <f aca="false">IF(BA59="x","x",IF(BA59="-","-",""))</f>
        <v/>
      </c>
      <c r="CJ59" s="2" t="str">
        <f aca="false">IF(BB59="x","x",IF(BB59="-","-",""))</f>
        <v/>
      </c>
      <c r="CK59" s="2" t="str">
        <f aca="false">IF(BC59="x","x",IF(BC59="-","-",""))</f>
        <v/>
      </c>
      <c r="CL59" s="2" t="str">
        <f aca="false">IF(BD59="x","x",IF(BD59="-","-",""))</f>
        <v/>
      </c>
      <c r="CM59" s="2" t="str">
        <f aca="false">IF(BE59="x","x",IF(BE59="-","-",""))</f>
        <v/>
      </c>
      <c r="CN59" s="2" t="str">
        <f aca="false">IF(BF59="x","x",IF(BF59="-","-",""))</f>
        <v/>
      </c>
      <c r="CO59" s="2" t="str">
        <f aca="false">IF(BG59="x","x",IF(BG59="-","-",""))</f>
        <v/>
      </c>
      <c r="CP59" s="2" t="str">
        <f aca="false">IF(BH59="x","x",IF(BH59="-","-",""))</f>
        <v/>
      </c>
      <c r="CR59" s="2" t="str">
        <f aca="false">IF(P59="x","x",IF(P59="-","-",""))</f>
        <v>-</v>
      </c>
      <c r="CS59" s="2" t="str">
        <f aca="false">IF(Q59="x","x",IF(Q59="-","-",""))</f>
        <v>-</v>
      </c>
      <c r="CT59" s="2" t="str">
        <f aca="false">IF(R59="x","x",IF(R59="-","-",""))</f>
        <v>-</v>
      </c>
      <c r="CU59" s="2" t="str">
        <f aca="false">IF(S59="x","x",IF(S59="-","-",""))</f>
        <v>-</v>
      </c>
      <c r="CV59" s="2" t="str">
        <f aca="false">IF(T59="x","x",IF(T59="-","-",""))</f>
        <v>-</v>
      </c>
      <c r="CW59" s="2" t="str">
        <f aca="false">IF(U59="x","x",IF(U59="-","-",""))</f>
        <v>-</v>
      </c>
      <c r="CX59" s="2" t="str">
        <f aca="false">IF(V59="x","x",IF(V59="-","-",""))</f>
        <v>-</v>
      </c>
      <c r="CY59" s="2" t="str">
        <f aca="false">IF(W59="x","x",IF(W59="-","-",""))</f>
        <v>-</v>
      </c>
      <c r="CZ59" s="2" t="s">
        <v>78</v>
      </c>
      <c r="DA59" s="2" t="s">
        <v>78</v>
      </c>
      <c r="DB59" s="2" t="s">
        <v>78</v>
      </c>
      <c r="DC59" s="2" t="s">
        <v>78</v>
      </c>
      <c r="DE59" s="2" t="str">
        <f aca="false">IF(Y59="x","x",IF(Y59="-","-",""))</f>
        <v>-</v>
      </c>
      <c r="DF59" s="2" t="str">
        <f aca="false">IF(Z59="x","x",IF(Z59="-","-",""))</f>
        <v>-</v>
      </c>
      <c r="DG59" s="2" t="str">
        <f aca="false">IF(AA59="x","x",IF(AA59="-","-",""))</f>
        <v>-</v>
      </c>
      <c r="DH59" s="2" t="str">
        <f aca="false">IF(AB59="x","x",IF(AB59="-","-",""))</f>
        <v>-</v>
      </c>
      <c r="DI59" s="2" t="str">
        <f aca="false">IF(AC59="x","x",IF(AC59="-","-",""))</f>
        <v>-</v>
      </c>
      <c r="DJ59" s="2" t="str">
        <f aca="false">IF(AD59="x","x",IF(AD59="-","-",""))</f>
        <v>-</v>
      </c>
      <c r="DK59" s="2" t="str">
        <f aca="false">IF(AE59="x","x",IF(AE59="-","-",""))</f>
        <v>-</v>
      </c>
      <c r="DL59" s="2" t="str">
        <f aca="false">IF(AF59="x","x",IF(AF59="-","-",""))</f>
        <v>-</v>
      </c>
      <c r="DM59" s="2" t="s">
        <v>78</v>
      </c>
      <c r="DN59" s="2" t="s">
        <v>78</v>
      </c>
      <c r="DO59" s="2" t="s">
        <v>78</v>
      </c>
      <c r="DP59" s="2" t="s">
        <v>78</v>
      </c>
      <c r="EG59" s="11"/>
      <c r="EH59" s="11"/>
      <c r="EI59" s="11"/>
      <c r="EJ59" s="11"/>
      <c r="EK59" s="11"/>
      <c r="EL59" s="11"/>
      <c r="EM59" s="11"/>
      <c r="EN59" s="11"/>
    </row>
    <row r="60" customFormat="false" ht="13.8" hidden="false" customHeight="false" outlineLevel="0" collapsed="false">
      <c r="A60" s="11" t="s">
        <v>73</v>
      </c>
      <c r="B60" s="2" t="n">
        <v>59</v>
      </c>
      <c r="C60" s="12" t="s">
        <v>142</v>
      </c>
      <c r="D60" s="11" t="s">
        <v>131</v>
      </c>
      <c r="E60" s="11" t="s">
        <v>143</v>
      </c>
      <c r="F60" s="11" t="n">
        <v>1</v>
      </c>
      <c r="G60" s="11" t="s">
        <v>78</v>
      </c>
      <c r="H60" s="11" t="s">
        <v>78</v>
      </c>
      <c r="I60" s="11" t="s">
        <v>78</v>
      </c>
      <c r="J60" s="11" t="s">
        <v>73</v>
      </c>
      <c r="K60" s="11" t="n">
        <v>-25</v>
      </c>
      <c r="L60" s="11" t="s">
        <v>73</v>
      </c>
      <c r="M60" s="2" t="n">
        <v>1180</v>
      </c>
      <c r="N60" s="11" t="s">
        <v>73</v>
      </c>
      <c r="O60" s="11"/>
      <c r="P60" s="11" t="s">
        <v>78</v>
      </c>
      <c r="Q60" s="11" t="s">
        <v>78</v>
      </c>
      <c r="R60" s="11" t="s">
        <v>78</v>
      </c>
      <c r="S60" s="11" t="s">
        <v>78</v>
      </c>
      <c r="T60" s="11" t="s">
        <v>78</v>
      </c>
      <c r="U60" s="11" t="s">
        <v>78</v>
      </c>
      <c r="V60" s="11" t="s">
        <v>78</v>
      </c>
      <c r="W60" s="11" t="s">
        <v>78</v>
      </c>
      <c r="X60" s="11"/>
      <c r="Y60" s="11" t="s">
        <v>78</v>
      </c>
      <c r="Z60" s="11" t="s">
        <v>78</v>
      </c>
      <c r="AA60" s="11" t="s">
        <v>78</v>
      </c>
      <c r="AB60" s="11" t="s">
        <v>78</v>
      </c>
      <c r="AC60" s="11" t="s">
        <v>78</v>
      </c>
      <c r="AD60" s="11" t="s">
        <v>78</v>
      </c>
      <c r="AE60" s="11" t="s">
        <v>78</v>
      </c>
      <c r="AF60" s="11" t="s">
        <v>78</v>
      </c>
      <c r="AH60" s="11" t="s">
        <v>73</v>
      </c>
      <c r="AI60" s="11" t="s">
        <v>73</v>
      </c>
      <c r="AK60" s="11"/>
      <c r="AL60" s="11"/>
      <c r="AM60" s="11"/>
      <c r="AN60" s="11"/>
      <c r="AO60" s="11" t="s">
        <v>79</v>
      </c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J60" s="11" t="s">
        <v>78</v>
      </c>
      <c r="BK60" s="11" t="s">
        <v>78</v>
      </c>
      <c r="BL60" s="11" t="s">
        <v>78</v>
      </c>
      <c r="BM60" s="11" t="s">
        <v>78</v>
      </c>
      <c r="BN60" s="11" t="s">
        <v>78</v>
      </c>
      <c r="BO60" s="11" t="s">
        <v>78</v>
      </c>
      <c r="BP60" s="11" t="s">
        <v>78</v>
      </c>
      <c r="BQ60" s="11" t="s">
        <v>78</v>
      </c>
      <c r="BS60" s="2" t="str">
        <f aca="false">IF(AK60="x","x",IF(AK60="-","-",""))</f>
        <v/>
      </c>
      <c r="BT60" s="2" t="str">
        <f aca="false">IF(AL60="x","x",IF(AL60="-","-",""))</f>
        <v/>
      </c>
      <c r="BU60" s="2" t="str">
        <f aca="false">IF(AM60="x","x",IF(AM60="-","-",""))</f>
        <v/>
      </c>
      <c r="BV60" s="2" t="str">
        <f aca="false">IF(AN60="x","x",IF(AN60="-","-",""))</f>
        <v/>
      </c>
      <c r="BW60" s="2" t="str">
        <f aca="false">IF(AO60="x","x",IF(AO60="-","-",""))</f>
        <v>x</v>
      </c>
      <c r="BX60" s="2" t="str">
        <f aca="false">IF(AP60="x","x",IF(AP60="-","-",""))</f>
        <v/>
      </c>
      <c r="BY60" s="2" t="str">
        <f aca="false">IF(AQ60="x","x",IF(AQ60="-","-",""))</f>
        <v/>
      </c>
      <c r="BZ60" s="2" t="str">
        <f aca="false">IF(AR60="x","x",IF(AR60="-","-",""))</f>
        <v/>
      </c>
      <c r="CA60" s="2" t="str">
        <f aca="false">IF(AS60="x","x",IF(AS60="-","-",""))</f>
        <v/>
      </c>
      <c r="CB60" s="2" t="str">
        <f aca="false">IF(AT60="x","x",IF(AT60="-","-",""))</f>
        <v/>
      </c>
      <c r="CC60" s="2" t="str">
        <f aca="false">IF(AU60="x","x",IF(AU60="-","-",""))</f>
        <v/>
      </c>
      <c r="CD60" s="2" t="str">
        <f aca="false">IF(AV60="x","x",IF(AV60="-","-",""))</f>
        <v/>
      </c>
      <c r="CE60" s="2" t="str">
        <f aca="false">IF(AW60="x","x",IF(AW60="-","-",""))</f>
        <v/>
      </c>
      <c r="CF60" s="2" t="str">
        <f aca="false">IF(AX60="x","x",IF(AX60="-","-",""))</f>
        <v/>
      </c>
      <c r="CG60" s="2" t="str">
        <f aca="false">IF(AY60="x","x",IF(AY60="-","-",""))</f>
        <v/>
      </c>
      <c r="CH60" s="2" t="str">
        <f aca="false">IF(AZ60="x","x",IF(AZ60="-","-",""))</f>
        <v/>
      </c>
      <c r="CI60" s="2" t="str">
        <f aca="false">IF(BA60="x","x",IF(BA60="-","-",""))</f>
        <v/>
      </c>
      <c r="CJ60" s="2" t="str">
        <f aca="false">IF(BB60="x","x",IF(BB60="-","-",""))</f>
        <v/>
      </c>
      <c r="CK60" s="2" t="str">
        <f aca="false">IF(BC60="x","x",IF(BC60="-","-",""))</f>
        <v/>
      </c>
      <c r="CL60" s="2" t="str">
        <f aca="false">IF(BD60="x","x",IF(BD60="-","-",""))</f>
        <v/>
      </c>
      <c r="CM60" s="2" t="str">
        <f aca="false">IF(BE60="x","x",IF(BE60="-","-",""))</f>
        <v/>
      </c>
      <c r="CN60" s="2" t="str">
        <f aca="false">IF(BF60="x","x",IF(BF60="-","-",""))</f>
        <v/>
      </c>
      <c r="CO60" s="2" t="str">
        <f aca="false">IF(BG60="x","x",IF(BG60="-","-",""))</f>
        <v/>
      </c>
      <c r="CP60" s="2" t="str">
        <f aca="false">IF(BH60="x","x",IF(BH60="-","-",""))</f>
        <v/>
      </c>
      <c r="CR60" s="2" t="str">
        <f aca="false">IF(P60="x","x",IF(P60="-","-",""))</f>
        <v>-</v>
      </c>
      <c r="CS60" s="2" t="str">
        <f aca="false">IF(Q60="x","x",IF(Q60="-","-",""))</f>
        <v>-</v>
      </c>
      <c r="CT60" s="2" t="str">
        <f aca="false">IF(R60="x","x",IF(R60="-","-",""))</f>
        <v>-</v>
      </c>
      <c r="CU60" s="2" t="str">
        <f aca="false">IF(S60="x","x",IF(S60="-","-",""))</f>
        <v>-</v>
      </c>
      <c r="CV60" s="2" t="str">
        <f aca="false">IF(T60="x","x",IF(T60="-","-",""))</f>
        <v>-</v>
      </c>
      <c r="CW60" s="2" t="str">
        <f aca="false">IF(U60="x","x",IF(U60="-","-",""))</f>
        <v>-</v>
      </c>
      <c r="CX60" s="2" t="str">
        <f aca="false">IF(V60="x","x",IF(V60="-","-",""))</f>
        <v>-</v>
      </c>
      <c r="CY60" s="2" t="str">
        <f aca="false">IF(W60="x","x",IF(W60="-","-",""))</f>
        <v>-</v>
      </c>
      <c r="CZ60" s="2" t="s">
        <v>78</v>
      </c>
      <c r="DA60" s="2" t="s">
        <v>78</v>
      </c>
      <c r="DB60" s="2" t="s">
        <v>78</v>
      </c>
      <c r="DC60" s="2" t="s">
        <v>78</v>
      </c>
      <c r="DE60" s="2" t="str">
        <f aca="false">IF(Y60="x","x",IF(Y60="-","-",""))</f>
        <v>-</v>
      </c>
      <c r="DF60" s="2" t="str">
        <f aca="false">IF(Z60="x","x",IF(Z60="-","-",""))</f>
        <v>-</v>
      </c>
      <c r="DG60" s="2" t="str">
        <f aca="false">IF(AA60="x","x",IF(AA60="-","-",""))</f>
        <v>-</v>
      </c>
      <c r="DH60" s="2" t="str">
        <f aca="false">IF(AB60="x","x",IF(AB60="-","-",""))</f>
        <v>-</v>
      </c>
      <c r="DI60" s="2" t="str">
        <f aca="false">IF(AC60="x","x",IF(AC60="-","-",""))</f>
        <v>-</v>
      </c>
      <c r="DJ60" s="2" t="str">
        <f aca="false">IF(AD60="x","x",IF(AD60="-","-",""))</f>
        <v>-</v>
      </c>
      <c r="DK60" s="2" t="str">
        <f aca="false">IF(AE60="x","x",IF(AE60="-","-",""))</f>
        <v>-</v>
      </c>
      <c r="DL60" s="2" t="str">
        <f aca="false">IF(AF60="x","x",IF(AF60="-","-",""))</f>
        <v>-</v>
      </c>
      <c r="DM60" s="2" t="s">
        <v>78</v>
      </c>
      <c r="DN60" s="2" t="s">
        <v>78</v>
      </c>
      <c r="DO60" s="2" t="s">
        <v>78</v>
      </c>
      <c r="DP60" s="2" t="s">
        <v>78</v>
      </c>
      <c r="EG60" s="11"/>
      <c r="EH60" s="11"/>
      <c r="EI60" s="11"/>
      <c r="EJ60" s="11"/>
      <c r="EK60" s="11"/>
      <c r="EL60" s="11"/>
      <c r="EM60" s="11"/>
      <c r="EN60" s="11"/>
    </row>
    <row r="61" customFormat="false" ht="13.8" hidden="false" customHeight="false" outlineLevel="0" collapsed="false">
      <c r="A61" s="11" t="s">
        <v>73</v>
      </c>
      <c r="B61" s="2" t="n">
        <v>60</v>
      </c>
      <c r="C61" s="12" t="s">
        <v>144</v>
      </c>
      <c r="D61" s="11" t="s">
        <v>131</v>
      </c>
      <c r="E61" s="11" t="s">
        <v>76</v>
      </c>
      <c r="F61" s="11" t="n">
        <v>60</v>
      </c>
      <c r="G61" s="11" t="s">
        <v>78</v>
      </c>
      <c r="H61" s="11" t="s">
        <v>78</v>
      </c>
      <c r="I61" s="11" t="s">
        <v>78</v>
      </c>
      <c r="J61" s="11" t="s">
        <v>77</v>
      </c>
      <c r="K61" s="11" t="n">
        <v>-30</v>
      </c>
      <c r="L61" s="11" t="s">
        <v>77</v>
      </c>
      <c r="M61" s="2" t="n">
        <v>1200</v>
      </c>
      <c r="N61" s="11" t="s">
        <v>77</v>
      </c>
      <c r="O61" s="11"/>
      <c r="P61" s="11" t="s">
        <v>78</v>
      </c>
      <c r="Q61" s="11" t="s">
        <v>78</v>
      </c>
      <c r="R61" s="11" t="s">
        <v>78</v>
      </c>
      <c r="S61" s="11" t="s">
        <v>78</v>
      </c>
      <c r="T61" s="11" t="s">
        <v>78</v>
      </c>
      <c r="U61" s="11" t="s">
        <v>78</v>
      </c>
      <c r="V61" s="11" t="s">
        <v>78</v>
      </c>
      <c r="W61" s="11" t="s">
        <v>78</v>
      </c>
      <c r="X61" s="11"/>
      <c r="Y61" s="11" t="s">
        <v>78</v>
      </c>
      <c r="Z61" s="11" t="s">
        <v>78</v>
      </c>
      <c r="AA61" s="11" t="s">
        <v>78</v>
      </c>
      <c r="AB61" s="11" t="s">
        <v>78</v>
      </c>
      <c r="AC61" s="11" t="s">
        <v>78</v>
      </c>
      <c r="AD61" s="11" t="s">
        <v>78</v>
      </c>
      <c r="AE61" s="11" t="s">
        <v>78</v>
      </c>
      <c r="AF61" s="11" t="s">
        <v>78</v>
      </c>
      <c r="AH61" s="11" t="s">
        <v>73</v>
      </c>
      <c r="AI61" s="11" t="s">
        <v>73</v>
      </c>
      <c r="AK61" s="11"/>
      <c r="AL61" s="11"/>
      <c r="AM61" s="11"/>
      <c r="AN61" s="11"/>
      <c r="AO61" s="11" t="s">
        <v>79</v>
      </c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J61" s="11" t="s">
        <v>78</v>
      </c>
      <c r="BK61" s="11" t="s">
        <v>78</v>
      </c>
      <c r="BL61" s="11" t="s">
        <v>78</v>
      </c>
      <c r="BM61" s="11" t="s">
        <v>78</v>
      </c>
      <c r="BN61" s="11" t="s">
        <v>78</v>
      </c>
      <c r="BO61" s="11" t="s">
        <v>78</v>
      </c>
      <c r="BP61" s="11" t="s">
        <v>78</v>
      </c>
      <c r="BQ61" s="11" t="s">
        <v>78</v>
      </c>
      <c r="BS61" s="2" t="str">
        <f aca="false">IF(AK61="x","x",IF(AK61="-","-",""))</f>
        <v/>
      </c>
      <c r="BT61" s="2" t="str">
        <f aca="false">IF(AL61="x","x",IF(AL61="-","-",""))</f>
        <v/>
      </c>
      <c r="BU61" s="2" t="str">
        <f aca="false">IF(AM61="x","x",IF(AM61="-","-",""))</f>
        <v/>
      </c>
      <c r="BV61" s="2" t="str">
        <f aca="false">IF(AN61="x","x",IF(AN61="-","-",""))</f>
        <v/>
      </c>
      <c r="BW61" s="2" t="str">
        <f aca="false">IF(AO61="x","x",IF(AO61="-","-",""))</f>
        <v>x</v>
      </c>
      <c r="BX61" s="2" t="str">
        <f aca="false">IF(AP61="x","x",IF(AP61="-","-",""))</f>
        <v/>
      </c>
      <c r="BY61" s="2" t="str">
        <f aca="false">IF(AQ61="x","x",IF(AQ61="-","-",""))</f>
        <v/>
      </c>
      <c r="BZ61" s="2" t="str">
        <f aca="false">IF(AR61="x","x",IF(AR61="-","-",""))</f>
        <v/>
      </c>
      <c r="CA61" s="2" t="str">
        <f aca="false">IF(AS61="x","x",IF(AS61="-","-",""))</f>
        <v/>
      </c>
      <c r="CB61" s="2" t="str">
        <f aca="false">IF(AT61="x","x",IF(AT61="-","-",""))</f>
        <v/>
      </c>
      <c r="CC61" s="2" t="str">
        <f aca="false">IF(AU61="x","x",IF(AU61="-","-",""))</f>
        <v/>
      </c>
      <c r="CD61" s="2" t="str">
        <f aca="false">IF(AV61="x","x",IF(AV61="-","-",""))</f>
        <v/>
      </c>
      <c r="CE61" s="2" t="str">
        <f aca="false">IF(AW61="x","x",IF(AW61="-","-",""))</f>
        <v/>
      </c>
      <c r="CF61" s="2" t="str">
        <f aca="false">IF(AX61="x","x",IF(AX61="-","-",""))</f>
        <v/>
      </c>
      <c r="CG61" s="2" t="str">
        <f aca="false">IF(AY61="x","x",IF(AY61="-","-",""))</f>
        <v/>
      </c>
      <c r="CH61" s="2" t="str">
        <f aca="false">IF(AZ61="x","x",IF(AZ61="-","-",""))</f>
        <v/>
      </c>
      <c r="CI61" s="2" t="str">
        <f aca="false">IF(BA61="x","x",IF(BA61="-","-",""))</f>
        <v/>
      </c>
      <c r="CJ61" s="2" t="str">
        <f aca="false">IF(BB61="x","x",IF(BB61="-","-",""))</f>
        <v/>
      </c>
      <c r="CK61" s="2" t="str">
        <f aca="false">IF(BC61="x","x",IF(BC61="-","-",""))</f>
        <v/>
      </c>
      <c r="CL61" s="2" t="str">
        <f aca="false">IF(BD61="x","x",IF(BD61="-","-",""))</f>
        <v/>
      </c>
      <c r="CM61" s="2" t="str">
        <f aca="false">IF(BE61="x","x",IF(BE61="-","-",""))</f>
        <v/>
      </c>
      <c r="CN61" s="2" t="str">
        <f aca="false">IF(BF61="x","x",IF(BF61="-","-",""))</f>
        <v/>
      </c>
      <c r="CO61" s="2" t="str">
        <f aca="false">IF(BG61="x","x",IF(BG61="-","-",""))</f>
        <v/>
      </c>
      <c r="CP61" s="2" t="str">
        <f aca="false">IF(BH61="x","x",IF(BH61="-","-",""))</f>
        <v/>
      </c>
      <c r="CR61" s="2" t="str">
        <f aca="false">IF(P61="x","x",IF(P61="-","-",""))</f>
        <v>-</v>
      </c>
      <c r="CS61" s="2" t="str">
        <f aca="false">IF(Q61="x","x",IF(Q61="-","-",""))</f>
        <v>-</v>
      </c>
      <c r="CT61" s="2" t="str">
        <f aca="false">IF(R61="x","x",IF(R61="-","-",""))</f>
        <v>-</v>
      </c>
      <c r="CU61" s="2" t="str">
        <f aca="false">IF(S61="x","x",IF(S61="-","-",""))</f>
        <v>-</v>
      </c>
      <c r="CV61" s="2" t="str">
        <f aca="false">IF(T61="x","x",IF(T61="-","-",""))</f>
        <v>-</v>
      </c>
      <c r="CW61" s="2" t="str">
        <f aca="false">IF(U61="x","x",IF(U61="-","-",""))</f>
        <v>-</v>
      </c>
      <c r="CX61" s="2" t="str">
        <f aca="false">IF(V61="x","x",IF(V61="-","-",""))</f>
        <v>-</v>
      </c>
      <c r="CY61" s="2" t="str">
        <f aca="false">IF(W61="x","x",IF(W61="-","-",""))</f>
        <v>-</v>
      </c>
      <c r="CZ61" s="2" t="s">
        <v>78</v>
      </c>
      <c r="DA61" s="2" t="s">
        <v>78</v>
      </c>
      <c r="DB61" s="2" t="s">
        <v>78</v>
      </c>
      <c r="DC61" s="2" t="s">
        <v>78</v>
      </c>
      <c r="DE61" s="2" t="str">
        <f aca="false">IF(Y61="x","x",IF(Y61="-","-",""))</f>
        <v>-</v>
      </c>
      <c r="DF61" s="2" t="str">
        <f aca="false">IF(Z61="x","x",IF(Z61="-","-",""))</f>
        <v>-</v>
      </c>
      <c r="DG61" s="2" t="str">
        <f aca="false">IF(AA61="x","x",IF(AA61="-","-",""))</f>
        <v>-</v>
      </c>
      <c r="DH61" s="2" t="str">
        <f aca="false">IF(AB61="x","x",IF(AB61="-","-",""))</f>
        <v>-</v>
      </c>
      <c r="DI61" s="2" t="str">
        <f aca="false">IF(AC61="x","x",IF(AC61="-","-",""))</f>
        <v>-</v>
      </c>
      <c r="DJ61" s="2" t="str">
        <f aca="false">IF(AD61="x","x",IF(AD61="-","-",""))</f>
        <v>-</v>
      </c>
      <c r="DK61" s="2" t="str">
        <f aca="false">IF(AE61="x","x",IF(AE61="-","-",""))</f>
        <v>-</v>
      </c>
      <c r="DL61" s="2" t="str">
        <f aca="false">IF(AF61="x","x",IF(AF61="-","-",""))</f>
        <v>-</v>
      </c>
      <c r="DM61" s="2" t="s">
        <v>78</v>
      </c>
      <c r="DN61" s="2" t="s">
        <v>78</v>
      </c>
      <c r="DO61" s="2" t="s">
        <v>78</v>
      </c>
      <c r="DP61" s="2" t="s">
        <v>78</v>
      </c>
      <c r="EG61" s="11"/>
      <c r="EH61" s="11"/>
      <c r="EI61" s="11"/>
      <c r="EJ61" s="11"/>
      <c r="EK61" s="11"/>
      <c r="EL61" s="11"/>
      <c r="EM61" s="11"/>
      <c r="EN61" s="11"/>
    </row>
    <row r="62" customFormat="false" ht="13.8" hidden="false" customHeight="false" outlineLevel="0" collapsed="false">
      <c r="A62" s="11" t="s">
        <v>73</v>
      </c>
      <c r="B62" s="2" t="n">
        <v>61</v>
      </c>
      <c r="C62" s="12" t="s">
        <v>145</v>
      </c>
      <c r="D62" s="11" t="s">
        <v>146</v>
      </c>
      <c r="E62" s="11" t="s">
        <v>147</v>
      </c>
      <c r="F62" s="11" t="n">
        <v>61</v>
      </c>
      <c r="G62" s="11" t="s">
        <v>78</v>
      </c>
      <c r="H62" s="11" t="s">
        <v>78</v>
      </c>
      <c r="I62" s="11" t="s">
        <v>78</v>
      </c>
      <c r="J62" s="11" t="s">
        <v>73</v>
      </c>
      <c r="K62" s="11" t="n">
        <v>-35</v>
      </c>
      <c r="L62" s="11" t="s">
        <v>73</v>
      </c>
      <c r="M62" s="2" t="n">
        <v>1220</v>
      </c>
      <c r="N62" s="11" t="s">
        <v>73</v>
      </c>
      <c r="O62" s="11"/>
      <c r="P62" s="11" t="s">
        <v>78</v>
      </c>
      <c r="Q62" s="11" t="s">
        <v>78</v>
      </c>
      <c r="R62" s="11" t="s">
        <v>78</v>
      </c>
      <c r="S62" s="11" t="s">
        <v>78</v>
      </c>
      <c r="T62" s="11" t="s">
        <v>78</v>
      </c>
      <c r="U62" s="11" t="s">
        <v>78</v>
      </c>
      <c r="V62" s="11" t="s">
        <v>78</v>
      </c>
      <c r="W62" s="11" t="s">
        <v>78</v>
      </c>
      <c r="X62" s="11"/>
      <c r="Y62" s="11" t="s">
        <v>78</v>
      </c>
      <c r="Z62" s="11" t="s">
        <v>78</v>
      </c>
      <c r="AA62" s="11" t="s">
        <v>78</v>
      </c>
      <c r="AB62" s="11" t="s">
        <v>78</v>
      </c>
      <c r="AC62" s="11" t="s">
        <v>78</v>
      </c>
      <c r="AD62" s="11" t="s">
        <v>78</v>
      </c>
      <c r="AE62" s="11" t="s">
        <v>78</v>
      </c>
      <c r="AF62" s="11" t="s">
        <v>78</v>
      </c>
      <c r="AH62" s="11" t="s">
        <v>73</v>
      </c>
      <c r="AI62" s="11" t="s">
        <v>73</v>
      </c>
      <c r="AK62" s="11"/>
      <c r="AL62" s="11"/>
      <c r="AM62" s="11"/>
      <c r="AN62" s="11"/>
      <c r="AO62" s="11"/>
      <c r="AP62" s="11" t="s">
        <v>79</v>
      </c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J62" s="11" t="s">
        <v>78</v>
      </c>
      <c r="BK62" s="11" t="s">
        <v>78</v>
      </c>
      <c r="BL62" s="11" t="s">
        <v>78</v>
      </c>
      <c r="BM62" s="11" t="s">
        <v>78</v>
      </c>
      <c r="BN62" s="11" t="s">
        <v>78</v>
      </c>
      <c r="BO62" s="11" t="s">
        <v>78</v>
      </c>
      <c r="BP62" s="11" t="s">
        <v>78</v>
      </c>
      <c r="BQ62" s="11" t="s">
        <v>78</v>
      </c>
      <c r="BS62" s="2" t="str">
        <f aca="false">IF(AK62="x","x",IF(AK62="-","-",""))</f>
        <v/>
      </c>
      <c r="BT62" s="2" t="str">
        <f aca="false">IF(AL62="x","x",IF(AL62="-","-",""))</f>
        <v/>
      </c>
      <c r="BU62" s="2" t="str">
        <f aca="false">IF(AM62="x","x",IF(AM62="-","-",""))</f>
        <v/>
      </c>
      <c r="BV62" s="2" t="str">
        <f aca="false">IF(AN62="x","x",IF(AN62="-","-",""))</f>
        <v/>
      </c>
      <c r="BW62" s="2" t="str">
        <f aca="false">IF(AO62="x","x",IF(AO62="-","-",""))</f>
        <v/>
      </c>
      <c r="BX62" s="2" t="str">
        <f aca="false">IF(AP62="x","x",IF(AP62="-","-",""))</f>
        <v>x</v>
      </c>
      <c r="BY62" s="2" t="str">
        <f aca="false">IF(AQ62="x","x",IF(AQ62="-","-",""))</f>
        <v/>
      </c>
      <c r="BZ62" s="2" t="str">
        <f aca="false">IF(AR62="x","x",IF(AR62="-","-",""))</f>
        <v/>
      </c>
      <c r="CA62" s="2" t="str">
        <f aca="false">IF(AS62="x","x",IF(AS62="-","-",""))</f>
        <v/>
      </c>
      <c r="CB62" s="2" t="str">
        <f aca="false">IF(AT62="x","x",IF(AT62="-","-",""))</f>
        <v/>
      </c>
      <c r="CC62" s="2" t="str">
        <f aca="false">IF(AU62="x","x",IF(AU62="-","-",""))</f>
        <v/>
      </c>
      <c r="CD62" s="2" t="str">
        <f aca="false">IF(AV62="x","x",IF(AV62="-","-",""))</f>
        <v/>
      </c>
      <c r="CE62" s="2" t="str">
        <f aca="false">IF(AW62="x","x",IF(AW62="-","-",""))</f>
        <v/>
      </c>
      <c r="CF62" s="2" t="str">
        <f aca="false">IF(AX62="x","x",IF(AX62="-","-",""))</f>
        <v/>
      </c>
      <c r="CG62" s="2" t="str">
        <f aca="false">IF(AY62="x","x",IF(AY62="-","-",""))</f>
        <v/>
      </c>
      <c r="CH62" s="2" t="str">
        <f aca="false">IF(AZ62="x","x",IF(AZ62="-","-",""))</f>
        <v/>
      </c>
      <c r="CI62" s="2" t="str">
        <f aca="false">IF(BA62="x","x",IF(BA62="-","-",""))</f>
        <v/>
      </c>
      <c r="CJ62" s="2" t="str">
        <f aca="false">IF(BB62="x","x",IF(BB62="-","-",""))</f>
        <v/>
      </c>
      <c r="CK62" s="2" t="str">
        <f aca="false">IF(BC62="x","x",IF(BC62="-","-",""))</f>
        <v/>
      </c>
      <c r="CL62" s="2" t="str">
        <f aca="false">IF(BD62="x","x",IF(BD62="-","-",""))</f>
        <v/>
      </c>
      <c r="CM62" s="2" t="str">
        <f aca="false">IF(BE62="x","x",IF(BE62="-","-",""))</f>
        <v/>
      </c>
      <c r="CN62" s="2" t="str">
        <f aca="false">IF(BF62="x","x",IF(BF62="-","-",""))</f>
        <v/>
      </c>
      <c r="CO62" s="2" t="str">
        <f aca="false">IF(BG62="x","x",IF(BG62="-","-",""))</f>
        <v/>
      </c>
      <c r="CP62" s="2" t="str">
        <f aca="false">IF(BH62="x","x",IF(BH62="-","-",""))</f>
        <v/>
      </c>
      <c r="CR62" s="2" t="str">
        <f aca="false">IF(P62="x","x",IF(P62="-","-",""))</f>
        <v>-</v>
      </c>
      <c r="CS62" s="2" t="str">
        <f aca="false">IF(Q62="x","x",IF(Q62="-","-",""))</f>
        <v>-</v>
      </c>
      <c r="CT62" s="2" t="str">
        <f aca="false">IF(R62="x","x",IF(R62="-","-",""))</f>
        <v>-</v>
      </c>
      <c r="CU62" s="2" t="str">
        <f aca="false">IF(S62="x","x",IF(S62="-","-",""))</f>
        <v>-</v>
      </c>
      <c r="CV62" s="2" t="str">
        <f aca="false">IF(T62="x","x",IF(T62="-","-",""))</f>
        <v>-</v>
      </c>
      <c r="CW62" s="2" t="str">
        <f aca="false">IF(U62="x","x",IF(U62="-","-",""))</f>
        <v>-</v>
      </c>
      <c r="CX62" s="2" t="str">
        <f aca="false">IF(V62="x","x",IF(V62="-","-",""))</f>
        <v>-</v>
      </c>
      <c r="CY62" s="2" t="str">
        <f aca="false">IF(W62="x","x",IF(W62="-","-",""))</f>
        <v>-</v>
      </c>
      <c r="CZ62" s="2" t="s">
        <v>78</v>
      </c>
      <c r="DA62" s="2" t="s">
        <v>78</v>
      </c>
      <c r="DB62" s="2" t="s">
        <v>78</v>
      </c>
      <c r="DC62" s="2" t="s">
        <v>78</v>
      </c>
      <c r="DE62" s="2" t="str">
        <f aca="false">IF(Y62="x","x",IF(Y62="-","-",""))</f>
        <v>-</v>
      </c>
      <c r="DF62" s="2" t="str">
        <f aca="false">IF(Z62="x","x",IF(Z62="-","-",""))</f>
        <v>-</v>
      </c>
      <c r="DG62" s="2" t="str">
        <f aca="false">IF(AA62="x","x",IF(AA62="-","-",""))</f>
        <v>-</v>
      </c>
      <c r="DH62" s="2" t="str">
        <f aca="false">IF(AB62="x","x",IF(AB62="-","-",""))</f>
        <v>-</v>
      </c>
      <c r="DI62" s="2" t="str">
        <f aca="false">IF(AC62="x","x",IF(AC62="-","-",""))</f>
        <v>-</v>
      </c>
      <c r="DJ62" s="2" t="str">
        <f aca="false">IF(AD62="x","x",IF(AD62="-","-",""))</f>
        <v>-</v>
      </c>
      <c r="DK62" s="2" t="str">
        <f aca="false">IF(AE62="x","x",IF(AE62="-","-",""))</f>
        <v>-</v>
      </c>
      <c r="DL62" s="2" t="str">
        <f aca="false">IF(AF62="x","x",IF(AF62="-","-",""))</f>
        <v>-</v>
      </c>
      <c r="DM62" s="2" t="s">
        <v>78</v>
      </c>
      <c r="DN62" s="2" t="s">
        <v>78</v>
      </c>
      <c r="DO62" s="2" t="s">
        <v>78</v>
      </c>
      <c r="DP62" s="2" t="s">
        <v>78</v>
      </c>
      <c r="EG62" s="11"/>
      <c r="EH62" s="11"/>
      <c r="EI62" s="11"/>
      <c r="EJ62" s="11"/>
      <c r="EK62" s="11"/>
      <c r="EL62" s="11"/>
      <c r="EM62" s="11"/>
      <c r="EN62" s="11"/>
    </row>
    <row r="63" customFormat="false" ht="13.8" hidden="false" customHeight="false" outlineLevel="0" collapsed="false">
      <c r="A63" s="11" t="s">
        <v>73</v>
      </c>
      <c r="B63" s="2" t="n">
        <v>62</v>
      </c>
      <c r="C63" s="12" t="s">
        <v>148</v>
      </c>
      <c r="D63" s="11" t="s">
        <v>146</v>
      </c>
      <c r="E63" s="11" t="s">
        <v>149</v>
      </c>
      <c r="F63" s="11" t="n">
        <v>62</v>
      </c>
      <c r="G63" s="11" t="s">
        <v>78</v>
      </c>
      <c r="H63" s="11" t="s">
        <v>78</v>
      </c>
      <c r="I63" s="11" t="s">
        <v>78</v>
      </c>
      <c r="J63" s="11" t="s">
        <v>77</v>
      </c>
      <c r="K63" s="11" t="n">
        <v>-40</v>
      </c>
      <c r="L63" s="11" t="s">
        <v>77</v>
      </c>
      <c r="M63" s="2" t="n">
        <v>1240</v>
      </c>
      <c r="N63" s="11" t="s">
        <v>77</v>
      </c>
      <c r="O63" s="11"/>
      <c r="P63" s="11" t="s">
        <v>78</v>
      </c>
      <c r="Q63" s="11" t="s">
        <v>78</v>
      </c>
      <c r="R63" s="11" t="s">
        <v>78</v>
      </c>
      <c r="S63" s="11" t="s">
        <v>78</v>
      </c>
      <c r="T63" s="11" t="s">
        <v>78</v>
      </c>
      <c r="U63" s="11" t="s">
        <v>78</v>
      </c>
      <c r="V63" s="11" t="s">
        <v>78</v>
      </c>
      <c r="W63" s="11" t="s">
        <v>78</v>
      </c>
      <c r="X63" s="11"/>
      <c r="Y63" s="11" t="s">
        <v>78</v>
      </c>
      <c r="Z63" s="11" t="s">
        <v>78</v>
      </c>
      <c r="AA63" s="11" t="s">
        <v>78</v>
      </c>
      <c r="AB63" s="11" t="s">
        <v>78</v>
      </c>
      <c r="AC63" s="11" t="s">
        <v>78</v>
      </c>
      <c r="AD63" s="11" t="s">
        <v>78</v>
      </c>
      <c r="AE63" s="11" t="s">
        <v>78</v>
      </c>
      <c r="AF63" s="11" t="s">
        <v>78</v>
      </c>
      <c r="AH63" s="11" t="s">
        <v>73</v>
      </c>
      <c r="AI63" s="11" t="s">
        <v>73</v>
      </c>
      <c r="AK63" s="11"/>
      <c r="AL63" s="11"/>
      <c r="AM63" s="11"/>
      <c r="AN63" s="11"/>
      <c r="AO63" s="11"/>
      <c r="AP63" s="11" t="s">
        <v>79</v>
      </c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J63" s="11" t="s">
        <v>78</v>
      </c>
      <c r="BK63" s="11" t="s">
        <v>78</v>
      </c>
      <c r="BL63" s="11" t="s">
        <v>78</v>
      </c>
      <c r="BM63" s="11" t="s">
        <v>78</v>
      </c>
      <c r="BN63" s="11" t="s">
        <v>78</v>
      </c>
      <c r="BO63" s="11" t="s">
        <v>78</v>
      </c>
      <c r="BP63" s="11" t="s">
        <v>78</v>
      </c>
      <c r="BQ63" s="11" t="s">
        <v>78</v>
      </c>
      <c r="BS63" s="2" t="str">
        <f aca="false">IF(AK63="x","x",IF(AK63="-","-",""))</f>
        <v/>
      </c>
      <c r="BT63" s="2" t="str">
        <f aca="false">IF(AL63="x","x",IF(AL63="-","-",""))</f>
        <v/>
      </c>
      <c r="BU63" s="2" t="str">
        <f aca="false">IF(AM63="x","x",IF(AM63="-","-",""))</f>
        <v/>
      </c>
      <c r="BV63" s="2" t="str">
        <f aca="false">IF(AN63="x","x",IF(AN63="-","-",""))</f>
        <v/>
      </c>
      <c r="BW63" s="2" t="str">
        <f aca="false">IF(AO63="x","x",IF(AO63="-","-",""))</f>
        <v/>
      </c>
      <c r="BX63" s="2" t="str">
        <f aca="false">IF(AP63="x","x",IF(AP63="-","-",""))</f>
        <v>x</v>
      </c>
      <c r="BY63" s="2" t="str">
        <f aca="false">IF(AQ63="x","x",IF(AQ63="-","-",""))</f>
        <v/>
      </c>
      <c r="BZ63" s="2" t="str">
        <f aca="false">IF(AR63="x","x",IF(AR63="-","-",""))</f>
        <v/>
      </c>
      <c r="CA63" s="2" t="str">
        <f aca="false">IF(AS63="x","x",IF(AS63="-","-",""))</f>
        <v/>
      </c>
      <c r="CB63" s="2" t="str">
        <f aca="false">IF(AT63="x","x",IF(AT63="-","-",""))</f>
        <v/>
      </c>
      <c r="CC63" s="2" t="str">
        <f aca="false">IF(AU63="x","x",IF(AU63="-","-",""))</f>
        <v/>
      </c>
      <c r="CD63" s="2" t="str">
        <f aca="false">IF(AV63="x","x",IF(AV63="-","-",""))</f>
        <v/>
      </c>
      <c r="CE63" s="2" t="str">
        <f aca="false">IF(AW63="x","x",IF(AW63="-","-",""))</f>
        <v/>
      </c>
      <c r="CF63" s="2" t="str">
        <f aca="false">IF(AX63="x","x",IF(AX63="-","-",""))</f>
        <v/>
      </c>
      <c r="CG63" s="2" t="str">
        <f aca="false">IF(AY63="x","x",IF(AY63="-","-",""))</f>
        <v/>
      </c>
      <c r="CH63" s="2" t="str">
        <f aca="false">IF(AZ63="x","x",IF(AZ63="-","-",""))</f>
        <v/>
      </c>
      <c r="CI63" s="2" t="str">
        <f aca="false">IF(BA63="x","x",IF(BA63="-","-",""))</f>
        <v/>
      </c>
      <c r="CJ63" s="2" t="str">
        <f aca="false">IF(BB63="x","x",IF(BB63="-","-",""))</f>
        <v/>
      </c>
      <c r="CK63" s="2" t="str">
        <f aca="false">IF(BC63="x","x",IF(BC63="-","-",""))</f>
        <v/>
      </c>
      <c r="CL63" s="2" t="str">
        <f aca="false">IF(BD63="x","x",IF(BD63="-","-",""))</f>
        <v/>
      </c>
      <c r="CM63" s="2" t="str">
        <f aca="false">IF(BE63="x","x",IF(BE63="-","-",""))</f>
        <v/>
      </c>
      <c r="CN63" s="2" t="str">
        <f aca="false">IF(BF63="x","x",IF(BF63="-","-",""))</f>
        <v/>
      </c>
      <c r="CO63" s="2" t="str">
        <f aca="false">IF(BG63="x","x",IF(BG63="-","-",""))</f>
        <v/>
      </c>
      <c r="CP63" s="2" t="str">
        <f aca="false">IF(BH63="x","x",IF(BH63="-","-",""))</f>
        <v/>
      </c>
      <c r="CR63" s="2" t="str">
        <f aca="false">IF(P63="x","x",IF(P63="-","-",""))</f>
        <v>-</v>
      </c>
      <c r="CS63" s="2" t="str">
        <f aca="false">IF(Q63="x","x",IF(Q63="-","-",""))</f>
        <v>-</v>
      </c>
      <c r="CT63" s="2" t="str">
        <f aca="false">IF(R63="x","x",IF(R63="-","-",""))</f>
        <v>-</v>
      </c>
      <c r="CU63" s="2" t="str">
        <f aca="false">IF(S63="x","x",IF(S63="-","-",""))</f>
        <v>-</v>
      </c>
      <c r="CV63" s="2" t="str">
        <f aca="false">IF(T63="x","x",IF(T63="-","-",""))</f>
        <v>-</v>
      </c>
      <c r="CW63" s="2" t="str">
        <f aca="false">IF(U63="x","x",IF(U63="-","-",""))</f>
        <v>-</v>
      </c>
      <c r="CX63" s="2" t="str">
        <f aca="false">IF(V63="x","x",IF(V63="-","-",""))</f>
        <v>-</v>
      </c>
      <c r="CY63" s="2" t="str">
        <f aca="false">IF(W63="x","x",IF(W63="-","-",""))</f>
        <v>-</v>
      </c>
      <c r="CZ63" s="2" t="s">
        <v>78</v>
      </c>
      <c r="DA63" s="2" t="s">
        <v>78</v>
      </c>
      <c r="DB63" s="2" t="s">
        <v>78</v>
      </c>
      <c r="DC63" s="2" t="s">
        <v>78</v>
      </c>
      <c r="DE63" s="2" t="str">
        <f aca="false">IF(Y63="x","x",IF(Y63="-","-",""))</f>
        <v>-</v>
      </c>
      <c r="DF63" s="2" t="str">
        <f aca="false">IF(Z63="x","x",IF(Z63="-","-",""))</f>
        <v>-</v>
      </c>
      <c r="DG63" s="2" t="str">
        <f aca="false">IF(AA63="x","x",IF(AA63="-","-",""))</f>
        <v>-</v>
      </c>
      <c r="DH63" s="2" t="str">
        <f aca="false">IF(AB63="x","x",IF(AB63="-","-",""))</f>
        <v>-</v>
      </c>
      <c r="DI63" s="2" t="str">
        <f aca="false">IF(AC63="x","x",IF(AC63="-","-",""))</f>
        <v>-</v>
      </c>
      <c r="DJ63" s="2" t="str">
        <f aca="false">IF(AD63="x","x",IF(AD63="-","-",""))</f>
        <v>-</v>
      </c>
      <c r="DK63" s="2" t="str">
        <f aca="false">IF(AE63="x","x",IF(AE63="-","-",""))</f>
        <v>-</v>
      </c>
      <c r="DL63" s="2" t="str">
        <f aca="false">IF(AF63="x","x",IF(AF63="-","-",""))</f>
        <v>-</v>
      </c>
      <c r="DM63" s="2" t="s">
        <v>78</v>
      </c>
      <c r="DN63" s="2" t="s">
        <v>78</v>
      </c>
      <c r="DO63" s="2" t="s">
        <v>78</v>
      </c>
      <c r="DP63" s="2" t="s">
        <v>78</v>
      </c>
      <c r="EG63" s="11"/>
      <c r="EH63" s="11"/>
      <c r="EI63" s="11"/>
      <c r="EJ63" s="11"/>
      <c r="EK63" s="11"/>
      <c r="EL63" s="11"/>
      <c r="EM63" s="11"/>
      <c r="EN63" s="11"/>
    </row>
    <row r="64" customFormat="false" ht="13.8" hidden="false" customHeight="false" outlineLevel="0" collapsed="false">
      <c r="A64" s="11" t="s">
        <v>73</v>
      </c>
      <c r="B64" s="2" t="n">
        <v>63</v>
      </c>
      <c r="C64" s="12" t="s">
        <v>150</v>
      </c>
      <c r="D64" s="11" t="s">
        <v>146</v>
      </c>
      <c r="E64" s="11" t="s">
        <v>151</v>
      </c>
      <c r="F64" s="11" t="n">
        <v>1</v>
      </c>
      <c r="G64" s="11" t="s">
        <v>78</v>
      </c>
      <c r="H64" s="11" t="s">
        <v>78</v>
      </c>
      <c r="I64" s="11" t="s">
        <v>78</v>
      </c>
      <c r="J64" s="11" t="s">
        <v>73</v>
      </c>
      <c r="K64" s="11" t="n">
        <v>-45</v>
      </c>
      <c r="L64" s="11" t="s">
        <v>73</v>
      </c>
      <c r="M64" s="2" t="n">
        <v>1260</v>
      </c>
      <c r="N64" s="11" t="s">
        <v>73</v>
      </c>
      <c r="O64" s="11"/>
      <c r="P64" s="11" t="s">
        <v>78</v>
      </c>
      <c r="Q64" s="11" t="s">
        <v>78</v>
      </c>
      <c r="R64" s="11" t="s">
        <v>78</v>
      </c>
      <c r="S64" s="11" t="s">
        <v>78</v>
      </c>
      <c r="T64" s="11" t="s">
        <v>78</v>
      </c>
      <c r="U64" s="11" t="s">
        <v>78</v>
      </c>
      <c r="V64" s="11" t="s">
        <v>78</v>
      </c>
      <c r="W64" s="11" t="s">
        <v>78</v>
      </c>
      <c r="X64" s="11"/>
      <c r="Y64" s="11" t="s">
        <v>78</v>
      </c>
      <c r="Z64" s="11" t="s">
        <v>78</v>
      </c>
      <c r="AA64" s="11" t="s">
        <v>78</v>
      </c>
      <c r="AB64" s="11" t="s">
        <v>78</v>
      </c>
      <c r="AC64" s="11" t="s">
        <v>78</v>
      </c>
      <c r="AD64" s="11" t="s">
        <v>78</v>
      </c>
      <c r="AE64" s="11" t="s">
        <v>78</v>
      </c>
      <c r="AF64" s="11" t="s">
        <v>78</v>
      </c>
      <c r="AH64" s="11" t="s">
        <v>73</v>
      </c>
      <c r="AI64" s="11" t="s">
        <v>73</v>
      </c>
      <c r="AK64" s="11"/>
      <c r="AL64" s="11"/>
      <c r="AM64" s="11"/>
      <c r="AN64" s="11"/>
      <c r="AO64" s="11"/>
      <c r="AP64" s="11" t="s">
        <v>79</v>
      </c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J64" s="11" t="s">
        <v>78</v>
      </c>
      <c r="BK64" s="11" t="s">
        <v>78</v>
      </c>
      <c r="BL64" s="11" t="s">
        <v>78</v>
      </c>
      <c r="BM64" s="11" t="s">
        <v>78</v>
      </c>
      <c r="BN64" s="11" t="s">
        <v>78</v>
      </c>
      <c r="BO64" s="11" t="s">
        <v>78</v>
      </c>
      <c r="BP64" s="11" t="s">
        <v>78</v>
      </c>
      <c r="BQ64" s="11" t="s">
        <v>78</v>
      </c>
      <c r="BS64" s="2" t="str">
        <f aca="false">IF(AK64="x","x",IF(AK64="-","-",""))</f>
        <v/>
      </c>
      <c r="BT64" s="2" t="str">
        <f aca="false">IF(AL64="x","x",IF(AL64="-","-",""))</f>
        <v/>
      </c>
      <c r="BU64" s="2" t="str">
        <f aca="false">IF(AM64="x","x",IF(AM64="-","-",""))</f>
        <v/>
      </c>
      <c r="BV64" s="2" t="str">
        <f aca="false">IF(AN64="x","x",IF(AN64="-","-",""))</f>
        <v/>
      </c>
      <c r="BW64" s="2" t="str">
        <f aca="false">IF(AO64="x","x",IF(AO64="-","-",""))</f>
        <v/>
      </c>
      <c r="BX64" s="2" t="str">
        <f aca="false">IF(AP64="x","x",IF(AP64="-","-",""))</f>
        <v>x</v>
      </c>
      <c r="BY64" s="2" t="str">
        <f aca="false">IF(AQ64="x","x",IF(AQ64="-","-",""))</f>
        <v/>
      </c>
      <c r="BZ64" s="2" t="str">
        <f aca="false">IF(AR64="x","x",IF(AR64="-","-",""))</f>
        <v/>
      </c>
      <c r="CA64" s="2" t="str">
        <f aca="false">IF(AS64="x","x",IF(AS64="-","-",""))</f>
        <v/>
      </c>
      <c r="CB64" s="2" t="str">
        <f aca="false">IF(AT64="x","x",IF(AT64="-","-",""))</f>
        <v/>
      </c>
      <c r="CC64" s="2" t="str">
        <f aca="false">IF(AU64="x","x",IF(AU64="-","-",""))</f>
        <v/>
      </c>
      <c r="CD64" s="2" t="str">
        <f aca="false">IF(AV64="x","x",IF(AV64="-","-",""))</f>
        <v/>
      </c>
      <c r="CE64" s="2" t="str">
        <f aca="false">IF(AW64="x","x",IF(AW64="-","-",""))</f>
        <v/>
      </c>
      <c r="CF64" s="2" t="str">
        <f aca="false">IF(AX64="x","x",IF(AX64="-","-",""))</f>
        <v/>
      </c>
      <c r="CG64" s="2" t="str">
        <f aca="false">IF(AY64="x","x",IF(AY64="-","-",""))</f>
        <v/>
      </c>
      <c r="CH64" s="2" t="str">
        <f aca="false">IF(AZ64="x","x",IF(AZ64="-","-",""))</f>
        <v/>
      </c>
      <c r="CI64" s="2" t="str">
        <f aca="false">IF(BA64="x","x",IF(BA64="-","-",""))</f>
        <v/>
      </c>
      <c r="CJ64" s="2" t="str">
        <f aca="false">IF(BB64="x","x",IF(BB64="-","-",""))</f>
        <v/>
      </c>
      <c r="CK64" s="2" t="str">
        <f aca="false">IF(BC64="x","x",IF(BC64="-","-",""))</f>
        <v/>
      </c>
      <c r="CL64" s="2" t="str">
        <f aca="false">IF(BD64="x","x",IF(BD64="-","-",""))</f>
        <v/>
      </c>
      <c r="CM64" s="2" t="str">
        <f aca="false">IF(BE64="x","x",IF(BE64="-","-",""))</f>
        <v/>
      </c>
      <c r="CN64" s="2" t="str">
        <f aca="false">IF(BF64="x","x",IF(BF64="-","-",""))</f>
        <v/>
      </c>
      <c r="CO64" s="2" t="str">
        <f aca="false">IF(BG64="x","x",IF(BG64="-","-",""))</f>
        <v/>
      </c>
      <c r="CP64" s="2" t="str">
        <f aca="false">IF(BH64="x","x",IF(BH64="-","-",""))</f>
        <v/>
      </c>
      <c r="CR64" s="2" t="str">
        <f aca="false">IF(P64="x","x",IF(P64="-","-",""))</f>
        <v>-</v>
      </c>
      <c r="CS64" s="2" t="str">
        <f aca="false">IF(Q64="x","x",IF(Q64="-","-",""))</f>
        <v>-</v>
      </c>
      <c r="CT64" s="2" t="str">
        <f aca="false">IF(R64="x","x",IF(R64="-","-",""))</f>
        <v>-</v>
      </c>
      <c r="CU64" s="2" t="str">
        <f aca="false">IF(S64="x","x",IF(S64="-","-",""))</f>
        <v>-</v>
      </c>
      <c r="CV64" s="2" t="str">
        <f aca="false">IF(T64="x","x",IF(T64="-","-",""))</f>
        <v>-</v>
      </c>
      <c r="CW64" s="2" t="str">
        <f aca="false">IF(U64="x","x",IF(U64="-","-",""))</f>
        <v>-</v>
      </c>
      <c r="CX64" s="2" t="str">
        <f aca="false">IF(V64="x","x",IF(V64="-","-",""))</f>
        <v>-</v>
      </c>
      <c r="CY64" s="2" t="str">
        <f aca="false">IF(W64="x","x",IF(W64="-","-",""))</f>
        <v>-</v>
      </c>
      <c r="CZ64" s="2" t="s">
        <v>78</v>
      </c>
      <c r="DA64" s="2" t="s">
        <v>78</v>
      </c>
      <c r="DB64" s="2" t="s">
        <v>78</v>
      </c>
      <c r="DC64" s="2" t="s">
        <v>78</v>
      </c>
      <c r="DE64" s="2" t="str">
        <f aca="false">IF(Y64="x","x",IF(Y64="-","-",""))</f>
        <v>-</v>
      </c>
      <c r="DF64" s="2" t="str">
        <f aca="false">IF(Z64="x","x",IF(Z64="-","-",""))</f>
        <v>-</v>
      </c>
      <c r="DG64" s="2" t="str">
        <f aca="false">IF(AA64="x","x",IF(AA64="-","-",""))</f>
        <v>-</v>
      </c>
      <c r="DH64" s="2" t="str">
        <f aca="false">IF(AB64="x","x",IF(AB64="-","-",""))</f>
        <v>-</v>
      </c>
      <c r="DI64" s="2" t="str">
        <f aca="false">IF(AC64="x","x",IF(AC64="-","-",""))</f>
        <v>-</v>
      </c>
      <c r="DJ64" s="2" t="str">
        <f aca="false">IF(AD64="x","x",IF(AD64="-","-",""))</f>
        <v>-</v>
      </c>
      <c r="DK64" s="2" t="str">
        <f aca="false">IF(AE64="x","x",IF(AE64="-","-",""))</f>
        <v>-</v>
      </c>
      <c r="DL64" s="2" t="str">
        <f aca="false">IF(AF64="x","x",IF(AF64="-","-",""))</f>
        <v>-</v>
      </c>
      <c r="DM64" s="2" t="s">
        <v>78</v>
      </c>
      <c r="DN64" s="2" t="s">
        <v>78</v>
      </c>
      <c r="DO64" s="2" t="s">
        <v>78</v>
      </c>
      <c r="DP64" s="2" t="s">
        <v>78</v>
      </c>
      <c r="EG64" s="11"/>
      <c r="EH64" s="11"/>
      <c r="EI64" s="11"/>
      <c r="EJ64" s="11"/>
      <c r="EK64" s="11"/>
      <c r="EL64" s="11"/>
      <c r="EM64" s="11"/>
      <c r="EN64" s="11"/>
    </row>
    <row r="65" customFormat="false" ht="13.8" hidden="false" customHeight="false" outlineLevel="0" collapsed="false">
      <c r="A65" s="11" t="s">
        <v>73</v>
      </c>
      <c r="B65" s="2" t="n">
        <v>64</v>
      </c>
      <c r="C65" s="12" t="s">
        <v>152</v>
      </c>
      <c r="D65" s="11" t="s">
        <v>146</v>
      </c>
      <c r="E65" s="11" t="s">
        <v>141</v>
      </c>
      <c r="F65" s="11"/>
      <c r="G65" s="11" t="s">
        <v>78</v>
      </c>
      <c r="H65" s="11" t="s">
        <v>78</v>
      </c>
      <c r="I65" s="11" t="s">
        <v>78</v>
      </c>
      <c r="J65" s="11" t="s">
        <v>77</v>
      </c>
      <c r="K65" s="11" t="n">
        <v>-99</v>
      </c>
      <c r="L65" s="11" t="s">
        <v>77</v>
      </c>
      <c r="M65" s="2" t="n">
        <v>1280</v>
      </c>
      <c r="N65" s="11" t="s">
        <v>77</v>
      </c>
      <c r="O65" s="11"/>
      <c r="P65" s="11" t="s">
        <v>78</v>
      </c>
      <c r="Q65" s="11" t="s">
        <v>78</v>
      </c>
      <c r="R65" s="11" t="s">
        <v>78</v>
      </c>
      <c r="S65" s="11" t="s">
        <v>78</v>
      </c>
      <c r="T65" s="11" t="s">
        <v>78</v>
      </c>
      <c r="U65" s="11" t="s">
        <v>78</v>
      </c>
      <c r="V65" s="11" t="s">
        <v>78</v>
      </c>
      <c r="W65" s="11" t="s">
        <v>78</v>
      </c>
      <c r="X65" s="11"/>
      <c r="Y65" s="11" t="s">
        <v>78</v>
      </c>
      <c r="Z65" s="11" t="s">
        <v>78</v>
      </c>
      <c r="AA65" s="11" t="s">
        <v>78</v>
      </c>
      <c r="AB65" s="11" t="s">
        <v>78</v>
      </c>
      <c r="AC65" s="11" t="s">
        <v>78</v>
      </c>
      <c r="AD65" s="11" t="s">
        <v>78</v>
      </c>
      <c r="AE65" s="11" t="s">
        <v>78</v>
      </c>
      <c r="AF65" s="11" t="s">
        <v>78</v>
      </c>
      <c r="AH65" s="11" t="s">
        <v>73</v>
      </c>
      <c r="AI65" s="11" t="s">
        <v>73</v>
      </c>
      <c r="AK65" s="11"/>
      <c r="AL65" s="11"/>
      <c r="AM65" s="11"/>
      <c r="AN65" s="11"/>
      <c r="AO65" s="11"/>
      <c r="AP65" s="11" t="s">
        <v>79</v>
      </c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J65" s="11" t="s">
        <v>78</v>
      </c>
      <c r="BK65" s="11" t="s">
        <v>78</v>
      </c>
      <c r="BL65" s="11" t="s">
        <v>78</v>
      </c>
      <c r="BM65" s="11" t="s">
        <v>78</v>
      </c>
      <c r="BN65" s="11" t="s">
        <v>78</v>
      </c>
      <c r="BO65" s="11" t="s">
        <v>78</v>
      </c>
      <c r="BP65" s="11" t="s">
        <v>78</v>
      </c>
      <c r="BQ65" s="11" t="s">
        <v>78</v>
      </c>
      <c r="BS65" s="2" t="str">
        <f aca="false">IF(AK65="x","x",IF(AK65="-","-",""))</f>
        <v/>
      </c>
      <c r="BT65" s="2" t="str">
        <f aca="false">IF(AL65="x","x",IF(AL65="-","-",""))</f>
        <v/>
      </c>
      <c r="BU65" s="2" t="str">
        <f aca="false">IF(AM65="x","x",IF(AM65="-","-",""))</f>
        <v/>
      </c>
      <c r="BV65" s="2" t="str">
        <f aca="false">IF(AN65="x","x",IF(AN65="-","-",""))</f>
        <v/>
      </c>
      <c r="BW65" s="2" t="str">
        <f aca="false">IF(AO65="x","x",IF(AO65="-","-",""))</f>
        <v/>
      </c>
      <c r="BX65" s="2" t="str">
        <f aca="false">IF(AP65="x","x",IF(AP65="-","-",""))</f>
        <v>x</v>
      </c>
      <c r="BY65" s="2" t="str">
        <f aca="false">IF(AQ65="x","x",IF(AQ65="-","-",""))</f>
        <v/>
      </c>
      <c r="BZ65" s="2" t="str">
        <f aca="false">IF(AR65="x","x",IF(AR65="-","-",""))</f>
        <v/>
      </c>
      <c r="CA65" s="2" t="str">
        <f aca="false">IF(AS65="x","x",IF(AS65="-","-",""))</f>
        <v/>
      </c>
      <c r="CB65" s="2" t="str">
        <f aca="false">IF(AT65="x","x",IF(AT65="-","-",""))</f>
        <v/>
      </c>
      <c r="CC65" s="2" t="str">
        <f aca="false">IF(AU65="x","x",IF(AU65="-","-",""))</f>
        <v/>
      </c>
      <c r="CD65" s="2" t="str">
        <f aca="false">IF(AV65="x","x",IF(AV65="-","-",""))</f>
        <v/>
      </c>
      <c r="CE65" s="2" t="str">
        <f aca="false">IF(AW65="x","x",IF(AW65="-","-",""))</f>
        <v/>
      </c>
      <c r="CF65" s="2" t="str">
        <f aca="false">IF(AX65="x","x",IF(AX65="-","-",""))</f>
        <v/>
      </c>
      <c r="CG65" s="2" t="str">
        <f aca="false">IF(AY65="x","x",IF(AY65="-","-",""))</f>
        <v/>
      </c>
      <c r="CH65" s="2" t="str">
        <f aca="false">IF(AZ65="x","x",IF(AZ65="-","-",""))</f>
        <v/>
      </c>
      <c r="CI65" s="2" t="str">
        <f aca="false">IF(BA65="x","x",IF(BA65="-","-",""))</f>
        <v/>
      </c>
      <c r="CJ65" s="2" t="str">
        <f aca="false">IF(BB65="x","x",IF(BB65="-","-",""))</f>
        <v/>
      </c>
      <c r="CK65" s="2" t="str">
        <f aca="false">IF(BC65="x","x",IF(BC65="-","-",""))</f>
        <v/>
      </c>
      <c r="CL65" s="2" t="str">
        <f aca="false">IF(BD65="x","x",IF(BD65="-","-",""))</f>
        <v/>
      </c>
      <c r="CM65" s="2" t="str">
        <f aca="false">IF(BE65="x","x",IF(BE65="-","-",""))</f>
        <v/>
      </c>
      <c r="CN65" s="2" t="str">
        <f aca="false">IF(BF65="x","x",IF(BF65="-","-",""))</f>
        <v/>
      </c>
      <c r="CO65" s="2" t="str">
        <f aca="false">IF(BG65="x","x",IF(BG65="-","-",""))</f>
        <v/>
      </c>
      <c r="CP65" s="2" t="str">
        <f aca="false">IF(BH65="x","x",IF(BH65="-","-",""))</f>
        <v/>
      </c>
      <c r="CR65" s="2" t="str">
        <f aca="false">IF(P65="x","x",IF(P65="-","-",""))</f>
        <v>-</v>
      </c>
      <c r="CS65" s="2" t="str">
        <f aca="false">IF(Q65="x","x",IF(Q65="-","-",""))</f>
        <v>-</v>
      </c>
      <c r="CT65" s="2" t="str">
        <f aca="false">IF(R65="x","x",IF(R65="-","-",""))</f>
        <v>-</v>
      </c>
      <c r="CU65" s="2" t="str">
        <f aca="false">IF(S65="x","x",IF(S65="-","-",""))</f>
        <v>-</v>
      </c>
      <c r="CV65" s="2" t="str">
        <f aca="false">IF(T65="x","x",IF(T65="-","-",""))</f>
        <v>-</v>
      </c>
      <c r="CW65" s="2" t="str">
        <f aca="false">IF(U65="x","x",IF(U65="-","-",""))</f>
        <v>-</v>
      </c>
      <c r="CX65" s="2" t="str">
        <f aca="false">IF(V65="x","x",IF(V65="-","-",""))</f>
        <v>-</v>
      </c>
      <c r="CY65" s="2" t="str">
        <f aca="false">IF(W65="x","x",IF(W65="-","-",""))</f>
        <v>-</v>
      </c>
      <c r="CZ65" s="2" t="s">
        <v>78</v>
      </c>
      <c r="DA65" s="2" t="s">
        <v>78</v>
      </c>
      <c r="DB65" s="2" t="s">
        <v>78</v>
      </c>
      <c r="DC65" s="2" t="s">
        <v>78</v>
      </c>
      <c r="DE65" s="2" t="str">
        <f aca="false">IF(Y65="x","x",IF(Y65="-","-",""))</f>
        <v>-</v>
      </c>
      <c r="DF65" s="2" t="str">
        <f aca="false">IF(Z65="x","x",IF(Z65="-","-",""))</f>
        <v>-</v>
      </c>
      <c r="DG65" s="2" t="str">
        <f aca="false">IF(AA65="x","x",IF(AA65="-","-",""))</f>
        <v>-</v>
      </c>
      <c r="DH65" s="2" t="str">
        <f aca="false">IF(AB65="x","x",IF(AB65="-","-",""))</f>
        <v>-</v>
      </c>
      <c r="DI65" s="2" t="str">
        <f aca="false">IF(AC65="x","x",IF(AC65="-","-",""))</f>
        <v>-</v>
      </c>
      <c r="DJ65" s="2" t="str">
        <f aca="false">IF(AD65="x","x",IF(AD65="-","-",""))</f>
        <v>-</v>
      </c>
      <c r="DK65" s="2" t="str">
        <f aca="false">IF(AE65="x","x",IF(AE65="-","-",""))</f>
        <v>-</v>
      </c>
      <c r="DL65" s="2" t="str">
        <f aca="false">IF(AF65="x","x",IF(AF65="-","-",""))</f>
        <v>-</v>
      </c>
      <c r="DM65" s="2" t="s">
        <v>78</v>
      </c>
      <c r="DN65" s="2" t="s">
        <v>78</v>
      </c>
      <c r="DO65" s="2" t="s">
        <v>78</v>
      </c>
      <c r="DP65" s="2" t="s">
        <v>78</v>
      </c>
      <c r="EG65" s="11"/>
      <c r="EH65" s="11"/>
      <c r="EI65" s="11"/>
      <c r="EJ65" s="11"/>
      <c r="EK65" s="11"/>
      <c r="EL65" s="11"/>
      <c r="EM65" s="11"/>
      <c r="EN65" s="11"/>
    </row>
    <row r="66" customFormat="false" ht="13.8" hidden="false" customHeight="false" outlineLevel="0" collapsed="false">
      <c r="B66" s="2"/>
      <c r="K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U66" s="11"/>
      <c r="CR66" s="2" t="str">
        <f aca="false">IF(P66="x","x",IF(P66="-","-",""))</f>
        <v/>
      </c>
      <c r="CS66" s="2" t="str">
        <f aca="false">IF(Q66="x","x",IF(Q66="-","-",""))</f>
        <v/>
      </c>
      <c r="CT66" s="2" t="str">
        <f aca="false">IF(R66="x","x",IF(R66="-","-",""))</f>
        <v/>
      </c>
      <c r="CU66" s="2" t="str">
        <f aca="false">IF(S66="x","x",IF(S66="-","-",""))</f>
        <v/>
      </c>
      <c r="CV66" s="2" t="str">
        <f aca="false">IF(T66="x","x",IF(T66="-","-",""))</f>
        <v/>
      </c>
      <c r="CW66" s="2" t="str">
        <f aca="false">IF(U66="x","x",IF(U66="-","-",""))</f>
        <v/>
      </c>
      <c r="CX66" s="2" t="str">
        <f aca="false">IF(V66="x","x",IF(V66="-","-",""))</f>
        <v/>
      </c>
      <c r="CY66" s="2" t="str">
        <f aca="false">IF(W66="x","x",IF(W66="-","-",""))</f>
        <v/>
      </c>
      <c r="DE66" s="2" t="str">
        <f aca="false">IF(Y66="x","x",IF(Y66="-","-",""))</f>
        <v/>
      </c>
      <c r="DF66" s="2" t="str">
        <f aca="false">IF(Z66="x","x",IF(Z66="-","-",""))</f>
        <v/>
      </c>
      <c r="DG66" s="2" t="str">
        <f aca="false">IF(AA66="x","x",IF(AA66="-","-",""))</f>
        <v/>
      </c>
      <c r="DH66" s="2" t="str">
        <f aca="false">IF(AB66="x","x",IF(AB66="-","-",""))</f>
        <v/>
      </c>
      <c r="DI66" s="2" t="str">
        <f aca="false">IF(AC66="x","x",IF(AC66="-","-",""))</f>
        <v/>
      </c>
      <c r="DJ66" s="2" t="str">
        <f aca="false">IF(AD66="x","x",IF(AD66="-","-",""))</f>
        <v/>
      </c>
      <c r="DK66" s="2" t="str">
        <f aca="false">IF(AE66="x","x",IF(AE66="-","-",""))</f>
        <v/>
      </c>
      <c r="DL66" s="2" t="str">
        <f aca="false">IF(AF66="x","x",IF(AF66="-","-",""))</f>
        <v/>
      </c>
    </row>
    <row r="67" customFormat="false" ht="13.8" hidden="false" customHeight="false" outlineLevel="0" collapsed="false">
      <c r="B67" s="2"/>
      <c r="K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U67" s="11"/>
      <c r="CR67" s="2" t="str">
        <f aca="false">IF(P67="x","x",IF(P67="-","-",""))</f>
        <v/>
      </c>
      <c r="CS67" s="2" t="str">
        <f aca="false">IF(Q67="x","x",IF(Q67="-","-",""))</f>
        <v/>
      </c>
      <c r="CT67" s="2" t="str">
        <f aca="false">IF(R67="x","x",IF(R67="-","-",""))</f>
        <v/>
      </c>
      <c r="CU67" s="2" t="str">
        <f aca="false">IF(S67="x","x",IF(S67="-","-",""))</f>
        <v/>
      </c>
      <c r="CV67" s="2" t="str">
        <f aca="false">IF(T67="x","x",IF(T67="-","-",""))</f>
        <v/>
      </c>
      <c r="CW67" s="2" t="str">
        <f aca="false">IF(U67="x","x",IF(U67="-","-",""))</f>
        <v/>
      </c>
      <c r="CX67" s="2" t="str">
        <f aca="false">IF(V67="x","x",IF(V67="-","-",""))</f>
        <v/>
      </c>
      <c r="CY67" s="2" t="str">
        <f aca="false">IF(W67="x","x",IF(W67="-","-",""))</f>
        <v/>
      </c>
      <c r="DE67" s="2" t="str">
        <f aca="false">IF(Y67="x","x",IF(Y67="-","-",""))</f>
        <v/>
      </c>
      <c r="DF67" s="2" t="str">
        <f aca="false">IF(Z67="x","x",IF(Z67="-","-",""))</f>
        <v/>
      </c>
      <c r="DG67" s="2" t="str">
        <f aca="false">IF(AA67="x","x",IF(AA67="-","-",""))</f>
        <v/>
      </c>
      <c r="DH67" s="2" t="str">
        <f aca="false">IF(AB67="x","x",IF(AB67="-","-",""))</f>
        <v/>
      </c>
      <c r="DI67" s="2" t="str">
        <f aca="false">IF(AC67="x","x",IF(AC67="-","-",""))</f>
        <v/>
      </c>
      <c r="DJ67" s="2" t="str">
        <f aca="false">IF(AD67="x","x",IF(AD67="-","-",""))</f>
        <v/>
      </c>
      <c r="DK67" s="2" t="str">
        <f aca="false">IF(AE67="x","x",IF(AE67="-","-",""))</f>
        <v/>
      </c>
      <c r="DL67" s="2" t="str">
        <f aca="false">IF(AF67="x","x",IF(AF67="-","-",""))</f>
        <v/>
      </c>
    </row>
    <row r="68" customFormat="false" ht="13.8" hidden="false" customHeight="false" outlineLevel="0" collapsed="false">
      <c r="K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U68" s="11"/>
      <c r="CR68" s="2" t="str">
        <f aca="false">IF(P68="x","x",IF(P68="-","-",""))</f>
        <v/>
      </c>
      <c r="CS68" s="2" t="str">
        <f aca="false">IF(Q68="x","x",IF(Q68="-","-",""))</f>
        <v/>
      </c>
      <c r="CT68" s="2" t="str">
        <f aca="false">IF(R68="x","x",IF(R68="-","-",""))</f>
        <v/>
      </c>
      <c r="CU68" s="2" t="str">
        <f aca="false">IF(S68="x","x",IF(S68="-","-",""))</f>
        <v/>
      </c>
      <c r="CV68" s="2" t="str">
        <f aca="false">IF(T68="x","x",IF(T68="-","-",""))</f>
        <v/>
      </c>
      <c r="CW68" s="2" t="str">
        <f aca="false">IF(U68="x","x",IF(U68="-","-",""))</f>
        <v/>
      </c>
      <c r="CX68" s="2" t="str">
        <f aca="false">IF(V68="x","x",IF(V68="-","-",""))</f>
        <v/>
      </c>
      <c r="CY68" s="2" t="str">
        <f aca="false">IF(W68="x","x",IF(W68="-","-",""))</f>
        <v/>
      </c>
      <c r="DE68" s="2" t="str">
        <f aca="false">IF(Y68="x","x",IF(Y68="-","-",""))</f>
        <v/>
      </c>
      <c r="DF68" s="2" t="str">
        <f aca="false">IF(Z68="x","x",IF(Z68="-","-",""))</f>
        <v/>
      </c>
      <c r="DG68" s="2" t="str">
        <f aca="false">IF(AA68="x","x",IF(AA68="-","-",""))</f>
        <v/>
      </c>
      <c r="DH68" s="2" t="str">
        <f aca="false">IF(AB68="x","x",IF(AB68="-","-",""))</f>
        <v/>
      </c>
      <c r="DI68" s="2" t="str">
        <f aca="false">IF(AC68="x","x",IF(AC68="-","-",""))</f>
        <v/>
      </c>
      <c r="DJ68" s="2" t="str">
        <f aca="false">IF(AD68="x","x",IF(AD68="-","-",""))</f>
        <v/>
      </c>
      <c r="DK68" s="2" t="str">
        <f aca="false">IF(AE68="x","x",IF(AE68="-","-",""))</f>
        <v/>
      </c>
      <c r="DL68" s="2" t="str">
        <f aca="false">IF(AF68="x","x",IF(AF68="-","-",""))</f>
        <v/>
      </c>
    </row>
    <row r="69" customFormat="false" ht="13.8" hidden="false" customHeight="false" outlineLevel="0" collapsed="false">
      <c r="K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U69" s="11"/>
      <c r="CR69" s="2" t="str">
        <f aca="false">IF(P69="x","x",IF(P69="-","-",""))</f>
        <v/>
      </c>
      <c r="CS69" s="2" t="str">
        <f aca="false">IF(Q69="x","x",IF(Q69="-","-",""))</f>
        <v/>
      </c>
      <c r="CT69" s="2" t="str">
        <f aca="false">IF(R69="x","x",IF(R69="-","-",""))</f>
        <v/>
      </c>
      <c r="CU69" s="2" t="str">
        <f aca="false">IF(S69="x","x",IF(S69="-","-",""))</f>
        <v/>
      </c>
      <c r="CV69" s="2" t="str">
        <f aca="false">IF(T69="x","x",IF(T69="-","-",""))</f>
        <v/>
      </c>
      <c r="CW69" s="2" t="str">
        <f aca="false">IF(U69="x","x",IF(U69="-","-",""))</f>
        <v/>
      </c>
      <c r="CX69" s="2" t="str">
        <f aca="false">IF(V69="x","x",IF(V69="-","-",""))</f>
        <v/>
      </c>
      <c r="CY69" s="2" t="str">
        <f aca="false">IF(W69="x","x",IF(W69="-","-",""))</f>
        <v/>
      </c>
      <c r="DE69" s="2" t="str">
        <f aca="false">IF(Y69="x","x",IF(Y69="-","-",""))</f>
        <v/>
      </c>
      <c r="DF69" s="2" t="str">
        <f aca="false">IF(Z69="x","x",IF(Z69="-","-",""))</f>
        <v/>
      </c>
      <c r="DG69" s="2" t="str">
        <f aca="false">IF(AA69="x","x",IF(AA69="-","-",""))</f>
        <v/>
      </c>
      <c r="DH69" s="2" t="str">
        <f aca="false">IF(AB69="x","x",IF(AB69="-","-",""))</f>
        <v/>
      </c>
      <c r="DI69" s="2" t="str">
        <f aca="false">IF(AC69="x","x",IF(AC69="-","-",""))</f>
        <v/>
      </c>
      <c r="DJ69" s="2" t="str">
        <f aca="false">IF(AD69="x","x",IF(AD69="-","-",""))</f>
        <v/>
      </c>
      <c r="DK69" s="2" t="str">
        <f aca="false">IF(AE69="x","x",IF(AE69="-","-",""))</f>
        <v/>
      </c>
      <c r="DL69" s="2" t="str">
        <f aca="false">IF(AF69="x","x",IF(AF69="-","-",""))</f>
        <v/>
      </c>
    </row>
    <row r="70" customFormat="false" ht="13.8" hidden="false" customHeight="false" outlineLevel="0" collapsed="false"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CR70" s="2" t="str">
        <f aca="false">IF(P70="x","x",IF(P70="-","-",""))</f>
        <v/>
      </c>
      <c r="CS70" s="2" t="str">
        <f aca="false">IF(Q70="x","x",IF(Q70="-","-",""))</f>
        <v/>
      </c>
      <c r="CT70" s="2" t="str">
        <f aca="false">IF(R70="x","x",IF(R70="-","-",""))</f>
        <v/>
      </c>
      <c r="CU70" s="2" t="str">
        <f aca="false">IF(S70="x","x",IF(S70="-","-",""))</f>
        <v/>
      </c>
      <c r="CV70" s="2" t="str">
        <f aca="false">IF(T70="x","x",IF(T70="-","-",""))</f>
        <v/>
      </c>
      <c r="CW70" s="2" t="str">
        <f aca="false">IF(U70="x","x",IF(U70="-","-",""))</f>
        <v/>
      </c>
      <c r="CX70" s="2" t="str">
        <f aca="false">IF(V70="x","x",IF(V70="-","-",""))</f>
        <v/>
      </c>
      <c r="CY70" s="2" t="str">
        <f aca="false">IF(W70="x","x",IF(W70="-","-",""))</f>
        <v/>
      </c>
      <c r="DE70" s="2" t="str">
        <f aca="false">IF(Y70="x","x",IF(Y70="-","-",""))</f>
        <v/>
      </c>
      <c r="DF70" s="2" t="str">
        <f aca="false">IF(Z70="x","x",IF(Z70="-","-",""))</f>
        <v/>
      </c>
      <c r="DG70" s="2" t="str">
        <f aca="false">IF(AA70="x","x",IF(AA70="-","-",""))</f>
        <v/>
      </c>
      <c r="DH70" s="2" t="str">
        <f aca="false">IF(AB70="x","x",IF(AB70="-","-",""))</f>
        <v/>
      </c>
      <c r="DI70" s="2" t="str">
        <f aca="false">IF(AC70="x","x",IF(AC70="-","-",""))</f>
        <v/>
      </c>
      <c r="DJ70" s="2" t="str">
        <f aca="false">IF(AD70="x","x",IF(AD70="-","-",""))</f>
        <v/>
      </c>
      <c r="DK70" s="2" t="str">
        <f aca="false">IF(AE70="x","x",IF(AE70="-","-",""))</f>
        <v/>
      </c>
      <c r="DL70" s="2" t="str">
        <f aca="false">IF(AF70="x","x",IF(AF70="-","-",""))</f>
        <v/>
      </c>
    </row>
    <row r="71" customFormat="false" ht="13.8" hidden="false" customHeight="false" outlineLevel="0" collapsed="false"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CR71" s="2" t="str">
        <f aca="false">IF(P71="x","x",IF(P71="-","-",""))</f>
        <v/>
      </c>
      <c r="CS71" s="2" t="str">
        <f aca="false">IF(Q71="x","x",IF(Q71="-","-",""))</f>
        <v/>
      </c>
      <c r="CT71" s="2" t="str">
        <f aca="false">IF(R71="x","x",IF(R71="-","-",""))</f>
        <v/>
      </c>
      <c r="CU71" s="2" t="str">
        <f aca="false">IF(S71="x","x",IF(S71="-","-",""))</f>
        <v/>
      </c>
      <c r="CV71" s="2" t="str">
        <f aca="false">IF(T71="x","x",IF(T71="-","-",""))</f>
        <v/>
      </c>
      <c r="CW71" s="2" t="str">
        <f aca="false">IF(U71="x","x",IF(U71="-","-",""))</f>
        <v/>
      </c>
      <c r="CX71" s="2" t="str">
        <f aca="false">IF(V71="x","x",IF(V71="-","-",""))</f>
        <v/>
      </c>
      <c r="CY71" s="2" t="str">
        <f aca="false">IF(W71="x","x",IF(W71="-","-",""))</f>
        <v/>
      </c>
      <c r="DE71" s="2" t="str">
        <f aca="false">IF(Y71="x","x",IF(Y71="-","-",""))</f>
        <v/>
      </c>
      <c r="DF71" s="2" t="str">
        <f aca="false">IF(Z71="x","x",IF(Z71="-","-",""))</f>
        <v/>
      </c>
      <c r="DG71" s="2" t="str">
        <f aca="false">IF(AA71="x","x",IF(AA71="-","-",""))</f>
        <v/>
      </c>
      <c r="DH71" s="2" t="str">
        <f aca="false">IF(AB71="x","x",IF(AB71="-","-",""))</f>
        <v/>
      </c>
      <c r="DI71" s="2" t="str">
        <f aca="false">IF(AC71="x","x",IF(AC71="-","-",""))</f>
        <v/>
      </c>
      <c r="DJ71" s="2" t="str">
        <f aca="false">IF(AD71="x","x",IF(AD71="-","-",""))</f>
        <v/>
      </c>
      <c r="DK71" s="2" t="str">
        <f aca="false">IF(AE71="x","x",IF(AE71="-","-",""))</f>
        <v/>
      </c>
      <c r="DL71" s="2" t="str">
        <f aca="false">IF(AF71="x","x",IF(AF71="-","-",""))</f>
        <v/>
      </c>
    </row>
    <row r="72" customFormat="false" ht="13.8" hidden="false" customHeight="false" outlineLevel="0" collapsed="false"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CR72" s="2" t="str">
        <f aca="false">IF(P72="x","x",IF(P72="-","-",""))</f>
        <v/>
      </c>
      <c r="CS72" s="2" t="str">
        <f aca="false">IF(Q72="x","x",IF(Q72="-","-",""))</f>
        <v/>
      </c>
      <c r="CT72" s="2" t="str">
        <f aca="false">IF(R72="x","x",IF(R72="-","-",""))</f>
        <v/>
      </c>
      <c r="CU72" s="2" t="str">
        <f aca="false">IF(S72="x","x",IF(S72="-","-",""))</f>
        <v/>
      </c>
      <c r="CV72" s="2" t="str">
        <f aca="false">IF(T72="x","x",IF(T72="-","-",""))</f>
        <v/>
      </c>
      <c r="CW72" s="2" t="str">
        <f aca="false">IF(U72="x","x",IF(U72="-","-",""))</f>
        <v/>
      </c>
      <c r="CX72" s="2" t="str">
        <f aca="false">IF(V72="x","x",IF(V72="-","-",""))</f>
        <v/>
      </c>
      <c r="CY72" s="2" t="str">
        <f aca="false">IF(W72="x","x",IF(W72="-","-",""))</f>
        <v/>
      </c>
      <c r="DE72" s="2" t="str">
        <f aca="false">IF(Y72="x","x",IF(Y72="-","-",""))</f>
        <v/>
      </c>
      <c r="DF72" s="2" t="str">
        <f aca="false">IF(Z72="x","x",IF(Z72="-","-",""))</f>
        <v/>
      </c>
      <c r="DG72" s="2" t="str">
        <f aca="false">IF(AA72="x","x",IF(AA72="-","-",""))</f>
        <v/>
      </c>
      <c r="DH72" s="2" t="str">
        <f aca="false">IF(AB72="x","x",IF(AB72="-","-",""))</f>
        <v/>
      </c>
      <c r="DI72" s="2" t="str">
        <f aca="false">IF(AC72="x","x",IF(AC72="-","-",""))</f>
        <v/>
      </c>
      <c r="DJ72" s="2" t="str">
        <f aca="false">IF(AD72="x","x",IF(AD72="-","-",""))</f>
        <v/>
      </c>
      <c r="DK72" s="2" t="str">
        <f aca="false">IF(AE72="x","x",IF(AE72="-","-",""))</f>
        <v/>
      </c>
      <c r="DL72" s="2" t="str">
        <f aca="false">IF(AF72="x","x",IF(AF72="-","-",""))</f>
        <v/>
      </c>
    </row>
    <row r="73" customFormat="false" ht="13.8" hidden="false" customHeight="false" outlineLevel="0" collapsed="false"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CR73" s="2" t="str">
        <f aca="false">IF(P73="x","x",IF(P73="-","-",""))</f>
        <v/>
      </c>
      <c r="CS73" s="2" t="str">
        <f aca="false">IF(Q73="x","x",IF(Q73="-","-",""))</f>
        <v/>
      </c>
      <c r="CT73" s="2" t="str">
        <f aca="false">IF(R73="x","x",IF(R73="-","-",""))</f>
        <v/>
      </c>
      <c r="CU73" s="2" t="str">
        <f aca="false">IF(S73="x","x",IF(S73="-","-",""))</f>
        <v/>
      </c>
      <c r="CV73" s="2" t="str">
        <f aca="false">IF(T73="x","x",IF(T73="-","-",""))</f>
        <v/>
      </c>
      <c r="CW73" s="2" t="str">
        <f aca="false">IF(U73="x","x",IF(U73="-","-",""))</f>
        <v/>
      </c>
      <c r="CX73" s="2" t="str">
        <f aca="false">IF(V73="x","x",IF(V73="-","-",""))</f>
        <v/>
      </c>
      <c r="CY73" s="2" t="str">
        <f aca="false">IF(W73="x","x",IF(W73="-","-",""))</f>
        <v/>
      </c>
      <c r="DE73" s="2" t="str">
        <f aca="false">IF(Y73="x","x",IF(Y73="-","-",""))</f>
        <v/>
      </c>
      <c r="DF73" s="2" t="str">
        <f aca="false">IF(Z73="x","x",IF(Z73="-","-",""))</f>
        <v/>
      </c>
      <c r="DG73" s="2" t="str">
        <f aca="false">IF(AA73="x","x",IF(AA73="-","-",""))</f>
        <v/>
      </c>
      <c r="DH73" s="2" t="str">
        <f aca="false">IF(AB73="x","x",IF(AB73="-","-",""))</f>
        <v/>
      </c>
      <c r="DI73" s="2" t="str">
        <f aca="false">IF(AC73="x","x",IF(AC73="-","-",""))</f>
        <v/>
      </c>
      <c r="DJ73" s="2" t="str">
        <f aca="false">IF(AD73="x","x",IF(AD73="-","-",""))</f>
        <v/>
      </c>
      <c r="DK73" s="2" t="str">
        <f aca="false">IF(AE73="x","x",IF(AE73="-","-",""))</f>
        <v/>
      </c>
      <c r="DL73" s="2" t="str">
        <f aca="false">IF(AF73="x","x",IF(AF73="-","-",""))</f>
        <v/>
      </c>
    </row>
    <row r="74" customFormat="false" ht="13.8" hidden="false" customHeight="false" outlineLevel="0" collapsed="false"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CR74" s="2" t="str">
        <f aca="false">IF(P74="x","x",IF(P74="-","-",""))</f>
        <v/>
      </c>
      <c r="CS74" s="2" t="str">
        <f aca="false">IF(Q74="x","x",IF(Q74="-","-",""))</f>
        <v/>
      </c>
      <c r="CT74" s="2" t="str">
        <f aca="false">IF(R74="x","x",IF(R74="-","-",""))</f>
        <v/>
      </c>
      <c r="CU74" s="2" t="str">
        <f aca="false">IF(S74="x","x",IF(S74="-","-",""))</f>
        <v/>
      </c>
      <c r="CV74" s="2" t="str">
        <f aca="false">IF(T74="x","x",IF(T74="-","-",""))</f>
        <v/>
      </c>
      <c r="CW74" s="2" t="str">
        <f aca="false">IF(U74="x","x",IF(U74="-","-",""))</f>
        <v/>
      </c>
      <c r="CX74" s="2" t="str">
        <f aca="false">IF(V74="x","x",IF(V74="-","-",""))</f>
        <v/>
      </c>
      <c r="CY74" s="2" t="str">
        <f aca="false">IF(W74="x","x",IF(W74="-","-",""))</f>
        <v/>
      </c>
      <c r="DE74" s="2" t="str">
        <f aca="false">IF(Y74="x","x",IF(Y74="-","-",""))</f>
        <v/>
      </c>
      <c r="DF74" s="2" t="str">
        <f aca="false">IF(Z74="x","x",IF(Z74="-","-",""))</f>
        <v/>
      </c>
      <c r="DG74" s="2" t="str">
        <f aca="false">IF(AA74="x","x",IF(AA74="-","-",""))</f>
        <v/>
      </c>
      <c r="DH74" s="2" t="str">
        <f aca="false">IF(AB74="x","x",IF(AB74="-","-",""))</f>
        <v/>
      </c>
      <c r="DI74" s="2" t="str">
        <f aca="false">IF(AC74="x","x",IF(AC74="-","-",""))</f>
        <v/>
      </c>
      <c r="DJ74" s="2" t="str">
        <f aca="false">IF(AD74="x","x",IF(AD74="-","-",""))</f>
        <v/>
      </c>
      <c r="DK74" s="2" t="str">
        <f aca="false">IF(AE74="x","x",IF(AE74="-","-",""))</f>
        <v/>
      </c>
      <c r="DL74" s="2" t="str">
        <f aca="false">IF(AF74="x","x",IF(AF74="-","-",""))</f>
        <v/>
      </c>
    </row>
    <row r="75" customFormat="false" ht="13.8" hidden="false" customHeight="false" outlineLevel="0" collapsed="false"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CR75" s="2" t="str">
        <f aca="false">IF(P75="x","x",IF(P75="-","-",""))</f>
        <v/>
      </c>
      <c r="CS75" s="2" t="str">
        <f aca="false">IF(Q75="x","x",IF(Q75="-","-",""))</f>
        <v/>
      </c>
      <c r="CT75" s="2" t="str">
        <f aca="false">IF(R75="x","x",IF(R75="-","-",""))</f>
        <v/>
      </c>
      <c r="CU75" s="2" t="str">
        <f aca="false">IF(S75="x","x",IF(S75="-","-",""))</f>
        <v/>
      </c>
      <c r="CV75" s="2" t="str">
        <f aca="false">IF(T75="x","x",IF(T75="-","-",""))</f>
        <v/>
      </c>
      <c r="CW75" s="2" t="str">
        <f aca="false">IF(U75="x","x",IF(U75="-","-",""))</f>
        <v/>
      </c>
      <c r="CX75" s="2" t="str">
        <f aca="false">IF(V75="x","x",IF(V75="-","-",""))</f>
        <v/>
      </c>
      <c r="CY75" s="2" t="str">
        <f aca="false">IF(W75="x","x",IF(W75="-","-",""))</f>
        <v/>
      </c>
      <c r="DE75" s="2" t="str">
        <f aca="false">IF(Y75="x","x",IF(Y75="-","-",""))</f>
        <v/>
      </c>
      <c r="DF75" s="2" t="str">
        <f aca="false">IF(Z75="x","x",IF(Z75="-","-",""))</f>
        <v/>
      </c>
      <c r="DG75" s="2" t="str">
        <f aca="false">IF(AA75="x","x",IF(AA75="-","-",""))</f>
        <v/>
      </c>
      <c r="DH75" s="2" t="str">
        <f aca="false">IF(AB75="x","x",IF(AB75="-","-",""))</f>
        <v/>
      </c>
      <c r="DI75" s="2" t="str">
        <f aca="false">IF(AC75="x","x",IF(AC75="-","-",""))</f>
        <v/>
      </c>
      <c r="DJ75" s="2" t="str">
        <f aca="false">IF(AD75="x","x",IF(AD75="-","-",""))</f>
        <v/>
      </c>
      <c r="DK75" s="2" t="str">
        <f aca="false">IF(AE75="x","x",IF(AE75="-","-",""))</f>
        <v/>
      </c>
      <c r="DL75" s="2" t="str">
        <f aca="false">IF(AF75="x","x",IF(AF75="-","-",""))</f>
        <v/>
      </c>
    </row>
    <row r="76" customFormat="false" ht="13.8" hidden="false" customHeight="false" outlineLevel="0" collapsed="false"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CR76" s="2" t="str">
        <f aca="false">IF(P76="x","x",IF(P76="-","-",""))</f>
        <v/>
      </c>
      <c r="CS76" s="2" t="str">
        <f aca="false">IF(Q76="x","x",IF(Q76="-","-",""))</f>
        <v/>
      </c>
      <c r="CT76" s="2" t="str">
        <f aca="false">IF(R76="x","x",IF(R76="-","-",""))</f>
        <v/>
      </c>
      <c r="CU76" s="2" t="str">
        <f aca="false">IF(S76="x","x",IF(S76="-","-",""))</f>
        <v/>
      </c>
      <c r="CV76" s="2" t="str">
        <f aca="false">IF(T76="x","x",IF(T76="-","-",""))</f>
        <v/>
      </c>
      <c r="CW76" s="2" t="str">
        <f aca="false">IF(U76="x","x",IF(U76="-","-",""))</f>
        <v/>
      </c>
      <c r="CX76" s="2" t="str">
        <f aca="false">IF(V76="x","x",IF(V76="-","-",""))</f>
        <v/>
      </c>
      <c r="CY76" s="2" t="str">
        <f aca="false">IF(W76="x","x",IF(W76="-","-",""))</f>
        <v/>
      </c>
      <c r="DE76" s="2" t="str">
        <f aca="false">IF(Y76="x","x",IF(Y76="-","-",""))</f>
        <v/>
      </c>
      <c r="DF76" s="2" t="str">
        <f aca="false">IF(Z76="x","x",IF(Z76="-","-",""))</f>
        <v/>
      </c>
      <c r="DG76" s="2" t="str">
        <f aca="false">IF(AA76="x","x",IF(AA76="-","-",""))</f>
        <v/>
      </c>
      <c r="DH76" s="2" t="str">
        <f aca="false">IF(AB76="x","x",IF(AB76="-","-",""))</f>
        <v/>
      </c>
      <c r="DI76" s="2" t="str">
        <f aca="false">IF(AC76="x","x",IF(AC76="-","-",""))</f>
        <v/>
      </c>
      <c r="DJ76" s="2" t="str">
        <f aca="false">IF(AD76="x","x",IF(AD76="-","-",""))</f>
        <v/>
      </c>
      <c r="DK76" s="2" t="str">
        <f aca="false">IF(AE76="x","x",IF(AE76="-","-",""))</f>
        <v/>
      </c>
      <c r="DL76" s="2" t="str">
        <f aca="false">IF(AF76="x","x",IF(AF76="-","-",""))</f>
        <v/>
      </c>
    </row>
    <row r="77" customFormat="false" ht="13.8" hidden="false" customHeight="false" outlineLevel="0" collapsed="false"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CR77" s="2" t="str">
        <f aca="false">IF(P77="x","x",IF(P77="-","-",""))</f>
        <v/>
      </c>
      <c r="CS77" s="2" t="str">
        <f aca="false">IF(Q77="x","x",IF(Q77="-","-",""))</f>
        <v/>
      </c>
      <c r="CT77" s="2" t="str">
        <f aca="false">IF(R77="x","x",IF(R77="-","-",""))</f>
        <v/>
      </c>
      <c r="CU77" s="2" t="str">
        <f aca="false">IF(S77="x","x",IF(S77="-","-",""))</f>
        <v/>
      </c>
      <c r="CV77" s="2" t="str">
        <f aca="false">IF(T77="x","x",IF(T77="-","-",""))</f>
        <v/>
      </c>
      <c r="CW77" s="2" t="str">
        <f aca="false">IF(U77="x","x",IF(U77="-","-",""))</f>
        <v/>
      </c>
      <c r="CX77" s="2" t="str">
        <f aca="false">IF(V77="x","x",IF(V77="-","-",""))</f>
        <v/>
      </c>
      <c r="CY77" s="2" t="str">
        <f aca="false">IF(W77="x","x",IF(W77="-","-",""))</f>
        <v/>
      </c>
      <c r="DE77" s="2" t="str">
        <f aca="false">IF(Y77="x","x",IF(Y77="-","-",""))</f>
        <v/>
      </c>
      <c r="DF77" s="2" t="str">
        <f aca="false">IF(Z77="x","x",IF(Z77="-","-",""))</f>
        <v/>
      </c>
      <c r="DG77" s="2" t="str">
        <f aca="false">IF(AA77="x","x",IF(AA77="-","-",""))</f>
        <v/>
      </c>
      <c r="DH77" s="2" t="str">
        <f aca="false">IF(AB77="x","x",IF(AB77="-","-",""))</f>
        <v/>
      </c>
      <c r="DI77" s="2" t="str">
        <f aca="false">IF(AC77="x","x",IF(AC77="-","-",""))</f>
        <v/>
      </c>
      <c r="DJ77" s="2" t="str">
        <f aca="false">IF(AD77="x","x",IF(AD77="-","-",""))</f>
        <v/>
      </c>
      <c r="DK77" s="2" t="str">
        <f aca="false">IF(AE77="x","x",IF(AE77="-","-",""))</f>
        <v/>
      </c>
      <c r="DL77" s="2" t="str">
        <f aca="false">IF(AF77="x","x",IF(AF77="-","-",""))</f>
        <v/>
      </c>
    </row>
    <row r="78" customFormat="false" ht="13.8" hidden="false" customHeight="false" outlineLevel="0" collapsed="false"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CR78" s="2" t="str">
        <f aca="false">IF(P78="x","x",IF(P78="-","-",""))</f>
        <v/>
      </c>
      <c r="CS78" s="2" t="str">
        <f aca="false">IF(Q78="x","x",IF(Q78="-","-",""))</f>
        <v/>
      </c>
      <c r="CT78" s="2" t="str">
        <f aca="false">IF(R78="x","x",IF(R78="-","-",""))</f>
        <v/>
      </c>
      <c r="CU78" s="2" t="str">
        <f aca="false">IF(S78="x","x",IF(S78="-","-",""))</f>
        <v/>
      </c>
      <c r="CV78" s="2" t="str">
        <f aca="false">IF(T78="x","x",IF(T78="-","-",""))</f>
        <v/>
      </c>
      <c r="CW78" s="2" t="str">
        <f aca="false">IF(U78="x","x",IF(U78="-","-",""))</f>
        <v/>
      </c>
      <c r="CX78" s="2" t="str">
        <f aca="false">IF(V78="x","x",IF(V78="-","-",""))</f>
        <v/>
      </c>
      <c r="CY78" s="2" t="str">
        <f aca="false">IF(W78="x","x",IF(W78="-","-",""))</f>
        <v/>
      </c>
      <c r="DE78" s="2" t="str">
        <f aca="false">IF(Y78="x","x",IF(Y78="-","-",""))</f>
        <v/>
      </c>
      <c r="DF78" s="2" t="str">
        <f aca="false">IF(Z78="x","x",IF(Z78="-","-",""))</f>
        <v/>
      </c>
      <c r="DG78" s="2" t="str">
        <f aca="false">IF(AA78="x","x",IF(AA78="-","-",""))</f>
        <v/>
      </c>
      <c r="DH78" s="2" t="str">
        <f aca="false">IF(AB78="x","x",IF(AB78="-","-",""))</f>
        <v/>
      </c>
      <c r="DI78" s="2" t="str">
        <f aca="false">IF(AC78="x","x",IF(AC78="-","-",""))</f>
        <v/>
      </c>
      <c r="DJ78" s="2" t="str">
        <f aca="false">IF(AD78="x","x",IF(AD78="-","-",""))</f>
        <v/>
      </c>
      <c r="DK78" s="2" t="str">
        <f aca="false">IF(AE78="x","x",IF(AE78="-","-",""))</f>
        <v/>
      </c>
      <c r="DL78" s="2" t="str">
        <f aca="false">IF(AF78="x","x",IF(AF78="-","-",""))</f>
        <v/>
      </c>
    </row>
    <row r="79" customFormat="false" ht="13.8" hidden="false" customHeight="false" outlineLevel="0" collapsed="false"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CR79" s="2" t="str">
        <f aca="false">IF(P79="x","x",IF(P79="-","-",""))</f>
        <v/>
      </c>
      <c r="CS79" s="2" t="str">
        <f aca="false">IF(Q79="x","x",IF(Q79="-","-",""))</f>
        <v/>
      </c>
      <c r="CT79" s="2" t="str">
        <f aca="false">IF(R79="x","x",IF(R79="-","-",""))</f>
        <v/>
      </c>
      <c r="CU79" s="2" t="str">
        <f aca="false">IF(S79="x","x",IF(S79="-","-",""))</f>
        <v/>
      </c>
      <c r="CV79" s="2" t="str">
        <f aca="false">IF(T79="x","x",IF(T79="-","-",""))</f>
        <v/>
      </c>
      <c r="CW79" s="2" t="str">
        <f aca="false">IF(U79="x","x",IF(U79="-","-",""))</f>
        <v/>
      </c>
      <c r="CX79" s="2" t="str">
        <f aca="false">IF(V79="x","x",IF(V79="-","-",""))</f>
        <v/>
      </c>
      <c r="CY79" s="2" t="str">
        <f aca="false">IF(W79="x","x",IF(W79="-","-",""))</f>
        <v/>
      </c>
      <c r="DE79" s="2" t="str">
        <f aca="false">IF(Y79="x","x",IF(Y79="-","-",""))</f>
        <v/>
      </c>
      <c r="DF79" s="2" t="str">
        <f aca="false">IF(Z79="x","x",IF(Z79="-","-",""))</f>
        <v/>
      </c>
      <c r="DG79" s="2" t="str">
        <f aca="false">IF(AA79="x","x",IF(AA79="-","-",""))</f>
        <v/>
      </c>
      <c r="DH79" s="2" t="str">
        <f aca="false">IF(AB79="x","x",IF(AB79="-","-",""))</f>
        <v/>
      </c>
      <c r="DI79" s="2" t="str">
        <f aca="false">IF(AC79="x","x",IF(AC79="-","-",""))</f>
        <v/>
      </c>
      <c r="DJ79" s="2" t="str">
        <f aca="false">IF(AD79="x","x",IF(AD79="-","-",""))</f>
        <v/>
      </c>
      <c r="DK79" s="2" t="str">
        <f aca="false">IF(AE79="x","x",IF(AE79="-","-",""))</f>
        <v/>
      </c>
      <c r="DL79" s="2" t="str">
        <f aca="false">IF(AF79="x","x",IF(AF79="-","-",""))</f>
        <v/>
      </c>
    </row>
    <row r="80" customFormat="false" ht="13.8" hidden="false" customHeight="false" outlineLevel="0" collapsed="false"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CR80" s="2" t="str">
        <f aca="false">IF(P80="x","x",IF(P80="-","-",""))</f>
        <v/>
      </c>
      <c r="CS80" s="2" t="str">
        <f aca="false">IF(Q80="x","x",IF(Q80="-","-",""))</f>
        <v/>
      </c>
      <c r="CT80" s="2" t="str">
        <f aca="false">IF(R80="x","x",IF(R80="-","-",""))</f>
        <v/>
      </c>
      <c r="CU80" s="2" t="str">
        <f aca="false">IF(S80="x","x",IF(S80="-","-",""))</f>
        <v/>
      </c>
      <c r="CV80" s="2" t="str">
        <f aca="false">IF(T80="x","x",IF(T80="-","-",""))</f>
        <v/>
      </c>
      <c r="CW80" s="2" t="str">
        <f aca="false">IF(U80="x","x",IF(U80="-","-",""))</f>
        <v/>
      </c>
      <c r="CX80" s="2" t="str">
        <f aca="false">IF(V80="x","x",IF(V80="-","-",""))</f>
        <v/>
      </c>
      <c r="CY80" s="2" t="str">
        <f aca="false">IF(W80="x","x",IF(W80="-","-",""))</f>
        <v/>
      </c>
      <c r="DE80" s="2" t="str">
        <f aca="false">IF(Y80="x","x",IF(Y80="-","-",""))</f>
        <v/>
      </c>
      <c r="DF80" s="2" t="str">
        <f aca="false">IF(Z80="x","x",IF(Z80="-","-",""))</f>
        <v/>
      </c>
      <c r="DG80" s="2" t="str">
        <f aca="false">IF(AA80="x","x",IF(AA80="-","-",""))</f>
        <v/>
      </c>
      <c r="DH80" s="2" t="str">
        <f aca="false">IF(AB80="x","x",IF(AB80="-","-",""))</f>
        <v/>
      </c>
      <c r="DI80" s="2" t="str">
        <f aca="false">IF(AC80="x","x",IF(AC80="-","-",""))</f>
        <v/>
      </c>
      <c r="DJ80" s="2" t="str">
        <f aca="false">IF(AD80="x","x",IF(AD80="-","-",""))</f>
        <v/>
      </c>
      <c r="DK80" s="2" t="str">
        <f aca="false">IF(AE80="x","x",IF(AE80="-","-",""))</f>
        <v/>
      </c>
      <c r="DL80" s="2" t="str">
        <f aca="false">IF(AF80="x","x",IF(AF80="-","-",""))</f>
        <v/>
      </c>
    </row>
    <row r="81" customFormat="false" ht="13.8" hidden="false" customHeight="false" outlineLevel="0" collapsed="false"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CR81" s="2" t="str">
        <f aca="false">IF(P81="x","x",IF(P81="-","-",""))</f>
        <v/>
      </c>
      <c r="CS81" s="2" t="str">
        <f aca="false">IF(Q81="x","x",IF(Q81="-","-",""))</f>
        <v/>
      </c>
      <c r="CT81" s="2" t="str">
        <f aca="false">IF(R81="x","x",IF(R81="-","-",""))</f>
        <v/>
      </c>
      <c r="CU81" s="2" t="str">
        <f aca="false">IF(S81="x","x",IF(S81="-","-",""))</f>
        <v/>
      </c>
      <c r="CV81" s="2" t="str">
        <f aca="false">IF(T81="x","x",IF(T81="-","-",""))</f>
        <v/>
      </c>
      <c r="CW81" s="2" t="str">
        <f aca="false">IF(U81="x","x",IF(U81="-","-",""))</f>
        <v/>
      </c>
      <c r="CX81" s="2" t="str">
        <f aca="false">IF(V81="x","x",IF(V81="-","-",""))</f>
        <v/>
      </c>
      <c r="CY81" s="2" t="str">
        <f aca="false">IF(W81="x","x",IF(W81="-","-",""))</f>
        <v/>
      </c>
      <c r="DE81" s="2" t="str">
        <f aca="false">IF(Y81="x","x",IF(Y81="-","-",""))</f>
        <v/>
      </c>
      <c r="DF81" s="2" t="str">
        <f aca="false">IF(Z81="x","x",IF(Z81="-","-",""))</f>
        <v/>
      </c>
      <c r="DG81" s="2" t="str">
        <f aca="false">IF(AA81="x","x",IF(AA81="-","-",""))</f>
        <v/>
      </c>
      <c r="DH81" s="2" t="str">
        <f aca="false">IF(AB81="x","x",IF(AB81="-","-",""))</f>
        <v/>
      </c>
      <c r="DI81" s="2" t="str">
        <f aca="false">IF(AC81="x","x",IF(AC81="-","-",""))</f>
        <v/>
      </c>
      <c r="DJ81" s="2" t="str">
        <f aca="false">IF(AD81="x","x",IF(AD81="-","-",""))</f>
        <v/>
      </c>
      <c r="DK81" s="2" t="str">
        <f aca="false">IF(AE81="x","x",IF(AE81="-","-",""))</f>
        <v/>
      </c>
      <c r="DL81" s="2" t="str">
        <f aca="false">IF(AF81="x","x",IF(AF81="-","-",""))</f>
        <v/>
      </c>
    </row>
    <row r="82" customFormat="false" ht="13.8" hidden="false" customHeight="false" outlineLevel="0" collapsed="false"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CR82" s="2" t="str">
        <f aca="false">IF(P82="x","x",IF(P82="-","-",""))</f>
        <v/>
      </c>
      <c r="CS82" s="2" t="str">
        <f aca="false">IF(Q82="x","x",IF(Q82="-","-",""))</f>
        <v/>
      </c>
      <c r="CT82" s="2" t="str">
        <f aca="false">IF(R82="x","x",IF(R82="-","-",""))</f>
        <v/>
      </c>
      <c r="CU82" s="2" t="str">
        <f aca="false">IF(S82="x","x",IF(S82="-","-",""))</f>
        <v/>
      </c>
      <c r="CV82" s="2" t="str">
        <f aca="false">IF(T82="x","x",IF(T82="-","-",""))</f>
        <v/>
      </c>
      <c r="CW82" s="2" t="str">
        <f aca="false">IF(U82="x","x",IF(U82="-","-",""))</f>
        <v/>
      </c>
      <c r="CX82" s="2" t="str">
        <f aca="false">IF(V82="x","x",IF(V82="-","-",""))</f>
        <v/>
      </c>
      <c r="CY82" s="2" t="str">
        <f aca="false">IF(W82="x","x",IF(W82="-","-",""))</f>
        <v/>
      </c>
      <c r="DE82" s="2" t="str">
        <f aca="false">IF(Y82="x","x",IF(Y82="-","-",""))</f>
        <v/>
      </c>
      <c r="DF82" s="2" t="str">
        <f aca="false">IF(Z82="x","x",IF(Z82="-","-",""))</f>
        <v/>
      </c>
      <c r="DG82" s="2" t="str">
        <f aca="false">IF(AA82="x","x",IF(AA82="-","-",""))</f>
        <v/>
      </c>
      <c r="DH82" s="2" t="str">
        <f aca="false">IF(AB82="x","x",IF(AB82="-","-",""))</f>
        <v/>
      </c>
      <c r="DI82" s="2" t="str">
        <f aca="false">IF(AC82="x","x",IF(AC82="-","-",""))</f>
        <v/>
      </c>
      <c r="DJ82" s="2" t="str">
        <f aca="false">IF(AD82="x","x",IF(AD82="-","-",""))</f>
        <v/>
      </c>
      <c r="DK82" s="2" t="str">
        <f aca="false">IF(AE82="x","x",IF(AE82="-","-",""))</f>
        <v/>
      </c>
      <c r="DL82" s="2" t="str">
        <f aca="false">IF(AF82="x","x",IF(AF82="-","-",""))</f>
        <v/>
      </c>
    </row>
    <row r="83" customFormat="false" ht="13.8" hidden="false" customHeight="false" outlineLevel="0" collapsed="false"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CR83" s="2" t="str">
        <f aca="false">IF(P83="x","x",IF(P83="-","-",""))</f>
        <v/>
      </c>
      <c r="CS83" s="2" t="str">
        <f aca="false">IF(Q83="x","x",IF(Q83="-","-",""))</f>
        <v/>
      </c>
      <c r="CT83" s="2" t="str">
        <f aca="false">IF(R83="x","x",IF(R83="-","-",""))</f>
        <v/>
      </c>
      <c r="CU83" s="2" t="str">
        <f aca="false">IF(S83="x","x",IF(S83="-","-",""))</f>
        <v/>
      </c>
      <c r="CV83" s="2" t="str">
        <f aca="false">IF(T83="x","x",IF(T83="-","-",""))</f>
        <v/>
      </c>
      <c r="CW83" s="2" t="str">
        <f aca="false">IF(U83="x","x",IF(U83="-","-",""))</f>
        <v/>
      </c>
      <c r="CX83" s="2" t="str">
        <f aca="false">IF(V83="x","x",IF(V83="-","-",""))</f>
        <v/>
      </c>
      <c r="CY83" s="2" t="str">
        <f aca="false">IF(W83="x","x",IF(W83="-","-",""))</f>
        <v/>
      </c>
      <c r="DE83" s="2" t="str">
        <f aca="false">IF(Y83="x","x",IF(Y83="-","-",""))</f>
        <v/>
      </c>
      <c r="DF83" s="2" t="str">
        <f aca="false">IF(Z83="x","x",IF(Z83="-","-",""))</f>
        <v/>
      </c>
      <c r="DG83" s="2" t="str">
        <f aca="false">IF(AA83="x","x",IF(AA83="-","-",""))</f>
        <v/>
      </c>
      <c r="DH83" s="2" t="str">
        <f aca="false">IF(AB83="x","x",IF(AB83="-","-",""))</f>
        <v/>
      </c>
      <c r="DI83" s="2" t="str">
        <f aca="false">IF(AC83="x","x",IF(AC83="-","-",""))</f>
        <v/>
      </c>
      <c r="DJ83" s="2" t="str">
        <f aca="false">IF(AD83="x","x",IF(AD83="-","-",""))</f>
        <v/>
      </c>
      <c r="DK83" s="2" t="str">
        <f aca="false">IF(AE83="x","x",IF(AE83="-","-",""))</f>
        <v/>
      </c>
      <c r="DL83" s="2" t="str">
        <f aca="false">IF(AF83="x","x",IF(AF83="-","-",""))</f>
        <v/>
      </c>
    </row>
    <row r="84" customFormat="false" ht="13.8" hidden="false" customHeight="false" outlineLevel="0" collapsed="false"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CR84" s="2" t="str">
        <f aca="false">IF(P84="x","x",IF(P84="-","-",""))</f>
        <v/>
      </c>
      <c r="CS84" s="2" t="str">
        <f aca="false">IF(Q84="x","x",IF(Q84="-","-",""))</f>
        <v/>
      </c>
      <c r="CT84" s="2" t="str">
        <f aca="false">IF(R84="x","x",IF(R84="-","-",""))</f>
        <v/>
      </c>
      <c r="CU84" s="2" t="str">
        <f aca="false">IF(S84="x","x",IF(S84="-","-",""))</f>
        <v/>
      </c>
      <c r="CV84" s="2" t="str">
        <f aca="false">IF(T84="x","x",IF(T84="-","-",""))</f>
        <v/>
      </c>
      <c r="CW84" s="2" t="str">
        <f aca="false">IF(U84="x","x",IF(U84="-","-",""))</f>
        <v/>
      </c>
      <c r="CX84" s="2" t="str">
        <f aca="false">IF(V84="x","x",IF(V84="-","-",""))</f>
        <v/>
      </c>
      <c r="CY84" s="2" t="str">
        <f aca="false">IF(W84="x","x",IF(W84="-","-",""))</f>
        <v/>
      </c>
      <c r="DE84" s="2" t="str">
        <f aca="false">IF(Y84="x","x",IF(Y84="-","-",""))</f>
        <v/>
      </c>
      <c r="DF84" s="2" t="str">
        <f aca="false">IF(Z84="x","x",IF(Z84="-","-",""))</f>
        <v/>
      </c>
      <c r="DG84" s="2" t="str">
        <f aca="false">IF(AA84="x","x",IF(AA84="-","-",""))</f>
        <v/>
      </c>
      <c r="DH84" s="2" t="str">
        <f aca="false">IF(AB84="x","x",IF(AB84="-","-",""))</f>
        <v/>
      </c>
      <c r="DI84" s="2" t="str">
        <f aca="false">IF(AC84="x","x",IF(AC84="-","-",""))</f>
        <v/>
      </c>
      <c r="DJ84" s="2" t="str">
        <f aca="false">IF(AD84="x","x",IF(AD84="-","-",""))</f>
        <v/>
      </c>
      <c r="DK84" s="2" t="str">
        <f aca="false">IF(AE84="x","x",IF(AE84="-","-",""))</f>
        <v/>
      </c>
      <c r="DL84" s="2" t="str">
        <f aca="false">IF(AF84="x","x",IF(AF84="-","-",""))</f>
        <v/>
      </c>
    </row>
    <row r="85" customFormat="false" ht="13.8" hidden="false" customHeight="false" outlineLevel="0" collapsed="false"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CR85" s="2" t="str">
        <f aca="false">IF(P85="x","x",IF(P85="-","-",""))</f>
        <v/>
      </c>
      <c r="CS85" s="2" t="str">
        <f aca="false">IF(Q85="x","x",IF(Q85="-","-",""))</f>
        <v/>
      </c>
      <c r="CT85" s="2" t="str">
        <f aca="false">IF(R85="x","x",IF(R85="-","-",""))</f>
        <v/>
      </c>
      <c r="CU85" s="2" t="str">
        <f aca="false">IF(S85="x","x",IF(S85="-","-",""))</f>
        <v/>
      </c>
      <c r="CV85" s="2" t="str">
        <f aca="false">IF(T85="x","x",IF(T85="-","-",""))</f>
        <v/>
      </c>
      <c r="CW85" s="2" t="str">
        <f aca="false">IF(U85="x","x",IF(U85="-","-",""))</f>
        <v/>
      </c>
      <c r="CX85" s="2" t="str">
        <f aca="false">IF(V85="x","x",IF(V85="-","-",""))</f>
        <v/>
      </c>
      <c r="CY85" s="2" t="str">
        <f aca="false">IF(W85="x","x",IF(W85="-","-",""))</f>
        <v/>
      </c>
      <c r="DE85" s="2" t="str">
        <f aca="false">IF(Y85="x","x",IF(Y85="-","-",""))</f>
        <v/>
      </c>
      <c r="DF85" s="2" t="str">
        <f aca="false">IF(Z85="x","x",IF(Z85="-","-",""))</f>
        <v/>
      </c>
      <c r="DG85" s="2" t="str">
        <f aca="false">IF(AA85="x","x",IF(AA85="-","-",""))</f>
        <v/>
      </c>
      <c r="DH85" s="2" t="str">
        <f aca="false">IF(AB85="x","x",IF(AB85="-","-",""))</f>
        <v/>
      </c>
      <c r="DI85" s="2" t="str">
        <f aca="false">IF(AC85="x","x",IF(AC85="-","-",""))</f>
        <v/>
      </c>
      <c r="DJ85" s="2" t="str">
        <f aca="false">IF(AD85="x","x",IF(AD85="-","-",""))</f>
        <v/>
      </c>
      <c r="DK85" s="2" t="str">
        <f aca="false">IF(AE85="x","x",IF(AE85="-","-",""))</f>
        <v/>
      </c>
      <c r="DL85" s="2" t="str">
        <f aca="false">IF(AF85="x","x",IF(AF85="-","-",""))</f>
        <v/>
      </c>
    </row>
    <row r="86" customFormat="false" ht="13.8" hidden="false" customHeight="false" outlineLevel="0" collapsed="false"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CR86" s="2" t="str">
        <f aca="false">IF(P86="x","x",IF(P86="-","-",""))</f>
        <v/>
      </c>
      <c r="CS86" s="2" t="str">
        <f aca="false">IF(Q86="x","x",IF(Q86="-","-",""))</f>
        <v/>
      </c>
      <c r="CT86" s="2" t="str">
        <f aca="false">IF(R86="x","x",IF(R86="-","-",""))</f>
        <v/>
      </c>
      <c r="CU86" s="2" t="str">
        <f aca="false">IF(S86="x","x",IF(S86="-","-",""))</f>
        <v/>
      </c>
      <c r="CV86" s="2" t="str">
        <f aca="false">IF(T86="x","x",IF(T86="-","-",""))</f>
        <v/>
      </c>
      <c r="CW86" s="2" t="str">
        <f aca="false">IF(U86="x","x",IF(U86="-","-",""))</f>
        <v/>
      </c>
      <c r="CX86" s="2" t="str">
        <f aca="false">IF(V86="x","x",IF(V86="-","-",""))</f>
        <v/>
      </c>
      <c r="CY86" s="2" t="str">
        <f aca="false">IF(W86="x","x",IF(W86="-","-",""))</f>
        <v/>
      </c>
      <c r="DE86" s="2" t="str">
        <f aca="false">IF(Y86="x","x",IF(Y86="-","-",""))</f>
        <v/>
      </c>
      <c r="DF86" s="2" t="str">
        <f aca="false">IF(Z86="x","x",IF(Z86="-","-",""))</f>
        <v/>
      </c>
      <c r="DG86" s="2" t="str">
        <f aca="false">IF(AA86="x","x",IF(AA86="-","-",""))</f>
        <v/>
      </c>
      <c r="DH86" s="2" t="str">
        <f aca="false">IF(AB86="x","x",IF(AB86="-","-",""))</f>
        <v/>
      </c>
      <c r="DI86" s="2" t="str">
        <f aca="false">IF(AC86="x","x",IF(AC86="-","-",""))</f>
        <v/>
      </c>
      <c r="DJ86" s="2" t="str">
        <f aca="false">IF(AD86="x","x",IF(AD86="-","-",""))</f>
        <v/>
      </c>
      <c r="DK86" s="2" t="str">
        <f aca="false">IF(AE86="x","x",IF(AE86="-","-",""))</f>
        <v/>
      </c>
      <c r="DL86" s="2" t="str">
        <f aca="false">IF(AF86="x","x",IF(AF86="-","-",""))</f>
        <v/>
      </c>
    </row>
    <row r="87" customFormat="false" ht="13.8" hidden="false" customHeight="false" outlineLevel="0" collapsed="false"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CR87" s="2" t="str">
        <f aca="false">IF(P87="x","x",IF(P87="-","-",""))</f>
        <v/>
      </c>
      <c r="CS87" s="2" t="str">
        <f aca="false">IF(Q87="x","x",IF(Q87="-","-",""))</f>
        <v/>
      </c>
      <c r="CT87" s="2" t="str">
        <f aca="false">IF(R87="x","x",IF(R87="-","-",""))</f>
        <v/>
      </c>
      <c r="CU87" s="2" t="str">
        <f aca="false">IF(S87="x","x",IF(S87="-","-",""))</f>
        <v/>
      </c>
      <c r="CV87" s="2" t="str">
        <f aca="false">IF(T87="x","x",IF(T87="-","-",""))</f>
        <v/>
      </c>
      <c r="CW87" s="2" t="str">
        <f aca="false">IF(U87="x","x",IF(U87="-","-",""))</f>
        <v/>
      </c>
      <c r="CX87" s="2" t="str">
        <f aca="false">IF(V87="x","x",IF(V87="-","-",""))</f>
        <v/>
      </c>
      <c r="CY87" s="2" t="str">
        <f aca="false">IF(W87="x","x",IF(W87="-","-",""))</f>
        <v/>
      </c>
      <c r="DE87" s="2" t="str">
        <f aca="false">IF(Y87="x","x",IF(Y87="-","-",""))</f>
        <v/>
      </c>
      <c r="DF87" s="2" t="str">
        <f aca="false">IF(Z87="x","x",IF(Z87="-","-",""))</f>
        <v/>
      </c>
      <c r="DG87" s="2" t="str">
        <f aca="false">IF(AA87="x","x",IF(AA87="-","-",""))</f>
        <v/>
      </c>
      <c r="DH87" s="2" t="str">
        <f aca="false">IF(AB87="x","x",IF(AB87="-","-",""))</f>
        <v/>
      </c>
      <c r="DI87" s="2" t="str">
        <f aca="false">IF(AC87="x","x",IF(AC87="-","-",""))</f>
        <v/>
      </c>
      <c r="DJ87" s="2" t="str">
        <f aca="false">IF(AD87="x","x",IF(AD87="-","-",""))</f>
        <v/>
      </c>
      <c r="DK87" s="2" t="str">
        <f aca="false">IF(AE87="x","x",IF(AE87="-","-",""))</f>
        <v/>
      </c>
      <c r="DL87" s="2" t="str">
        <f aca="false">IF(AF87="x","x",IF(AF87="-","-",""))</f>
        <v/>
      </c>
    </row>
    <row r="88" customFormat="false" ht="13.8" hidden="false" customHeight="false" outlineLevel="0" collapsed="false"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CR88" s="2" t="str">
        <f aca="false">IF(P88="x","x",IF(P88="-","-",""))</f>
        <v/>
      </c>
      <c r="CS88" s="2" t="str">
        <f aca="false">IF(Q88="x","x",IF(Q88="-","-",""))</f>
        <v/>
      </c>
      <c r="CT88" s="2" t="str">
        <f aca="false">IF(R88="x","x",IF(R88="-","-",""))</f>
        <v/>
      </c>
      <c r="CU88" s="2" t="str">
        <f aca="false">IF(S88="x","x",IF(S88="-","-",""))</f>
        <v/>
      </c>
      <c r="CV88" s="2" t="str">
        <f aca="false">IF(T88="x","x",IF(T88="-","-",""))</f>
        <v/>
      </c>
      <c r="CW88" s="2" t="str">
        <f aca="false">IF(U88="x","x",IF(U88="-","-",""))</f>
        <v/>
      </c>
      <c r="CX88" s="2" t="str">
        <f aca="false">IF(V88="x","x",IF(V88="-","-",""))</f>
        <v/>
      </c>
      <c r="CY88" s="2" t="str">
        <f aca="false">IF(W88="x","x",IF(W88="-","-",""))</f>
        <v/>
      </c>
      <c r="DE88" s="2" t="str">
        <f aca="false">IF(Y88="x","x",IF(Y88="-","-",""))</f>
        <v/>
      </c>
      <c r="DF88" s="2" t="str">
        <f aca="false">IF(Z88="x","x",IF(Z88="-","-",""))</f>
        <v/>
      </c>
      <c r="DG88" s="2" t="str">
        <f aca="false">IF(AA88="x","x",IF(AA88="-","-",""))</f>
        <v/>
      </c>
      <c r="DH88" s="2" t="str">
        <f aca="false">IF(AB88="x","x",IF(AB88="-","-",""))</f>
        <v/>
      </c>
      <c r="DI88" s="2" t="str">
        <f aca="false">IF(AC88="x","x",IF(AC88="-","-",""))</f>
        <v/>
      </c>
      <c r="DJ88" s="2" t="str">
        <f aca="false">IF(AD88="x","x",IF(AD88="-","-",""))</f>
        <v/>
      </c>
      <c r="DK88" s="2" t="str">
        <f aca="false">IF(AE88="x","x",IF(AE88="-","-",""))</f>
        <v/>
      </c>
      <c r="DL88" s="2" t="str">
        <f aca="false">IF(AF88="x","x",IF(AF88="-","-",""))</f>
        <v/>
      </c>
    </row>
    <row r="89" customFormat="false" ht="13.8" hidden="false" customHeight="false" outlineLevel="0" collapsed="false"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CR89" s="2" t="str">
        <f aca="false">IF(P89="x","x",IF(P89="-","-",""))</f>
        <v/>
      </c>
      <c r="CS89" s="2" t="str">
        <f aca="false">IF(Q89="x","x",IF(Q89="-","-",""))</f>
        <v/>
      </c>
      <c r="CT89" s="2" t="str">
        <f aca="false">IF(R89="x","x",IF(R89="-","-",""))</f>
        <v/>
      </c>
      <c r="CU89" s="2" t="str">
        <f aca="false">IF(S89="x","x",IF(S89="-","-",""))</f>
        <v/>
      </c>
      <c r="CV89" s="2" t="str">
        <f aca="false">IF(T89="x","x",IF(T89="-","-",""))</f>
        <v/>
      </c>
      <c r="CW89" s="2" t="str">
        <f aca="false">IF(U89="x","x",IF(U89="-","-",""))</f>
        <v/>
      </c>
      <c r="CX89" s="2" t="str">
        <f aca="false">IF(V89="x","x",IF(V89="-","-",""))</f>
        <v/>
      </c>
      <c r="CY89" s="2" t="str">
        <f aca="false">IF(W89="x","x",IF(W89="-","-",""))</f>
        <v/>
      </c>
      <c r="DE89" s="2" t="str">
        <f aca="false">IF(Y89="x","x",IF(Y89="-","-",""))</f>
        <v/>
      </c>
      <c r="DF89" s="2" t="str">
        <f aca="false">IF(Z89="x","x",IF(Z89="-","-",""))</f>
        <v/>
      </c>
      <c r="DG89" s="2" t="str">
        <f aca="false">IF(AA89="x","x",IF(AA89="-","-",""))</f>
        <v/>
      </c>
      <c r="DH89" s="2" t="str">
        <f aca="false">IF(AB89="x","x",IF(AB89="-","-",""))</f>
        <v/>
      </c>
      <c r="DI89" s="2" t="str">
        <f aca="false">IF(AC89="x","x",IF(AC89="-","-",""))</f>
        <v/>
      </c>
      <c r="DJ89" s="2" t="str">
        <f aca="false">IF(AD89="x","x",IF(AD89="-","-",""))</f>
        <v/>
      </c>
      <c r="DK89" s="2" t="str">
        <f aca="false">IF(AE89="x","x",IF(AE89="-","-",""))</f>
        <v/>
      </c>
      <c r="DL89" s="2" t="str">
        <f aca="false">IF(AF89="x","x",IF(AF89="-","-",""))</f>
        <v/>
      </c>
    </row>
    <row r="90" customFormat="false" ht="13.8" hidden="false" customHeight="false" outlineLevel="0" collapsed="false"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CR90" s="2" t="str">
        <f aca="false">IF(P90="x","x",IF(P90="-","-",""))</f>
        <v/>
      </c>
      <c r="CS90" s="2" t="str">
        <f aca="false">IF(Q90="x","x",IF(Q90="-","-",""))</f>
        <v/>
      </c>
      <c r="CT90" s="2" t="str">
        <f aca="false">IF(R90="x","x",IF(R90="-","-",""))</f>
        <v/>
      </c>
      <c r="CU90" s="2" t="str">
        <f aca="false">IF(S90="x","x",IF(S90="-","-",""))</f>
        <v/>
      </c>
      <c r="CV90" s="2" t="str">
        <f aca="false">IF(T90="x","x",IF(T90="-","-",""))</f>
        <v/>
      </c>
      <c r="CW90" s="2" t="str">
        <f aca="false">IF(U90="x","x",IF(U90="-","-",""))</f>
        <v/>
      </c>
      <c r="CX90" s="2" t="str">
        <f aca="false">IF(V90="x","x",IF(V90="-","-",""))</f>
        <v/>
      </c>
      <c r="CY90" s="2" t="str">
        <f aca="false">IF(W90="x","x",IF(W90="-","-",""))</f>
        <v/>
      </c>
      <c r="DE90" s="2" t="str">
        <f aca="false">IF(Y90="x","x",IF(Y90="-","-",""))</f>
        <v/>
      </c>
      <c r="DF90" s="2" t="str">
        <f aca="false">IF(Z90="x","x",IF(Z90="-","-",""))</f>
        <v/>
      </c>
      <c r="DG90" s="2" t="str">
        <f aca="false">IF(AA90="x","x",IF(AA90="-","-",""))</f>
        <v/>
      </c>
      <c r="DH90" s="2" t="str">
        <f aca="false">IF(AB90="x","x",IF(AB90="-","-",""))</f>
        <v/>
      </c>
      <c r="DI90" s="2" t="str">
        <f aca="false">IF(AC90="x","x",IF(AC90="-","-",""))</f>
        <v/>
      </c>
      <c r="DJ90" s="2" t="str">
        <f aca="false">IF(AD90="x","x",IF(AD90="-","-",""))</f>
        <v/>
      </c>
      <c r="DK90" s="2" t="str">
        <f aca="false">IF(AE90="x","x",IF(AE90="-","-",""))</f>
        <v/>
      </c>
      <c r="DL90" s="2" t="str">
        <f aca="false">IF(AF90="x","x",IF(AF90="-","-",""))</f>
        <v/>
      </c>
    </row>
    <row r="91" customFormat="false" ht="13.8" hidden="false" customHeight="false" outlineLevel="0" collapsed="false"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CR91" s="2" t="str">
        <f aca="false">IF(P91="x","x",IF(P91="-","-",""))</f>
        <v/>
      </c>
      <c r="CS91" s="2" t="str">
        <f aca="false">IF(Q91="x","x",IF(Q91="-","-",""))</f>
        <v/>
      </c>
      <c r="CT91" s="2" t="str">
        <f aca="false">IF(R91="x","x",IF(R91="-","-",""))</f>
        <v/>
      </c>
      <c r="CU91" s="2" t="str">
        <f aca="false">IF(S91="x","x",IF(S91="-","-",""))</f>
        <v/>
      </c>
      <c r="CV91" s="2" t="str">
        <f aca="false">IF(T91="x","x",IF(T91="-","-",""))</f>
        <v/>
      </c>
      <c r="CW91" s="2" t="str">
        <f aca="false">IF(U91="x","x",IF(U91="-","-",""))</f>
        <v/>
      </c>
      <c r="CX91" s="2" t="str">
        <f aca="false">IF(V91="x","x",IF(V91="-","-",""))</f>
        <v/>
      </c>
      <c r="CY91" s="2" t="str">
        <f aca="false">IF(W91="x","x",IF(W91="-","-",""))</f>
        <v/>
      </c>
      <c r="DE91" s="2" t="str">
        <f aca="false">IF(Y91="x","x",IF(Y91="-","-",""))</f>
        <v/>
      </c>
      <c r="DF91" s="2" t="str">
        <f aca="false">IF(Z91="x","x",IF(Z91="-","-",""))</f>
        <v/>
      </c>
      <c r="DG91" s="2" t="str">
        <f aca="false">IF(AA91="x","x",IF(AA91="-","-",""))</f>
        <v/>
      </c>
      <c r="DH91" s="2" t="str">
        <f aca="false">IF(AB91="x","x",IF(AB91="-","-",""))</f>
        <v/>
      </c>
      <c r="DI91" s="2" t="str">
        <f aca="false">IF(AC91="x","x",IF(AC91="-","-",""))</f>
        <v/>
      </c>
      <c r="DJ91" s="2" t="str">
        <f aca="false">IF(AD91="x","x",IF(AD91="-","-",""))</f>
        <v/>
      </c>
      <c r="DK91" s="2" t="str">
        <f aca="false">IF(AE91="x","x",IF(AE91="-","-",""))</f>
        <v/>
      </c>
      <c r="DL91" s="2" t="str">
        <f aca="false">IF(AF91="x","x",IF(AF91="-","-",""))</f>
        <v/>
      </c>
    </row>
    <row r="92" customFormat="false" ht="13.8" hidden="false" customHeight="false" outlineLevel="0" collapsed="false"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CR92" s="2" t="str">
        <f aca="false">IF(P92="x","x",IF(P92="-","-",""))</f>
        <v/>
      </c>
      <c r="CS92" s="2" t="str">
        <f aca="false">IF(Q92="x","x",IF(Q92="-","-",""))</f>
        <v/>
      </c>
      <c r="CT92" s="2" t="str">
        <f aca="false">IF(R92="x","x",IF(R92="-","-",""))</f>
        <v/>
      </c>
      <c r="CU92" s="2" t="str">
        <f aca="false">IF(S92="x","x",IF(S92="-","-",""))</f>
        <v/>
      </c>
      <c r="CV92" s="2" t="str">
        <f aca="false">IF(T92="x","x",IF(T92="-","-",""))</f>
        <v/>
      </c>
      <c r="CW92" s="2" t="str">
        <f aca="false">IF(U92="x","x",IF(U92="-","-",""))</f>
        <v/>
      </c>
      <c r="CX92" s="2" t="str">
        <f aca="false">IF(V92="x","x",IF(V92="-","-",""))</f>
        <v/>
      </c>
      <c r="CY92" s="2" t="str">
        <f aca="false">IF(W92="x","x",IF(W92="-","-",""))</f>
        <v/>
      </c>
      <c r="DE92" s="2" t="str">
        <f aca="false">IF(Y92="x","x",IF(Y92="-","-",""))</f>
        <v/>
      </c>
      <c r="DF92" s="2" t="str">
        <f aca="false">IF(Z92="x","x",IF(Z92="-","-",""))</f>
        <v/>
      </c>
      <c r="DG92" s="2" t="str">
        <f aca="false">IF(AA92="x","x",IF(AA92="-","-",""))</f>
        <v/>
      </c>
      <c r="DH92" s="2" t="str">
        <f aca="false">IF(AB92="x","x",IF(AB92="-","-",""))</f>
        <v/>
      </c>
      <c r="DI92" s="2" t="str">
        <f aca="false">IF(AC92="x","x",IF(AC92="-","-",""))</f>
        <v/>
      </c>
      <c r="DJ92" s="2" t="str">
        <f aca="false">IF(AD92="x","x",IF(AD92="-","-",""))</f>
        <v/>
      </c>
      <c r="DK92" s="2" t="str">
        <f aca="false">IF(AE92="x","x",IF(AE92="-","-",""))</f>
        <v/>
      </c>
      <c r="DL92" s="2" t="str">
        <f aca="false">IF(AF92="x","x",IF(AF92="-","-",""))</f>
        <v/>
      </c>
    </row>
    <row r="93" customFormat="false" ht="13.8" hidden="false" customHeight="false" outlineLevel="0" collapsed="false"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CR93" s="2" t="str">
        <f aca="false">IF(P93="x","x",IF(P93="-","-",""))</f>
        <v/>
      </c>
      <c r="CS93" s="2" t="str">
        <f aca="false">IF(Q93="x","x",IF(Q93="-","-",""))</f>
        <v/>
      </c>
      <c r="CT93" s="2" t="str">
        <f aca="false">IF(R93="x","x",IF(R93="-","-",""))</f>
        <v/>
      </c>
      <c r="CU93" s="2" t="str">
        <f aca="false">IF(S93="x","x",IF(S93="-","-",""))</f>
        <v/>
      </c>
      <c r="CV93" s="2" t="str">
        <f aca="false">IF(T93="x","x",IF(T93="-","-",""))</f>
        <v/>
      </c>
      <c r="CW93" s="2" t="str">
        <f aca="false">IF(U93="x","x",IF(U93="-","-",""))</f>
        <v/>
      </c>
      <c r="CX93" s="2" t="str">
        <f aca="false">IF(V93="x","x",IF(V93="-","-",""))</f>
        <v/>
      </c>
      <c r="CY93" s="2" t="str">
        <f aca="false">IF(W93="x","x",IF(W93="-","-",""))</f>
        <v/>
      </c>
      <c r="DE93" s="2" t="str">
        <f aca="false">IF(Y93="x","x",IF(Y93="-","-",""))</f>
        <v/>
      </c>
      <c r="DF93" s="2" t="str">
        <f aca="false">IF(Z93="x","x",IF(Z93="-","-",""))</f>
        <v/>
      </c>
      <c r="DG93" s="2" t="str">
        <f aca="false">IF(AA93="x","x",IF(AA93="-","-",""))</f>
        <v/>
      </c>
      <c r="DH93" s="2" t="str">
        <f aca="false">IF(AB93="x","x",IF(AB93="-","-",""))</f>
        <v/>
      </c>
      <c r="DI93" s="2" t="str">
        <f aca="false">IF(AC93="x","x",IF(AC93="-","-",""))</f>
        <v/>
      </c>
      <c r="DJ93" s="2" t="str">
        <f aca="false">IF(AD93="x","x",IF(AD93="-","-",""))</f>
        <v/>
      </c>
      <c r="DK93" s="2" t="str">
        <f aca="false">IF(AE93="x","x",IF(AE93="-","-",""))</f>
        <v/>
      </c>
      <c r="DL93" s="2" t="str">
        <f aca="false">IF(AF93="x","x",IF(AF93="-","-",""))</f>
        <v/>
      </c>
    </row>
    <row r="94" customFormat="false" ht="13.8" hidden="false" customHeight="false" outlineLevel="0" collapsed="false"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CR94" s="2" t="str">
        <f aca="false">IF(P94="x","x",IF(P94="-","-",""))</f>
        <v/>
      </c>
      <c r="CS94" s="2" t="str">
        <f aca="false">IF(Q94="x","x",IF(Q94="-","-",""))</f>
        <v/>
      </c>
      <c r="CT94" s="2" t="str">
        <f aca="false">IF(R94="x","x",IF(R94="-","-",""))</f>
        <v/>
      </c>
      <c r="CU94" s="2" t="str">
        <f aca="false">IF(S94="x","x",IF(S94="-","-",""))</f>
        <v/>
      </c>
      <c r="CV94" s="2" t="str">
        <f aca="false">IF(T94="x","x",IF(T94="-","-",""))</f>
        <v/>
      </c>
      <c r="CW94" s="2" t="str">
        <f aca="false">IF(U94="x","x",IF(U94="-","-",""))</f>
        <v/>
      </c>
      <c r="CX94" s="2" t="str">
        <f aca="false">IF(V94="x","x",IF(V94="-","-",""))</f>
        <v/>
      </c>
      <c r="CY94" s="2" t="str">
        <f aca="false">IF(W94="x","x",IF(W94="-","-",""))</f>
        <v/>
      </c>
      <c r="DE94" s="2" t="str">
        <f aca="false">IF(Y94="x","x",IF(Y94="-","-",""))</f>
        <v/>
      </c>
      <c r="DF94" s="2" t="str">
        <f aca="false">IF(Z94="x","x",IF(Z94="-","-",""))</f>
        <v/>
      </c>
      <c r="DG94" s="2" t="str">
        <f aca="false">IF(AA94="x","x",IF(AA94="-","-",""))</f>
        <v/>
      </c>
      <c r="DH94" s="2" t="str">
        <f aca="false">IF(AB94="x","x",IF(AB94="-","-",""))</f>
        <v/>
      </c>
      <c r="DI94" s="2" t="str">
        <f aca="false">IF(AC94="x","x",IF(AC94="-","-",""))</f>
        <v/>
      </c>
      <c r="DJ94" s="2" t="str">
        <f aca="false">IF(AD94="x","x",IF(AD94="-","-",""))</f>
        <v/>
      </c>
      <c r="DK94" s="2" t="str">
        <f aca="false">IF(AE94="x","x",IF(AE94="-","-",""))</f>
        <v/>
      </c>
      <c r="DL94" s="2" t="str">
        <f aca="false">IF(AF94="x","x",IF(AF94="-","-",""))</f>
        <v/>
      </c>
    </row>
    <row r="95" customFormat="false" ht="13.8" hidden="false" customHeight="false" outlineLevel="0" collapsed="false"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CR95" s="2" t="str">
        <f aca="false">IF(P95="x","x",IF(P95="-","-",""))</f>
        <v/>
      </c>
      <c r="CS95" s="2" t="str">
        <f aca="false">IF(Q95="x","x",IF(Q95="-","-",""))</f>
        <v/>
      </c>
      <c r="CT95" s="2" t="str">
        <f aca="false">IF(R95="x","x",IF(R95="-","-",""))</f>
        <v/>
      </c>
      <c r="CU95" s="2" t="str">
        <f aca="false">IF(S95="x","x",IF(S95="-","-",""))</f>
        <v/>
      </c>
      <c r="CV95" s="2" t="str">
        <f aca="false">IF(T95="x","x",IF(T95="-","-",""))</f>
        <v/>
      </c>
      <c r="CW95" s="2" t="str">
        <f aca="false">IF(U95="x","x",IF(U95="-","-",""))</f>
        <v/>
      </c>
      <c r="CX95" s="2" t="str">
        <f aca="false">IF(V95="x","x",IF(V95="-","-",""))</f>
        <v/>
      </c>
      <c r="CY95" s="2" t="str">
        <f aca="false">IF(W95="x","x",IF(W95="-","-",""))</f>
        <v/>
      </c>
      <c r="DE95" s="2" t="str">
        <f aca="false">IF(Y95="x","x",IF(Y95="-","-",""))</f>
        <v/>
      </c>
      <c r="DF95" s="2" t="str">
        <f aca="false">IF(Z95="x","x",IF(Z95="-","-",""))</f>
        <v/>
      </c>
      <c r="DG95" s="2" t="str">
        <f aca="false">IF(AA95="x","x",IF(AA95="-","-",""))</f>
        <v/>
      </c>
      <c r="DH95" s="2" t="str">
        <f aca="false">IF(AB95="x","x",IF(AB95="-","-",""))</f>
        <v/>
      </c>
      <c r="DI95" s="2" t="str">
        <f aca="false">IF(AC95="x","x",IF(AC95="-","-",""))</f>
        <v/>
      </c>
      <c r="DJ95" s="2" t="str">
        <f aca="false">IF(AD95="x","x",IF(AD95="-","-",""))</f>
        <v/>
      </c>
      <c r="DK95" s="2" t="str">
        <f aca="false">IF(AE95="x","x",IF(AE95="-","-",""))</f>
        <v/>
      </c>
      <c r="DL95" s="2" t="str">
        <f aca="false">IF(AF95="x","x",IF(AF95="-","-",""))</f>
        <v/>
      </c>
    </row>
    <row r="96" customFormat="false" ht="13.8" hidden="false" customHeight="false" outlineLevel="0" collapsed="false"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CR96" s="2" t="str">
        <f aca="false">IF(P96="x","x",IF(P96="-","-",""))</f>
        <v/>
      </c>
      <c r="CS96" s="2" t="str">
        <f aca="false">IF(Q96="x","x",IF(Q96="-","-",""))</f>
        <v/>
      </c>
      <c r="CT96" s="2" t="str">
        <f aca="false">IF(R96="x","x",IF(R96="-","-",""))</f>
        <v/>
      </c>
      <c r="CU96" s="2" t="str">
        <f aca="false">IF(S96="x","x",IF(S96="-","-",""))</f>
        <v/>
      </c>
      <c r="CV96" s="2" t="str">
        <f aca="false">IF(T96="x","x",IF(T96="-","-",""))</f>
        <v/>
      </c>
      <c r="CW96" s="2" t="str">
        <f aca="false">IF(U96="x","x",IF(U96="-","-",""))</f>
        <v/>
      </c>
      <c r="CX96" s="2" t="str">
        <f aca="false">IF(V96="x","x",IF(V96="-","-",""))</f>
        <v/>
      </c>
      <c r="CY96" s="2" t="str">
        <f aca="false">IF(W96="x","x",IF(W96="-","-",""))</f>
        <v/>
      </c>
      <c r="DE96" s="2" t="str">
        <f aca="false">IF(Y96="x","x",IF(Y96="-","-",""))</f>
        <v/>
      </c>
      <c r="DF96" s="2" t="str">
        <f aca="false">IF(Z96="x","x",IF(Z96="-","-",""))</f>
        <v/>
      </c>
      <c r="DG96" s="2" t="str">
        <f aca="false">IF(AA96="x","x",IF(AA96="-","-",""))</f>
        <v/>
      </c>
      <c r="DH96" s="2" t="str">
        <f aca="false">IF(AB96="x","x",IF(AB96="-","-",""))</f>
        <v/>
      </c>
      <c r="DI96" s="2" t="str">
        <f aca="false">IF(AC96="x","x",IF(AC96="-","-",""))</f>
        <v/>
      </c>
      <c r="DJ96" s="2" t="str">
        <f aca="false">IF(AD96="x","x",IF(AD96="-","-",""))</f>
        <v/>
      </c>
      <c r="DK96" s="2" t="str">
        <f aca="false">IF(AE96="x","x",IF(AE96="-","-",""))</f>
        <v/>
      </c>
      <c r="DL96" s="2" t="str">
        <f aca="false">IF(AF96="x","x",IF(AF96="-","-",""))</f>
        <v/>
      </c>
    </row>
    <row r="97" customFormat="false" ht="13.8" hidden="false" customHeight="false" outlineLevel="0" collapsed="false"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CR97" s="2" t="str">
        <f aca="false">IF(P97="x","x",IF(P97="-","-",""))</f>
        <v/>
      </c>
      <c r="CS97" s="2" t="str">
        <f aca="false">IF(Q97="x","x",IF(Q97="-","-",""))</f>
        <v/>
      </c>
      <c r="CT97" s="2" t="str">
        <f aca="false">IF(R97="x","x",IF(R97="-","-",""))</f>
        <v/>
      </c>
      <c r="CU97" s="2" t="str">
        <f aca="false">IF(S97="x","x",IF(S97="-","-",""))</f>
        <v/>
      </c>
      <c r="CV97" s="2" t="str">
        <f aca="false">IF(T97="x","x",IF(T97="-","-",""))</f>
        <v/>
      </c>
      <c r="CW97" s="2" t="str">
        <f aca="false">IF(U97="x","x",IF(U97="-","-",""))</f>
        <v/>
      </c>
      <c r="CX97" s="2" t="str">
        <f aca="false">IF(V97="x","x",IF(V97="-","-",""))</f>
        <v/>
      </c>
      <c r="CY97" s="2" t="str">
        <f aca="false">IF(W97="x","x",IF(W97="-","-",""))</f>
        <v/>
      </c>
      <c r="DE97" s="2" t="str">
        <f aca="false">IF(Y97="x","x",IF(Y97="-","-",""))</f>
        <v/>
      </c>
      <c r="DF97" s="2" t="str">
        <f aca="false">IF(Z97="x","x",IF(Z97="-","-",""))</f>
        <v/>
      </c>
      <c r="DG97" s="2" t="str">
        <f aca="false">IF(AA97="x","x",IF(AA97="-","-",""))</f>
        <v/>
      </c>
      <c r="DH97" s="2" t="str">
        <f aca="false">IF(AB97="x","x",IF(AB97="-","-",""))</f>
        <v/>
      </c>
      <c r="DI97" s="2" t="str">
        <f aca="false">IF(AC97="x","x",IF(AC97="-","-",""))</f>
        <v/>
      </c>
      <c r="DJ97" s="2" t="str">
        <f aca="false">IF(AD97="x","x",IF(AD97="-","-",""))</f>
        <v/>
      </c>
      <c r="DK97" s="2" t="str">
        <f aca="false">IF(AE97="x","x",IF(AE97="-","-",""))</f>
        <v/>
      </c>
      <c r="DL97" s="2" t="str">
        <f aca="false">IF(AF97="x","x",IF(AF97="-","-",""))</f>
        <v/>
      </c>
    </row>
    <row r="98" customFormat="false" ht="13.8" hidden="false" customHeight="false" outlineLevel="0" collapsed="false"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CR98" s="2" t="str">
        <f aca="false">IF(P98="x","x",IF(P98="-","-",""))</f>
        <v/>
      </c>
      <c r="CS98" s="2" t="str">
        <f aca="false">IF(Q98="x","x",IF(Q98="-","-",""))</f>
        <v/>
      </c>
      <c r="CT98" s="2" t="str">
        <f aca="false">IF(R98="x","x",IF(R98="-","-",""))</f>
        <v/>
      </c>
      <c r="CU98" s="2" t="str">
        <f aca="false">IF(S98="x","x",IF(S98="-","-",""))</f>
        <v/>
      </c>
      <c r="CV98" s="2" t="str">
        <f aca="false">IF(T98="x","x",IF(T98="-","-",""))</f>
        <v/>
      </c>
      <c r="CW98" s="2" t="str">
        <f aca="false">IF(U98="x","x",IF(U98="-","-",""))</f>
        <v/>
      </c>
      <c r="CX98" s="2" t="str">
        <f aca="false">IF(V98="x","x",IF(V98="-","-",""))</f>
        <v/>
      </c>
      <c r="CY98" s="2" t="str">
        <f aca="false">IF(W98="x","x",IF(W98="-","-",""))</f>
        <v/>
      </c>
      <c r="DE98" s="2" t="str">
        <f aca="false">IF(Y98="x","x",IF(Y98="-","-",""))</f>
        <v/>
      </c>
      <c r="DF98" s="2" t="str">
        <f aca="false">IF(Z98="x","x",IF(Z98="-","-",""))</f>
        <v/>
      </c>
      <c r="DG98" s="2" t="str">
        <f aca="false">IF(AA98="x","x",IF(AA98="-","-",""))</f>
        <v/>
      </c>
      <c r="DH98" s="2" t="str">
        <f aca="false">IF(AB98="x","x",IF(AB98="-","-",""))</f>
        <v/>
      </c>
      <c r="DI98" s="2" t="str">
        <f aca="false">IF(AC98="x","x",IF(AC98="-","-",""))</f>
        <v/>
      </c>
      <c r="DJ98" s="2" t="str">
        <f aca="false">IF(AD98="x","x",IF(AD98="-","-",""))</f>
        <v/>
      </c>
      <c r="DK98" s="2" t="str">
        <f aca="false">IF(AE98="x","x",IF(AE98="-","-",""))</f>
        <v/>
      </c>
      <c r="DL98" s="2" t="str">
        <f aca="false">IF(AF98="x","x",IF(AF98="-","-",""))</f>
        <v/>
      </c>
    </row>
    <row r="99" customFormat="false" ht="13.8" hidden="false" customHeight="false" outlineLevel="0" collapsed="false"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CR99" s="2" t="str">
        <f aca="false">IF(P99="x","x",IF(P99="-","-",""))</f>
        <v/>
      </c>
      <c r="CS99" s="2" t="str">
        <f aca="false">IF(Q99="x","x",IF(Q99="-","-",""))</f>
        <v/>
      </c>
      <c r="CT99" s="2" t="str">
        <f aca="false">IF(R99="x","x",IF(R99="-","-",""))</f>
        <v/>
      </c>
      <c r="CU99" s="2" t="str">
        <f aca="false">IF(S99="x","x",IF(S99="-","-",""))</f>
        <v/>
      </c>
      <c r="CV99" s="2" t="str">
        <f aca="false">IF(T99="x","x",IF(T99="-","-",""))</f>
        <v/>
      </c>
      <c r="CW99" s="2" t="str">
        <f aca="false">IF(U99="x","x",IF(U99="-","-",""))</f>
        <v/>
      </c>
      <c r="CX99" s="2" t="str">
        <f aca="false">IF(V99="x","x",IF(V99="-","-",""))</f>
        <v/>
      </c>
      <c r="CY99" s="2" t="str">
        <f aca="false">IF(W99="x","x",IF(W99="-","-",""))</f>
        <v/>
      </c>
      <c r="DE99" s="2" t="str">
        <f aca="false">IF(Y99="x","x",IF(Y99="-","-",""))</f>
        <v/>
      </c>
      <c r="DF99" s="2" t="str">
        <f aca="false">IF(Z99="x","x",IF(Z99="-","-",""))</f>
        <v/>
      </c>
      <c r="DG99" s="2" t="str">
        <f aca="false">IF(AA99="x","x",IF(AA99="-","-",""))</f>
        <v/>
      </c>
      <c r="DH99" s="2" t="str">
        <f aca="false">IF(AB99="x","x",IF(AB99="-","-",""))</f>
        <v/>
      </c>
      <c r="DI99" s="2" t="str">
        <f aca="false">IF(AC99="x","x",IF(AC99="-","-",""))</f>
        <v/>
      </c>
      <c r="DJ99" s="2" t="str">
        <f aca="false">IF(AD99="x","x",IF(AD99="-","-",""))</f>
        <v/>
      </c>
      <c r="DK99" s="2" t="str">
        <f aca="false">IF(AE99="x","x",IF(AE99="-","-",""))</f>
        <v/>
      </c>
      <c r="DL99" s="2" t="str">
        <f aca="false">IF(AF99="x","x",IF(AF99="-","-",""))</f>
        <v/>
      </c>
    </row>
    <row r="100" customFormat="false" ht="13.8" hidden="false" customHeight="false" outlineLevel="0" collapsed="false"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CR100" s="2" t="str">
        <f aca="false">IF(P100="x","x",IF(P100="-","-",""))</f>
        <v/>
      </c>
      <c r="CS100" s="2" t="str">
        <f aca="false">IF(Q100="x","x",IF(Q100="-","-",""))</f>
        <v/>
      </c>
      <c r="CT100" s="2" t="str">
        <f aca="false">IF(R100="x","x",IF(R100="-","-",""))</f>
        <v/>
      </c>
      <c r="CU100" s="2" t="str">
        <f aca="false">IF(S100="x","x",IF(S100="-","-",""))</f>
        <v/>
      </c>
      <c r="CV100" s="2" t="str">
        <f aca="false">IF(T100="x","x",IF(T100="-","-",""))</f>
        <v/>
      </c>
      <c r="CW100" s="2" t="str">
        <f aca="false">IF(U100="x","x",IF(U100="-","-",""))</f>
        <v/>
      </c>
      <c r="CX100" s="2" t="str">
        <f aca="false">IF(V100="x","x",IF(V100="-","-",""))</f>
        <v/>
      </c>
      <c r="CY100" s="2" t="str">
        <f aca="false">IF(W100="x","x",IF(W100="-","-",""))</f>
        <v/>
      </c>
      <c r="DE100" s="2" t="str">
        <f aca="false">IF(Y100="x","x",IF(Y100="-","-",""))</f>
        <v/>
      </c>
      <c r="DF100" s="2" t="str">
        <f aca="false">IF(Z100="x","x",IF(Z100="-","-",""))</f>
        <v/>
      </c>
      <c r="DG100" s="2" t="str">
        <f aca="false">IF(AA100="x","x",IF(AA100="-","-",""))</f>
        <v/>
      </c>
      <c r="DH100" s="2" t="str">
        <f aca="false">IF(AB100="x","x",IF(AB100="-","-",""))</f>
        <v/>
      </c>
      <c r="DI100" s="2" t="str">
        <f aca="false">IF(AC100="x","x",IF(AC100="-","-",""))</f>
        <v/>
      </c>
      <c r="DJ100" s="2" t="str">
        <f aca="false">IF(AD100="x","x",IF(AD100="-","-",""))</f>
        <v/>
      </c>
      <c r="DK100" s="2" t="str">
        <f aca="false">IF(AE100="x","x",IF(AE100="-","-",""))</f>
        <v/>
      </c>
      <c r="DL100" s="2" t="str">
        <f aca="false">IF(AF100="x","x",IF(AF100="-","-",""))</f>
        <v/>
      </c>
    </row>
    <row r="101" customFormat="false" ht="13.8" hidden="false" customHeight="false" outlineLevel="0" collapsed="false"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CR101" s="2" t="str">
        <f aca="false">IF(P101="x","x",IF(P101="-","-",""))</f>
        <v/>
      </c>
      <c r="CS101" s="2" t="str">
        <f aca="false">IF(Q101="x","x",IF(Q101="-","-",""))</f>
        <v/>
      </c>
      <c r="CT101" s="2" t="str">
        <f aca="false">IF(R101="x","x",IF(R101="-","-",""))</f>
        <v/>
      </c>
      <c r="CU101" s="2" t="str">
        <f aca="false">IF(S101="x","x",IF(S101="-","-",""))</f>
        <v/>
      </c>
      <c r="CV101" s="2" t="str">
        <f aca="false">IF(T101="x","x",IF(T101="-","-",""))</f>
        <v/>
      </c>
      <c r="CW101" s="2" t="str">
        <f aca="false">IF(U101="x","x",IF(U101="-","-",""))</f>
        <v/>
      </c>
      <c r="CX101" s="2" t="str">
        <f aca="false">IF(V101="x","x",IF(V101="-","-",""))</f>
        <v/>
      </c>
      <c r="CY101" s="2" t="str">
        <f aca="false">IF(W101="x","x",IF(W101="-","-",""))</f>
        <v/>
      </c>
      <c r="DE101" s="2" t="str">
        <f aca="false">IF(Y101="x","x",IF(Y101="-","-",""))</f>
        <v/>
      </c>
      <c r="DF101" s="2" t="str">
        <f aca="false">IF(Z101="x","x",IF(Z101="-","-",""))</f>
        <v/>
      </c>
      <c r="DG101" s="2" t="str">
        <f aca="false">IF(AA101="x","x",IF(AA101="-","-",""))</f>
        <v/>
      </c>
      <c r="DH101" s="2" t="str">
        <f aca="false">IF(AB101="x","x",IF(AB101="-","-",""))</f>
        <v/>
      </c>
      <c r="DI101" s="2" t="str">
        <f aca="false">IF(AC101="x","x",IF(AC101="-","-",""))</f>
        <v/>
      </c>
      <c r="DJ101" s="2" t="str">
        <f aca="false">IF(AD101="x","x",IF(AD101="-","-",""))</f>
        <v/>
      </c>
      <c r="DK101" s="2" t="str">
        <f aca="false">IF(AE101="x","x",IF(AE101="-","-",""))</f>
        <v/>
      </c>
      <c r="DL101" s="2" t="str">
        <f aca="false">IF(AF101="x","x",IF(AF101="-","-",""))</f>
        <v/>
      </c>
    </row>
    <row r="102" customFormat="false" ht="13.8" hidden="false" customHeight="false" outlineLevel="0" collapsed="false"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CR102" s="2" t="str">
        <f aca="false">IF(P102="x","x",IF(P102="-","-",""))</f>
        <v/>
      </c>
      <c r="CS102" s="2" t="str">
        <f aca="false">IF(Q102="x","x",IF(Q102="-","-",""))</f>
        <v/>
      </c>
      <c r="CT102" s="2" t="str">
        <f aca="false">IF(R102="x","x",IF(R102="-","-",""))</f>
        <v/>
      </c>
      <c r="CU102" s="2" t="str">
        <f aca="false">IF(S102="x","x",IF(S102="-","-",""))</f>
        <v/>
      </c>
      <c r="CV102" s="2" t="str">
        <f aca="false">IF(T102="x","x",IF(T102="-","-",""))</f>
        <v/>
      </c>
      <c r="CW102" s="2" t="str">
        <f aca="false">IF(U102="x","x",IF(U102="-","-",""))</f>
        <v/>
      </c>
      <c r="CX102" s="2" t="str">
        <f aca="false">IF(V102="x","x",IF(V102="-","-",""))</f>
        <v/>
      </c>
      <c r="CY102" s="2" t="str">
        <f aca="false">IF(W102="x","x",IF(W102="-","-",""))</f>
        <v/>
      </c>
      <c r="DE102" s="2" t="str">
        <f aca="false">IF(Y102="x","x",IF(Y102="-","-",""))</f>
        <v/>
      </c>
      <c r="DF102" s="2" t="str">
        <f aca="false">IF(Z102="x","x",IF(Z102="-","-",""))</f>
        <v/>
      </c>
      <c r="DG102" s="2" t="str">
        <f aca="false">IF(AA102="x","x",IF(AA102="-","-",""))</f>
        <v/>
      </c>
      <c r="DH102" s="2" t="str">
        <f aca="false">IF(AB102="x","x",IF(AB102="-","-",""))</f>
        <v/>
      </c>
      <c r="DI102" s="2" t="str">
        <f aca="false">IF(AC102="x","x",IF(AC102="-","-",""))</f>
        <v/>
      </c>
      <c r="DJ102" s="2" t="str">
        <f aca="false">IF(AD102="x","x",IF(AD102="-","-",""))</f>
        <v/>
      </c>
      <c r="DK102" s="2" t="str">
        <f aca="false">IF(AE102="x","x",IF(AE102="-","-",""))</f>
        <v/>
      </c>
      <c r="DL102" s="2" t="str">
        <f aca="false">IF(AF102="x","x",IF(AF102="-","-",""))</f>
        <v/>
      </c>
    </row>
    <row r="103" customFormat="false" ht="13.8" hidden="false" customHeight="false" outlineLevel="0" collapsed="false"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CR103" s="2" t="str">
        <f aca="false">IF(P103="x","x",IF(P103="-","-",""))</f>
        <v/>
      </c>
      <c r="CS103" s="2" t="str">
        <f aca="false">IF(Q103="x","x",IF(Q103="-","-",""))</f>
        <v/>
      </c>
      <c r="CT103" s="2" t="str">
        <f aca="false">IF(R103="x","x",IF(R103="-","-",""))</f>
        <v/>
      </c>
      <c r="CU103" s="2" t="str">
        <f aca="false">IF(S103="x","x",IF(S103="-","-",""))</f>
        <v/>
      </c>
      <c r="CV103" s="2" t="str">
        <f aca="false">IF(T103="x","x",IF(T103="-","-",""))</f>
        <v/>
      </c>
      <c r="CW103" s="2" t="str">
        <f aca="false">IF(U103="x","x",IF(U103="-","-",""))</f>
        <v/>
      </c>
      <c r="CX103" s="2" t="str">
        <f aca="false">IF(V103="x","x",IF(V103="-","-",""))</f>
        <v/>
      </c>
      <c r="CY103" s="2" t="str">
        <f aca="false">IF(W103="x","x",IF(W103="-","-",""))</f>
        <v/>
      </c>
      <c r="DE103" s="2" t="str">
        <f aca="false">IF(Y103="x","x",IF(Y103="-","-",""))</f>
        <v/>
      </c>
      <c r="DF103" s="2" t="str">
        <f aca="false">IF(Z103="x","x",IF(Z103="-","-",""))</f>
        <v/>
      </c>
      <c r="DG103" s="2" t="str">
        <f aca="false">IF(AA103="x","x",IF(AA103="-","-",""))</f>
        <v/>
      </c>
      <c r="DH103" s="2" t="str">
        <f aca="false">IF(AB103="x","x",IF(AB103="-","-",""))</f>
        <v/>
      </c>
      <c r="DI103" s="2" t="str">
        <f aca="false">IF(AC103="x","x",IF(AC103="-","-",""))</f>
        <v/>
      </c>
      <c r="DJ103" s="2" t="str">
        <f aca="false">IF(AD103="x","x",IF(AD103="-","-",""))</f>
        <v/>
      </c>
      <c r="DK103" s="2" t="str">
        <f aca="false">IF(AE103="x","x",IF(AE103="-","-",""))</f>
        <v/>
      </c>
      <c r="DL103" s="2" t="str">
        <f aca="false">IF(AF103="x","x",IF(AF103="-","-",""))</f>
        <v/>
      </c>
    </row>
    <row r="104" customFormat="false" ht="13.8" hidden="false" customHeight="false" outlineLevel="0" collapsed="false"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CR104" s="2" t="str">
        <f aca="false">IF(P104="x","x",IF(P104="-","-",""))</f>
        <v/>
      </c>
      <c r="CS104" s="2" t="str">
        <f aca="false">IF(Q104="x","x",IF(Q104="-","-",""))</f>
        <v/>
      </c>
      <c r="CT104" s="2" t="str">
        <f aca="false">IF(R104="x","x",IF(R104="-","-",""))</f>
        <v/>
      </c>
      <c r="CU104" s="2" t="str">
        <f aca="false">IF(S104="x","x",IF(S104="-","-",""))</f>
        <v/>
      </c>
      <c r="CV104" s="2" t="str">
        <f aca="false">IF(T104="x","x",IF(T104="-","-",""))</f>
        <v/>
      </c>
      <c r="CW104" s="2" t="str">
        <f aca="false">IF(U104="x","x",IF(U104="-","-",""))</f>
        <v/>
      </c>
      <c r="CX104" s="2" t="str">
        <f aca="false">IF(V104="x","x",IF(V104="-","-",""))</f>
        <v/>
      </c>
      <c r="CY104" s="2" t="str">
        <f aca="false">IF(W104="x","x",IF(W104="-","-",""))</f>
        <v/>
      </c>
      <c r="DE104" s="2" t="str">
        <f aca="false">IF(Y104="x","x",IF(Y104="-","-",""))</f>
        <v/>
      </c>
      <c r="DF104" s="2" t="str">
        <f aca="false">IF(Z104="x","x",IF(Z104="-","-",""))</f>
        <v/>
      </c>
      <c r="DG104" s="2" t="str">
        <f aca="false">IF(AA104="x","x",IF(AA104="-","-",""))</f>
        <v/>
      </c>
      <c r="DH104" s="2" t="str">
        <f aca="false">IF(AB104="x","x",IF(AB104="-","-",""))</f>
        <v/>
      </c>
      <c r="DI104" s="2" t="str">
        <f aca="false">IF(AC104="x","x",IF(AC104="-","-",""))</f>
        <v/>
      </c>
      <c r="DJ104" s="2" t="str">
        <f aca="false">IF(AD104="x","x",IF(AD104="-","-",""))</f>
        <v/>
      </c>
      <c r="DK104" s="2" t="str">
        <f aca="false">IF(AE104="x","x",IF(AE104="-","-",""))</f>
        <v/>
      </c>
      <c r="DL104" s="2" t="str">
        <f aca="false">IF(AF104="x","x",IF(AF104="-","-",""))</f>
        <v/>
      </c>
    </row>
    <row r="105" customFormat="false" ht="13.8" hidden="false" customHeight="false" outlineLevel="0" collapsed="false"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CR105" s="2" t="str">
        <f aca="false">IF(P105="x","x",IF(P105="-","-",""))</f>
        <v/>
      </c>
      <c r="CS105" s="2" t="str">
        <f aca="false">IF(Q105="x","x",IF(Q105="-","-",""))</f>
        <v/>
      </c>
      <c r="CT105" s="2" t="str">
        <f aca="false">IF(R105="x","x",IF(R105="-","-",""))</f>
        <v/>
      </c>
      <c r="CU105" s="2" t="str">
        <f aca="false">IF(S105="x","x",IF(S105="-","-",""))</f>
        <v/>
      </c>
      <c r="CV105" s="2" t="str">
        <f aca="false">IF(T105="x","x",IF(T105="-","-",""))</f>
        <v/>
      </c>
      <c r="CW105" s="2" t="str">
        <f aca="false">IF(U105="x","x",IF(U105="-","-",""))</f>
        <v/>
      </c>
      <c r="CX105" s="2" t="str">
        <f aca="false">IF(V105="x","x",IF(V105="-","-",""))</f>
        <v/>
      </c>
      <c r="CY105" s="2" t="str">
        <f aca="false">IF(W105="x","x",IF(W105="-","-",""))</f>
        <v/>
      </c>
      <c r="DE105" s="2" t="str">
        <f aca="false">IF(Y105="x","x",IF(Y105="-","-",""))</f>
        <v/>
      </c>
      <c r="DF105" s="2" t="str">
        <f aca="false">IF(Z105="x","x",IF(Z105="-","-",""))</f>
        <v/>
      </c>
      <c r="DG105" s="2" t="str">
        <f aca="false">IF(AA105="x","x",IF(AA105="-","-",""))</f>
        <v/>
      </c>
      <c r="DH105" s="2" t="str">
        <f aca="false">IF(AB105="x","x",IF(AB105="-","-",""))</f>
        <v/>
      </c>
      <c r="DI105" s="2" t="str">
        <f aca="false">IF(AC105="x","x",IF(AC105="-","-",""))</f>
        <v/>
      </c>
      <c r="DJ105" s="2" t="str">
        <f aca="false">IF(AD105="x","x",IF(AD105="-","-",""))</f>
        <v/>
      </c>
      <c r="DK105" s="2" t="str">
        <f aca="false">IF(AE105="x","x",IF(AE105="-","-",""))</f>
        <v/>
      </c>
      <c r="DL105" s="2" t="str">
        <f aca="false">IF(AF105="x","x",IF(AF105="-","-",""))</f>
        <v/>
      </c>
    </row>
    <row r="106" customFormat="false" ht="13.8" hidden="false" customHeight="false" outlineLevel="0" collapsed="false"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CR106" s="2" t="str">
        <f aca="false">IF(P106="x","x",IF(P106="-","-",""))</f>
        <v/>
      </c>
      <c r="CS106" s="2" t="str">
        <f aca="false">IF(Q106="x","x",IF(Q106="-","-",""))</f>
        <v/>
      </c>
      <c r="CT106" s="2" t="str">
        <f aca="false">IF(R106="x","x",IF(R106="-","-",""))</f>
        <v/>
      </c>
      <c r="CU106" s="2" t="str">
        <f aca="false">IF(S106="x","x",IF(S106="-","-",""))</f>
        <v/>
      </c>
      <c r="CV106" s="2" t="str">
        <f aca="false">IF(T106="x","x",IF(T106="-","-",""))</f>
        <v/>
      </c>
      <c r="CW106" s="2" t="str">
        <f aca="false">IF(U106="x","x",IF(U106="-","-",""))</f>
        <v/>
      </c>
      <c r="CX106" s="2" t="str">
        <f aca="false">IF(V106="x","x",IF(V106="-","-",""))</f>
        <v/>
      </c>
      <c r="CY106" s="2" t="str">
        <f aca="false">IF(W106="x","x",IF(W106="-","-",""))</f>
        <v/>
      </c>
      <c r="DE106" s="2" t="str">
        <f aca="false">IF(Y106="x","x",IF(Y106="-","-",""))</f>
        <v/>
      </c>
      <c r="DF106" s="2" t="str">
        <f aca="false">IF(Z106="x","x",IF(Z106="-","-",""))</f>
        <v/>
      </c>
      <c r="DG106" s="2" t="str">
        <f aca="false">IF(AA106="x","x",IF(AA106="-","-",""))</f>
        <v/>
      </c>
      <c r="DH106" s="2" t="str">
        <f aca="false">IF(AB106="x","x",IF(AB106="-","-",""))</f>
        <v/>
      </c>
      <c r="DI106" s="2" t="str">
        <f aca="false">IF(AC106="x","x",IF(AC106="-","-",""))</f>
        <v/>
      </c>
      <c r="DJ106" s="2" t="str">
        <f aca="false">IF(AD106="x","x",IF(AD106="-","-",""))</f>
        <v/>
      </c>
      <c r="DK106" s="2" t="str">
        <f aca="false">IF(AE106="x","x",IF(AE106="-","-",""))</f>
        <v/>
      </c>
      <c r="DL106" s="2" t="str">
        <f aca="false">IF(AF106="x","x",IF(AF106="-","-",""))</f>
        <v/>
      </c>
    </row>
    <row r="107" customFormat="false" ht="13.8" hidden="false" customHeight="false" outlineLevel="0" collapsed="false"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CR107" s="2" t="str">
        <f aca="false">IF(P107="x","x",IF(P107="-","-",""))</f>
        <v/>
      </c>
      <c r="CS107" s="2" t="str">
        <f aca="false">IF(Q107="x","x",IF(Q107="-","-",""))</f>
        <v/>
      </c>
      <c r="CT107" s="2" t="str">
        <f aca="false">IF(R107="x","x",IF(R107="-","-",""))</f>
        <v/>
      </c>
      <c r="CU107" s="2" t="str">
        <f aca="false">IF(S107="x","x",IF(S107="-","-",""))</f>
        <v/>
      </c>
      <c r="CV107" s="2" t="str">
        <f aca="false">IF(T107="x","x",IF(T107="-","-",""))</f>
        <v/>
      </c>
      <c r="CW107" s="2" t="str">
        <f aca="false">IF(U107="x","x",IF(U107="-","-",""))</f>
        <v/>
      </c>
      <c r="CX107" s="2" t="str">
        <f aca="false">IF(V107="x","x",IF(V107="-","-",""))</f>
        <v/>
      </c>
      <c r="CY107" s="2" t="str">
        <f aca="false">IF(W107="x","x",IF(W107="-","-",""))</f>
        <v/>
      </c>
      <c r="DE107" s="2" t="str">
        <f aca="false">IF(Y107="x","x",IF(Y107="-","-",""))</f>
        <v/>
      </c>
      <c r="DF107" s="2" t="str">
        <f aca="false">IF(Z107="x","x",IF(Z107="-","-",""))</f>
        <v/>
      </c>
      <c r="DG107" s="2" t="str">
        <f aca="false">IF(AA107="x","x",IF(AA107="-","-",""))</f>
        <v/>
      </c>
      <c r="DH107" s="2" t="str">
        <f aca="false">IF(AB107="x","x",IF(AB107="-","-",""))</f>
        <v/>
      </c>
      <c r="DI107" s="2" t="str">
        <f aca="false">IF(AC107="x","x",IF(AC107="-","-",""))</f>
        <v/>
      </c>
      <c r="DJ107" s="2" t="str">
        <f aca="false">IF(AD107="x","x",IF(AD107="-","-",""))</f>
        <v/>
      </c>
      <c r="DK107" s="2" t="str">
        <f aca="false">IF(AE107="x","x",IF(AE107="-","-",""))</f>
        <v/>
      </c>
      <c r="DL107" s="2" t="str">
        <f aca="false">IF(AF107="x","x",IF(AF107="-","-",""))</f>
        <v/>
      </c>
    </row>
    <row r="108" customFormat="false" ht="13.8" hidden="false" customHeight="false" outlineLevel="0" collapsed="false"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CR108" s="2" t="str">
        <f aca="false">IF(P108="x","x",IF(P108="-","-",""))</f>
        <v/>
      </c>
      <c r="CS108" s="2" t="str">
        <f aca="false">IF(Q108="x","x",IF(Q108="-","-",""))</f>
        <v/>
      </c>
      <c r="CT108" s="2" t="str">
        <f aca="false">IF(R108="x","x",IF(R108="-","-",""))</f>
        <v/>
      </c>
      <c r="CU108" s="2" t="str">
        <f aca="false">IF(S108="x","x",IF(S108="-","-",""))</f>
        <v/>
      </c>
      <c r="CV108" s="2" t="str">
        <f aca="false">IF(T108="x","x",IF(T108="-","-",""))</f>
        <v/>
      </c>
      <c r="CW108" s="2" t="str">
        <f aca="false">IF(U108="x","x",IF(U108="-","-",""))</f>
        <v/>
      </c>
      <c r="CX108" s="2" t="str">
        <f aca="false">IF(V108="x","x",IF(V108="-","-",""))</f>
        <v/>
      </c>
      <c r="CY108" s="2" t="str">
        <f aca="false">IF(W108="x","x",IF(W108="-","-",""))</f>
        <v/>
      </c>
      <c r="DE108" s="2" t="str">
        <f aca="false">IF(Y108="x","x",IF(Y108="-","-",""))</f>
        <v/>
      </c>
      <c r="DF108" s="2" t="str">
        <f aca="false">IF(Z108="x","x",IF(Z108="-","-",""))</f>
        <v/>
      </c>
      <c r="DG108" s="2" t="str">
        <f aca="false">IF(AA108="x","x",IF(AA108="-","-",""))</f>
        <v/>
      </c>
      <c r="DH108" s="2" t="str">
        <f aca="false">IF(AB108="x","x",IF(AB108="-","-",""))</f>
        <v/>
      </c>
      <c r="DI108" s="2" t="str">
        <f aca="false">IF(AC108="x","x",IF(AC108="-","-",""))</f>
        <v/>
      </c>
      <c r="DJ108" s="2" t="str">
        <f aca="false">IF(AD108="x","x",IF(AD108="-","-",""))</f>
        <v/>
      </c>
      <c r="DK108" s="2" t="str">
        <f aca="false">IF(AE108="x","x",IF(AE108="-","-",""))</f>
        <v/>
      </c>
      <c r="DL108" s="2" t="str">
        <f aca="false">IF(AF108="x","x",IF(AF108="-","-",""))</f>
        <v/>
      </c>
    </row>
    <row r="109" customFormat="false" ht="13.8" hidden="false" customHeight="false" outlineLevel="0" collapsed="false"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CR109" s="2" t="str">
        <f aca="false">IF(P109="x","x",IF(P109="-","-",""))</f>
        <v/>
      </c>
      <c r="CS109" s="2" t="str">
        <f aca="false">IF(Q109="x","x",IF(Q109="-","-",""))</f>
        <v/>
      </c>
      <c r="CT109" s="2" t="str">
        <f aca="false">IF(R109="x","x",IF(R109="-","-",""))</f>
        <v/>
      </c>
      <c r="CU109" s="2" t="str">
        <f aca="false">IF(S109="x","x",IF(S109="-","-",""))</f>
        <v/>
      </c>
      <c r="CV109" s="2" t="str">
        <f aca="false">IF(T109="x","x",IF(T109="-","-",""))</f>
        <v/>
      </c>
      <c r="CW109" s="2" t="str">
        <f aca="false">IF(U109="x","x",IF(U109="-","-",""))</f>
        <v/>
      </c>
      <c r="CX109" s="2" t="str">
        <f aca="false">IF(V109="x","x",IF(V109="-","-",""))</f>
        <v/>
      </c>
      <c r="CY109" s="2" t="str">
        <f aca="false">IF(W109="x","x",IF(W109="-","-",""))</f>
        <v/>
      </c>
      <c r="DE109" s="2" t="str">
        <f aca="false">IF(Y109="x","x",IF(Y109="-","-",""))</f>
        <v/>
      </c>
      <c r="DF109" s="2" t="str">
        <f aca="false">IF(Z109="x","x",IF(Z109="-","-",""))</f>
        <v/>
      </c>
      <c r="DG109" s="2" t="str">
        <f aca="false">IF(AA109="x","x",IF(AA109="-","-",""))</f>
        <v/>
      </c>
      <c r="DH109" s="2" t="str">
        <f aca="false">IF(AB109="x","x",IF(AB109="-","-",""))</f>
        <v/>
      </c>
      <c r="DI109" s="2" t="str">
        <f aca="false">IF(AC109="x","x",IF(AC109="-","-",""))</f>
        <v/>
      </c>
      <c r="DJ109" s="2" t="str">
        <f aca="false">IF(AD109="x","x",IF(AD109="-","-",""))</f>
        <v/>
      </c>
      <c r="DK109" s="2" t="str">
        <f aca="false">IF(AE109="x","x",IF(AE109="-","-",""))</f>
        <v/>
      </c>
      <c r="DL109" s="2" t="str">
        <f aca="false">IF(AF109="x","x",IF(AF109="-","-",""))</f>
        <v/>
      </c>
    </row>
    <row r="110" customFormat="false" ht="13.8" hidden="false" customHeight="false" outlineLevel="0" collapsed="false"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CR110" s="2" t="str">
        <f aca="false">IF(P110="x","x",IF(P110="-","-",""))</f>
        <v/>
      </c>
      <c r="CS110" s="2" t="str">
        <f aca="false">IF(Q110="x","x",IF(Q110="-","-",""))</f>
        <v/>
      </c>
      <c r="CT110" s="2" t="str">
        <f aca="false">IF(R110="x","x",IF(R110="-","-",""))</f>
        <v/>
      </c>
      <c r="CU110" s="2" t="str">
        <f aca="false">IF(S110="x","x",IF(S110="-","-",""))</f>
        <v/>
      </c>
      <c r="CV110" s="2" t="str">
        <f aca="false">IF(T110="x","x",IF(T110="-","-",""))</f>
        <v/>
      </c>
      <c r="CW110" s="2" t="str">
        <f aca="false">IF(U110="x","x",IF(U110="-","-",""))</f>
        <v/>
      </c>
      <c r="CX110" s="2" t="str">
        <f aca="false">IF(V110="x","x",IF(V110="-","-",""))</f>
        <v/>
      </c>
      <c r="CY110" s="2" t="str">
        <f aca="false">IF(W110="x","x",IF(W110="-","-",""))</f>
        <v/>
      </c>
      <c r="DE110" s="2" t="str">
        <f aca="false">IF(Y110="x","x",IF(Y110="-","-",""))</f>
        <v/>
      </c>
      <c r="DF110" s="2" t="str">
        <f aca="false">IF(Z110="x","x",IF(Z110="-","-",""))</f>
        <v/>
      </c>
      <c r="DG110" s="2" t="str">
        <f aca="false">IF(AA110="x","x",IF(AA110="-","-",""))</f>
        <v/>
      </c>
      <c r="DH110" s="2" t="str">
        <f aca="false">IF(AB110="x","x",IF(AB110="-","-",""))</f>
        <v/>
      </c>
      <c r="DI110" s="2" t="str">
        <f aca="false">IF(AC110="x","x",IF(AC110="-","-",""))</f>
        <v/>
      </c>
      <c r="DJ110" s="2" t="str">
        <f aca="false">IF(AD110="x","x",IF(AD110="-","-",""))</f>
        <v/>
      </c>
      <c r="DK110" s="2" t="str">
        <f aca="false">IF(AE110="x","x",IF(AE110="-","-",""))</f>
        <v/>
      </c>
      <c r="DL110" s="2" t="str">
        <f aca="false">IF(AF110="x","x",IF(AF110="-","-",""))</f>
        <v/>
      </c>
    </row>
    <row r="111" customFormat="false" ht="13.8" hidden="false" customHeight="false" outlineLevel="0" collapsed="false"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CR111" s="2" t="str">
        <f aca="false">IF(P111="x","x",IF(P111="-","-",""))</f>
        <v/>
      </c>
      <c r="CS111" s="2" t="str">
        <f aca="false">IF(Q111="x","x",IF(Q111="-","-",""))</f>
        <v/>
      </c>
      <c r="CT111" s="2" t="str">
        <f aca="false">IF(R111="x","x",IF(R111="-","-",""))</f>
        <v/>
      </c>
      <c r="CU111" s="2" t="str">
        <f aca="false">IF(S111="x","x",IF(S111="-","-",""))</f>
        <v/>
      </c>
      <c r="CV111" s="2" t="str">
        <f aca="false">IF(T111="x","x",IF(T111="-","-",""))</f>
        <v/>
      </c>
      <c r="CW111" s="2" t="str">
        <f aca="false">IF(U111="x","x",IF(U111="-","-",""))</f>
        <v/>
      </c>
      <c r="CX111" s="2" t="str">
        <f aca="false">IF(V111="x","x",IF(V111="-","-",""))</f>
        <v/>
      </c>
      <c r="CY111" s="2" t="str">
        <f aca="false">IF(W111="x","x",IF(W111="-","-",""))</f>
        <v/>
      </c>
      <c r="DE111" s="2" t="str">
        <f aca="false">IF(Y111="x","x",IF(Y111="-","-",""))</f>
        <v/>
      </c>
      <c r="DF111" s="2" t="str">
        <f aca="false">IF(Z111="x","x",IF(Z111="-","-",""))</f>
        <v/>
      </c>
      <c r="DG111" s="2" t="str">
        <f aca="false">IF(AA111="x","x",IF(AA111="-","-",""))</f>
        <v/>
      </c>
      <c r="DH111" s="2" t="str">
        <f aca="false">IF(AB111="x","x",IF(AB111="-","-",""))</f>
        <v/>
      </c>
      <c r="DI111" s="2" t="str">
        <f aca="false">IF(AC111="x","x",IF(AC111="-","-",""))</f>
        <v/>
      </c>
      <c r="DJ111" s="2" t="str">
        <f aca="false">IF(AD111="x","x",IF(AD111="-","-",""))</f>
        <v/>
      </c>
      <c r="DK111" s="2" t="str">
        <f aca="false">IF(AE111="x","x",IF(AE111="-","-",""))</f>
        <v/>
      </c>
      <c r="DL111" s="2" t="str">
        <f aca="false">IF(AF111="x","x",IF(AF111="-","-",""))</f>
        <v/>
      </c>
    </row>
    <row r="112" customFormat="false" ht="13.8" hidden="false" customHeight="false" outlineLevel="0" collapsed="false"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CR112" s="2" t="str">
        <f aca="false">IF(P112="x","x",IF(P112="-","-",""))</f>
        <v/>
      </c>
      <c r="CS112" s="2" t="str">
        <f aca="false">IF(Q112="x","x",IF(Q112="-","-",""))</f>
        <v/>
      </c>
      <c r="CT112" s="2" t="str">
        <f aca="false">IF(R112="x","x",IF(R112="-","-",""))</f>
        <v/>
      </c>
      <c r="CU112" s="2" t="str">
        <f aca="false">IF(S112="x","x",IF(S112="-","-",""))</f>
        <v/>
      </c>
      <c r="CV112" s="2" t="str">
        <f aca="false">IF(T112="x","x",IF(T112="-","-",""))</f>
        <v/>
      </c>
      <c r="CW112" s="2" t="str">
        <f aca="false">IF(U112="x","x",IF(U112="-","-",""))</f>
        <v/>
      </c>
      <c r="CX112" s="2" t="str">
        <f aca="false">IF(V112="x","x",IF(V112="-","-",""))</f>
        <v/>
      </c>
      <c r="CY112" s="2" t="str">
        <f aca="false">IF(W112="x","x",IF(W112="-","-",""))</f>
        <v/>
      </c>
      <c r="DE112" s="2" t="str">
        <f aca="false">IF(Y112="x","x",IF(Y112="-","-",""))</f>
        <v/>
      </c>
      <c r="DF112" s="2" t="str">
        <f aca="false">IF(Z112="x","x",IF(Z112="-","-",""))</f>
        <v/>
      </c>
      <c r="DG112" s="2" t="str">
        <f aca="false">IF(AA112="x","x",IF(AA112="-","-",""))</f>
        <v/>
      </c>
      <c r="DH112" s="2" t="str">
        <f aca="false">IF(AB112="x","x",IF(AB112="-","-",""))</f>
        <v/>
      </c>
      <c r="DI112" s="2" t="str">
        <f aca="false">IF(AC112="x","x",IF(AC112="-","-",""))</f>
        <v/>
      </c>
      <c r="DJ112" s="2" t="str">
        <f aca="false">IF(AD112="x","x",IF(AD112="-","-",""))</f>
        <v/>
      </c>
      <c r="DK112" s="2" t="str">
        <f aca="false">IF(AE112="x","x",IF(AE112="-","-",""))</f>
        <v/>
      </c>
      <c r="DL112" s="2" t="str">
        <f aca="false">IF(AF112="x","x",IF(AF112="-","-",""))</f>
        <v/>
      </c>
    </row>
    <row r="113" customFormat="false" ht="13.8" hidden="false" customHeight="false" outlineLevel="0" collapsed="false"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CR113" s="2" t="str">
        <f aca="false">IF(P113="x","x",IF(P113="-","-",""))</f>
        <v/>
      </c>
      <c r="CS113" s="2" t="str">
        <f aca="false">IF(Q113="x","x",IF(Q113="-","-",""))</f>
        <v/>
      </c>
      <c r="CT113" s="2" t="str">
        <f aca="false">IF(R113="x","x",IF(R113="-","-",""))</f>
        <v/>
      </c>
      <c r="CU113" s="2" t="str">
        <f aca="false">IF(S113="x","x",IF(S113="-","-",""))</f>
        <v/>
      </c>
      <c r="CV113" s="2" t="str">
        <f aca="false">IF(T113="x","x",IF(T113="-","-",""))</f>
        <v/>
      </c>
      <c r="CW113" s="2" t="str">
        <f aca="false">IF(U113="x","x",IF(U113="-","-",""))</f>
        <v/>
      </c>
      <c r="CX113" s="2" t="str">
        <f aca="false">IF(V113="x","x",IF(V113="-","-",""))</f>
        <v/>
      </c>
      <c r="CY113" s="2" t="str">
        <f aca="false">IF(W113="x","x",IF(W113="-","-",""))</f>
        <v/>
      </c>
      <c r="DE113" s="2" t="str">
        <f aca="false">IF(Y113="x","x",IF(Y113="-","-",""))</f>
        <v/>
      </c>
      <c r="DF113" s="2" t="str">
        <f aca="false">IF(Z113="x","x",IF(Z113="-","-",""))</f>
        <v/>
      </c>
      <c r="DG113" s="2" t="str">
        <f aca="false">IF(AA113="x","x",IF(AA113="-","-",""))</f>
        <v/>
      </c>
      <c r="DH113" s="2" t="str">
        <f aca="false">IF(AB113="x","x",IF(AB113="-","-",""))</f>
        <v/>
      </c>
      <c r="DI113" s="2" t="str">
        <f aca="false">IF(AC113="x","x",IF(AC113="-","-",""))</f>
        <v/>
      </c>
      <c r="DJ113" s="2" t="str">
        <f aca="false">IF(AD113="x","x",IF(AD113="-","-",""))</f>
        <v/>
      </c>
      <c r="DK113" s="2" t="str">
        <f aca="false">IF(AE113="x","x",IF(AE113="-","-",""))</f>
        <v/>
      </c>
      <c r="DL113" s="2" t="str">
        <f aca="false">IF(AF113="x","x",IF(AF113="-","-",""))</f>
        <v/>
      </c>
    </row>
    <row r="114" customFormat="false" ht="13.8" hidden="false" customHeight="false" outlineLevel="0" collapsed="false"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CR114" s="2" t="str">
        <f aca="false">IF(P114="x","x",IF(P114="-","-",""))</f>
        <v/>
      </c>
      <c r="CS114" s="2" t="str">
        <f aca="false">IF(Q114="x","x",IF(Q114="-","-",""))</f>
        <v/>
      </c>
      <c r="CT114" s="2" t="str">
        <f aca="false">IF(R114="x","x",IF(R114="-","-",""))</f>
        <v/>
      </c>
      <c r="CU114" s="2" t="str">
        <f aca="false">IF(S114="x","x",IF(S114="-","-",""))</f>
        <v/>
      </c>
      <c r="CV114" s="2" t="str">
        <f aca="false">IF(T114="x","x",IF(T114="-","-",""))</f>
        <v/>
      </c>
      <c r="CW114" s="2" t="str">
        <f aca="false">IF(U114="x","x",IF(U114="-","-",""))</f>
        <v/>
      </c>
      <c r="CX114" s="2" t="str">
        <f aca="false">IF(V114="x","x",IF(V114="-","-",""))</f>
        <v/>
      </c>
      <c r="CY114" s="2" t="str">
        <f aca="false">IF(W114="x","x",IF(W114="-","-",""))</f>
        <v/>
      </c>
      <c r="DE114" s="2" t="str">
        <f aca="false">IF(Y114="x","x",IF(Y114="-","-",""))</f>
        <v/>
      </c>
      <c r="DF114" s="2" t="str">
        <f aca="false">IF(Z114="x","x",IF(Z114="-","-",""))</f>
        <v/>
      </c>
      <c r="DG114" s="2" t="str">
        <f aca="false">IF(AA114="x","x",IF(AA114="-","-",""))</f>
        <v/>
      </c>
      <c r="DH114" s="2" t="str">
        <f aca="false">IF(AB114="x","x",IF(AB114="-","-",""))</f>
        <v/>
      </c>
      <c r="DI114" s="2" t="str">
        <f aca="false">IF(AC114="x","x",IF(AC114="-","-",""))</f>
        <v/>
      </c>
      <c r="DJ114" s="2" t="str">
        <f aca="false">IF(AD114="x","x",IF(AD114="-","-",""))</f>
        <v/>
      </c>
      <c r="DK114" s="2" t="str">
        <f aca="false">IF(AE114="x","x",IF(AE114="-","-",""))</f>
        <v/>
      </c>
      <c r="DL114" s="2" t="str">
        <f aca="false">IF(AF114="x","x",IF(AF114="-","-",""))</f>
        <v/>
      </c>
    </row>
    <row r="115" customFormat="false" ht="13.8" hidden="false" customHeight="false" outlineLevel="0" collapsed="false"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CR115" s="2" t="str">
        <f aca="false">IF(P115="x","x",IF(P115="-","-",""))</f>
        <v/>
      </c>
      <c r="CS115" s="2" t="str">
        <f aca="false">IF(Q115="x","x",IF(Q115="-","-",""))</f>
        <v/>
      </c>
      <c r="CT115" s="2" t="str">
        <f aca="false">IF(R115="x","x",IF(R115="-","-",""))</f>
        <v/>
      </c>
      <c r="CU115" s="2" t="str">
        <f aca="false">IF(S115="x","x",IF(S115="-","-",""))</f>
        <v/>
      </c>
      <c r="CV115" s="2" t="str">
        <f aca="false">IF(T115="x","x",IF(T115="-","-",""))</f>
        <v/>
      </c>
      <c r="CW115" s="2" t="str">
        <f aca="false">IF(U115="x","x",IF(U115="-","-",""))</f>
        <v/>
      </c>
      <c r="CX115" s="2" t="str">
        <f aca="false">IF(V115="x","x",IF(V115="-","-",""))</f>
        <v/>
      </c>
      <c r="CY115" s="2" t="str">
        <f aca="false">IF(W115="x","x",IF(W115="-","-",""))</f>
        <v/>
      </c>
      <c r="DE115" s="2" t="str">
        <f aca="false">IF(Y115="x","x",IF(Y115="-","-",""))</f>
        <v/>
      </c>
      <c r="DF115" s="2" t="str">
        <f aca="false">IF(Z115="x","x",IF(Z115="-","-",""))</f>
        <v/>
      </c>
      <c r="DG115" s="2" t="str">
        <f aca="false">IF(AA115="x","x",IF(AA115="-","-",""))</f>
        <v/>
      </c>
      <c r="DH115" s="2" t="str">
        <f aca="false">IF(AB115="x","x",IF(AB115="-","-",""))</f>
        <v/>
      </c>
      <c r="DI115" s="2" t="str">
        <f aca="false">IF(AC115="x","x",IF(AC115="-","-",""))</f>
        <v/>
      </c>
      <c r="DJ115" s="2" t="str">
        <f aca="false">IF(AD115="x","x",IF(AD115="-","-",""))</f>
        <v/>
      </c>
      <c r="DK115" s="2" t="str">
        <f aca="false">IF(AE115="x","x",IF(AE115="-","-",""))</f>
        <v/>
      </c>
      <c r="DL115" s="2" t="str">
        <f aca="false">IF(AF115="x","x",IF(AF115="-","-",""))</f>
        <v/>
      </c>
    </row>
    <row r="116" customFormat="false" ht="13.8" hidden="false" customHeight="false" outlineLevel="0" collapsed="false"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CR116" s="2" t="str">
        <f aca="false">IF(P116="x","x",IF(P116="-","-",""))</f>
        <v/>
      </c>
      <c r="CS116" s="2" t="str">
        <f aca="false">IF(Q116="x","x",IF(Q116="-","-",""))</f>
        <v/>
      </c>
      <c r="CT116" s="2" t="str">
        <f aca="false">IF(R116="x","x",IF(R116="-","-",""))</f>
        <v/>
      </c>
      <c r="CU116" s="2" t="str">
        <f aca="false">IF(S116="x","x",IF(S116="-","-",""))</f>
        <v/>
      </c>
      <c r="CV116" s="2" t="str">
        <f aca="false">IF(T116="x","x",IF(T116="-","-",""))</f>
        <v/>
      </c>
      <c r="CW116" s="2" t="str">
        <f aca="false">IF(U116="x","x",IF(U116="-","-",""))</f>
        <v/>
      </c>
      <c r="CX116" s="2" t="str">
        <f aca="false">IF(V116="x","x",IF(V116="-","-",""))</f>
        <v/>
      </c>
      <c r="CY116" s="2" t="str">
        <f aca="false">IF(W116="x","x",IF(W116="-","-",""))</f>
        <v/>
      </c>
      <c r="DE116" s="2" t="str">
        <f aca="false">IF(Y116="x","x",IF(Y116="-","-",""))</f>
        <v/>
      </c>
      <c r="DF116" s="2" t="str">
        <f aca="false">IF(Z116="x","x",IF(Z116="-","-",""))</f>
        <v/>
      </c>
      <c r="DG116" s="2" t="str">
        <f aca="false">IF(AA116="x","x",IF(AA116="-","-",""))</f>
        <v/>
      </c>
      <c r="DH116" s="2" t="str">
        <f aca="false">IF(AB116="x","x",IF(AB116="-","-",""))</f>
        <v/>
      </c>
      <c r="DI116" s="2" t="str">
        <f aca="false">IF(AC116="x","x",IF(AC116="-","-",""))</f>
        <v/>
      </c>
      <c r="DJ116" s="2" t="str">
        <f aca="false">IF(AD116="x","x",IF(AD116="-","-",""))</f>
        <v/>
      </c>
      <c r="DK116" s="2" t="str">
        <f aca="false">IF(AE116="x","x",IF(AE116="-","-",""))</f>
        <v/>
      </c>
      <c r="DL116" s="2" t="str">
        <f aca="false">IF(AF116="x","x",IF(AF116="-","-",""))</f>
        <v/>
      </c>
    </row>
    <row r="117" customFormat="false" ht="13.8" hidden="false" customHeight="false" outlineLevel="0" collapsed="false"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CR117" s="2" t="str">
        <f aca="false">IF(P117="x","x",IF(P117="-","-",""))</f>
        <v/>
      </c>
      <c r="CS117" s="2" t="str">
        <f aca="false">IF(Q117="x","x",IF(Q117="-","-",""))</f>
        <v/>
      </c>
      <c r="CT117" s="2" t="str">
        <f aca="false">IF(R117="x","x",IF(R117="-","-",""))</f>
        <v/>
      </c>
      <c r="CU117" s="2" t="str">
        <f aca="false">IF(S117="x","x",IF(S117="-","-",""))</f>
        <v/>
      </c>
      <c r="CV117" s="2" t="str">
        <f aca="false">IF(T117="x","x",IF(T117="-","-",""))</f>
        <v/>
      </c>
      <c r="CW117" s="2" t="str">
        <f aca="false">IF(U117="x","x",IF(U117="-","-",""))</f>
        <v/>
      </c>
      <c r="CX117" s="2" t="str">
        <f aca="false">IF(V117="x","x",IF(V117="-","-",""))</f>
        <v/>
      </c>
      <c r="CY117" s="2" t="str">
        <f aca="false">IF(W117="x","x",IF(W117="-","-",""))</f>
        <v/>
      </c>
      <c r="DE117" s="2" t="str">
        <f aca="false">IF(Y117="x","x",IF(Y117="-","-",""))</f>
        <v/>
      </c>
      <c r="DF117" s="2" t="str">
        <f aca="false">IF(Z117="x","x",IF(Z117="-","-",""))</f>
        <v/>
      </c>
      <c r="DG117" s="2" t="str">
        <f aca="false">IF(AA117="x","x",IF(AA117="-","-",""))</f>
        <v/>
      </c>
      <c r="DH117" s="2" t="str">
        <f aca="false">IF(AB117="x","x",IF(AB117="-","-",""))</f>
        <v/>
      </c>
      <c r="DI117" s="2" t="str">
        <f aca="false">IF(AC117="x","x",IF(AC117="-","-",""))</f>
        <v/>
      </c>
      <c r="DJ117" s="2" t="str">
        <f aca="false">IF(AD117="x","x",IF(AD117="-","-",""))</f>
        <v/>
      </c>
      <c r="DK117" s="2" t="str">
        <f aca="false">IF(AE117="x","x",IF(AE117="-","-",""))</f>
        <v/>
      </c>
      <c r="DL117" s="2" t="str">
        <f aca="false">IF(AF117="x","x",IF(AF117="-","-",""))</f>
        <v/>
      </c>
    </row>
    <row r="118" customFormat="false" ht="13.8" hidden="false" customHeight="false" outlineLevel="0" collapsed="false"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CR118" s="2" t="str">
        <f aca="false">IF(P118="x","x",IF(P118="-","-",""))</f>
        <v/>
      </c>
      <c r="CS118" s="2" t="str">
        <f aca="false">IF(Q118="x","x",IF(Q118="-","-",""))</f>
        <v/>
      </c>
      <c r="CT118" s="2" t="str">
        <f aca="false">IF(R118="x","x",IF(R118="-","-",""))</f>
        <v/>
      </c>
      <c r="CU118" s="2" t="str">
        <f aca="false">IF(S118="x","x",IF(S118="-","-",""))</f>
        <v/>
      </c>
      <c r="CV118" s="2" t="str">
        <f aca="false">IF(T118="x","x",IF(T118="-","-",""))</f>
        <v/>
      </c>
      <c r="CW118" s="2" t="str">
        <f aca="false">IF(U118="x","x",IF(U118="-","-",""))</f>
        <v/>
      </c>
      <c r="CX118" s="2" t="str">
        <f aca="false">IF(V118="x","x",IF(V118="-","-",""))</f>
        <v/>
      </c>
      <c r="CY118" s="2" t="str">
        <f aca="false">IF(W118="x","x",IF(W118="-","-",""))</f>
        <v/>
      </c>
      <c r="DE118" s="2" t="str">
        <f aca="false">IF(Y118="x","x",IF(Y118="-","-",""))</f>
        <v/>
      </c>
      <c r="DF118" s="2" t="str">
        <f aca="false">IF(Z118="x","x",IF(Z118="-","-",""))</f>
        <v/>
      </c>
      <c r="DG118" s="2" t="str">
        <f aca="false">IF(AA118="x","x",IF(AA118="-","-",""))</f>
        <v/>
      </c>
      <c r="DH118" s="2" t="str">
        <f aca="false">IF(AB118="x","x",IF(AB118="-","-",""))</f>
        <v/>
      </c>
      <c r="DI118" s="2" t="str">
        <f aca="false">IF(AC118="x","x",IF(AC118="-","-",""))</f>
        <v/>
      </c>
      <c r="DJ118" s="2" t="str">
        <f aca="false">IF(AD118="x","x",IF(AD118="-","-",""))</f>
        <v/>
      </c>
      <c r="DK118" s="2" t="str">
        <f aca="false">IF(AE118="x","x",IF(AE118="-","-",""))</f>
        <v/>
      </c>
      <c r="DL118" s="2" t="str">
        <f aca="false">IF(AF118="x","x",IF(AF118="-","-",""))</f>
        <v/>
      </c>
    </row>
    <row r="119" customFormat="false" ht="13.8" hidden="false" customHeight="false" outlineLevel="0" collapsed="false"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CR119" s="2" t="str">
        <f aca="false">IF(P119="x","x",IF(P119="-","-",""))</f>
        <v/>
      </c>
      <c r="CS119" s="2" t="str">
        <f aca="false">IF(Q119="x","x",IF(Q119="-","-",""))</f>
        <v/>
      </c>
      <c r="CT119" s="2" t="str">
        <f aca="false">IF(R119="x","x",IF(R119="-","-",""))</f>
        <v/>
      </c>
      <c r="CU119" s="2" t="str">
        <f aca="false">IF(S119="x","x",IF(S119="-","-",""))</f>
        <v/>
      </c>
      <c r="CV119" s="2" t="str">
        <f aca="false">IF(T119="x","x",IF(T119="-","-",""))</f>
        <v/>
      </c>
      <c r="CW119" s="2" t="str">
        <f aca="false">IF(U119="x","x",IF(U119="-","-",""))</f>
        <v/>
      </c>
      <c r="CX119" s="2" t="str">
        <f aca="false">IF(V119="x","x",IF(V119="-","-",""))</f>
        <v/>
      </c>
      <c r="CY119" s="2" t="str">
        <f aca="false">IF(W119="x","x",IF(W119="-","-",""))</f>
        <v/>
      </c>
      <c r="DE119" s="2" t="str">
        <f aca="false">IF(Y119="x","x",IF(Y119="-","-",""))</f>
        <v/>
      </c>
      <c r="DF119" s="2" t="str">
        <f aca="false">IF(Z119="x","x",IF(Z119="-","-",""))</f>
        <v/>
      </c>
      <c r="DG119" s="2" t="str">
        <f aca="false">IF(AA119="x","x",IF(AA119="-","-",""))</f>
        <v/>
      </c>
      <c r="DH119" s="2" t="str">
        <f aca="false">IF(AB119="x","x",IF(AB119="-","-",""))</f>
        <v/>
      </c>
      <c r="DI119" s="2" t="str">
        <f aca="false">IF(AC119="x","x",IF(AC119="-","-",""))</f>
        <v/>
      </c>
      <c r="DJ119" s="2" t="str">
        <f aca="false">IF(AD119="x","x",IF(AD119="-","-",""))</f>
        <v/>
      </c>
      <c r="DK119" s="2" t="str">
        <f aca="false">IF(AE119="x","x",IF(AE119="-","-",""))</f>
        <v/>
      </c>
      <c r="DL119" s="2" t="str">
        <f aca="false">IF(AF119="x","x",IF(AF119="-","-",""))</f>
        <v/>
      </c>
    </row>
    <row r="120" customFormat="false" ht="13.8" hidden="false" customHeight="false" outlineLevel="0" collapsed="false"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CR120" s="2" t="str">
        <f aca="false">IF(P120="x","x",IF(P120="-","-",""))</f>
        <v/>
      </c>
      <c r="CS120" s="2" t="str">
        <f aca="false">IF(Q120="x","x",IF(Q120="-","-",""))</f>
        <v/>
      </c>
      <c r="CT120" s="2" t="str">
        <f aca="false">IF(R120="x","x",IF(R120="-","-",""))</f>
        <v/>
      </c>
      <c r="CU120" s="2" t="str">
        <f aca="false">IF(S120="x","x",IF(S120="-","-",""))</f>
        <v/>
      </c>
      <c r="CV120" s="2" t="str">
        <f aca="false">IF(T120="x","x",IF(T120="-","-",""))</f>
        <v/>
      </c>
      <c r="CW120" s="2" t="str">
        <f aca="false">IF(U120="x","x",IF(U120="-","-",""))</f>
        <v/>
      </c>
      <c r="CX120" s="2" t="str">
        <f aca="false">IF(V120="x","x",IF(V120="-","-",""))</f>
        <v/>
      </c>
      <c r="CY120" s="2" t="str">
        <f aca="false">IF(W120="x","x",IF(W120="-","-",""))</f>
        <v/>
      </c>
      <c r="DE120" s="2" t="str">
        <f aca="false">IF(Y120="x","x",IF(Y120="-","-",""))</f>
        <v/>
      </c>
      <c r="DF120" s="2" t="str">
        <f aca="false">IF(Z120="x","x",IF(Z120="-","-",""))</f>
        <v/>
      </c>
      <c r="DG120" s="2" t="str">
        <f aca="false">IF(AA120="x","x",IF(AA120="-","-",""))</f>
        <v/>
      </c>
      <c r="DH120" s="2" t="str">
        <f aca="false">IF(AB120="x","x",IF(AB120="-","-",""))</f>
        <v/>
      </c>
      <c r="DI120" s="2" t="str">
        <f aca="false">IF(AC120="x","x",IF(AC120="-","-",""))</f>
        <v/>
      </c>
      <c r="DJ120" s="2" t="str">
        <f aca="false">IF(AD120="x","x",IF(AD120="-","-",""))</f>
        <v/>
      </c>
      <c r="DK120" s="2" t="str">
        <f aca="false">IF(AE120="x","x",IF(AE120="-","-",""))</f>
        <v/>
      </c>
      <c r="DL120" s="2" t="str">
        <f aca="false">IF(AF120="x","x",IF(AF120="-","-",""))</f>
        <v/>
      </c>
    </row>
    <row r="121" customFormat="false" ht="13.8" hidden="false" customHeight="false" outlineLevel="0" collapsed="false"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CR121" s="2" t="str">
        <f aca="false">IF(P121="x","x",IF(P121="-","-",""))</f>
        <v/>
      </c>
      <c r="CS121" s="2" t="str">
        <f aca="false">IF(Q121="x","x",IF(Q121="-","-",""))</f>
        <v/>
      </c>
      <c r="CT121" s="2" t="str">
        <f aca="false">IF(R121="x","x",IF(R121="-","-",""))</f>
        <v/>
      </c>
      <c r="CU121" s="2" t="str">
        <f aca="false">IF(S121="x","x",IF(S121="-","-",""))</f>
        <v/>
      </c>
      <c r="CV121" s="2" t="str">
        <f aca="false">IF(T121="x","x",IF(T121="-","-",""))</f>
        <v/>
      </c>
      <c r="CW121" s="2" t="str">
        <f aca="false">IF(U121="x","x",IF(U121="-","-",""))</f>
        <v/>
      </c>
      <c r="CX121" s="2" t="str">
        <f aca="false">IF(V121="x","x",IF(V121="-","-",""))</f>
        <v/>
      </c>
      <c r="CY121" s="2" t="str">
        <f aca="false">IF(W121="x","x",IF(W121="-","-",""))</f>
        <v/>
      </c>
      <c r="DE121" s="2" t="str">
        <f aca="false">IF(Y121="x","x",IF(Y121="-","-",""))</f>
        <v/>
      </c>
      <c r="DF121" s="2" t="str">
        <f aca="false">IF(Z121="x","x",IF(Z121="-","-",""))</f>
        <v/>
      </c>
      <c r="DG121" s="2" t="str">
        <f aca="false">IF(AA121="x","x",IF(AA121="-","-",""))</f>
        <v/>
      </c>
      <c r="DH121" s="2" t="str">
        <f aca="false">IF(AB121="x","x",IF(AB121="-","-",""))</f>
        <v/>
      </c>
      <c r="DI121" s="2" t="str">
        <f aca="false">IF(AC121="x","x",IF(AC121="-","-",""))</f>
        <v/>
      </c>
      <c r="DJ121" s="2" t="str">
        <f aca="false">IF(AD121="x","x",IF(AD121="-","-",""))</f>
        <v/>
      </c>
      <c r="DK121" s="2" t="str">
        <f aca="false">IF(AE121="x","x",IF(AE121="-","-",""))</f>
        <v/>
      </c>
      <c r="DL121" s="2" t="str">
        <f aca="false">IF(AF121="x","x",IF(AF121="-","-",""))</f>
        <v/>
      </c>
    </row>
    <row r="122" customFormat="false" ht="13.8" hidden="false" customHeight="false" outlineLevel="0" collapsed="false"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CR122" s="2" t="str">
        <f aca="false">IF(P122="x","x",IF(P122="-","-",""))</f>
        <v/>
      </c>
      <c r="CS122" s="2" t="str">
        <f aca="false">IF(Q122="x","x",IF(Q122="-","-",""))</f>
        <v/>
      </c>
      <c r="CT122" s="2" t="str">
        <f aca="false">IF(R122="x","x",IF(R122="-","-",""))</f>
        <v/>
      </c>
      <c r="CU122" s="2" t="str">
        <f aca="false">IF(S122="x","x",IF(S122="-","-",""))</f>
        <v/>
      </c>
      <c r="CV122" s="2" t="str">
        <f aca="false">IF(T122="x","x",IF(T122="-","-",""))</f>
        <v/>
      </c>
      <c r="CW122" s="2" t="str">
        <f aca="false">IF(U122="x","x",IF(U122="-","-",""))</f>
        <v/>
      </c>
      <c r="CX122" s="2" t="str">
        <f aca="false">IF(V122="x","x",IF(V122="-","-",""))</f>
        <v/>
      </c>
      <c r="CY122" s="2" t="str">
        <f aca="false">IF(W122="x","x",IF(W122="-","-",""))</f>
        <v/>
      </c>
      <c r="DE122" s="2" t="str">
        <f aca="false">IF(Y122="x","x",IF(Y122="-","-",""))</f>
        <v/>
      </c>
      <c r="DF122" s="2" t="str">
        <f aca="false">IF(Z122="x","x",IF(Z122="-","-",""))</f>
        <v/>
      </c>
      <c r="DG122" s="2" t="str">
        <f aca="false">IF(AA122="x","x",IF(AA122="-","-",""))</f>
        <v/>
      </c>
      <c r="DH122" s="2" t="str">
        <f aca="false">IF(AB122="x","x",IF(AB122="-","-",""))</f>
        <v/>
      </c>
      <c r="DI122" s="2" t="str">
        <f aca="false">IF(AC122="x","x",IF(AC122="-","-",""))</f>
        <v/>
      </c>
      <c r="DJ122" s="2" t="str">
        <f aca="false">IF(AD122="x","x",IF(AD122="-","-",""))</f>
        <v/>
      </c>
      <c r="DK122" s="2" t="str">
        <f aca="false">IF(AE122="x","x",IF(AE122="-","-",""))</f>
        <v/>
      </c>
      <c r="DL122" s="2" t="str">
        <f aca="false">IF(AF122="x","x",IF(AF122="-","-",""))</f>
        <v/>
      </c>
    </row>
    <row r="123" customFormat="false" ht="13.8" hidden="false" customHeight="false" outlineLevel="0" collapsed="false"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CR123" s="2" t="str">
        <f aca="false">IF(P123="x","x",IF(P123="-","-",""))</f>
        <v/>
      </c>
      <c r="CS123" s="2" t="str">
        <f aca="false">IF(Q123="x","x",IF(Q123="-","-",""))</f>
        <v/>
      </c>
      <c r="CT123" s="2" t="str">
        <f aca="false">IF(R123="x","x",IF(R123="-","-",""))</f>
        <v/>
      </c>
      <c r="CU123" s="2" t="str">
        <f aca="false">IF(S123="x","x",IF(S123="-","-",""))</f>
        <v/>
      </c>
      <c r="CV123" s="2" t="str">
        <f aca="false">IF(T123="x","x",IF(T123="-","-",""))</f>
        <v/>
      </c>
      <c r="CW123" s="2" t="str">
        <f aca="false">IF(U123="x","x",IF(U123="-","-",""))</f>
        <v/>
      </c>
      <c r="CX123" s="2" t="str">
        <f aca="false">IF(V123="x","x",IF(V123="-","-",""))</f>
        <v/>
      </c>
      <c r="CY123" s="2" t="str">
        <f aca="false">IF(W123="x","x",IF(W123="-","-",""))</f>
        <v/>
      </c>
      <c r="DE123" s="2" t="str">
        <f aca="false">IF(Y123="x","x",IF(Y123="-","-",""))</f>
        <v/>
      </c>
      <c r="DF123" s="2" t="str">
        <f aca="false">IF(Z123="x","x",IF(Z123="-","-",""))</f>
        <v/>
      </c>
      <c r="DG123" s="2" t="str">
        <f aca="false">IF(AA123="x","x",IF(AA123="-","-",""))</f>
        <v/>
      </c>
      <c r="DH123" s="2" t="str">
        <f aca="false">IF(AB123="x","x",IF(AB123="-","-",""))</f>
        <v/>
      </c>
      <c r="DI123" s="2" t="str">
        <f aca="false">IF(AC123="x","x",IF(AC123="-","-",""))</f>
        <v/>
      </c>
      <c r="DJ123" s="2" t="str">
        <f aca="false">IF(AD123="x","x",IF(AD123="-","-",""))</f>
        <v/>
      </c>
      <c r="DK123" s="2" t="str">
        <f aca="false">IF(AE123="x","x",IF(AE123="-","-",""))</f>
        <v/>
      </c>
      <c r="DL123" s="2" t="str">
        <f aca="false">IF(AF123="x","x",IF(AF123="-","-",""))</f>
        <v/>
      </c>
    </row>
    <row r="124" customFormat="false" ht="13.8" hidden="false" customHeight="false" outlineLevel="0" collapsed="false"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CR124" s="2" t="str">
        <f aca="false">IF(P124="x","x",IF(P124="-","-",""))</f>
        <v/>
      </c>
      <c r="CS124" s="2" t="str">
        <f aca="false">IF(Q124="x","x",IF(Q124="-","-",""))</f>
        <v/>
      </c>
      <c r="CT124" s="2" t="str">
        <f aca="false">IF(R124="x","x",IF(R124="-","-",""))</f>
        <v/>
      </c>
      <c r="CU124" s="2" t="str">
        <f aca="false">IF(S124="x","x",IF(S124="-","-",""))</f>
        <v/>
      </c>
      <c r="CV124" s="2" t="str">
        <f aca="false">IF(T124="x","x",IF(T124="-","-",""))</f>
        <v/>
      </c>
      <c r="CW124" s="2" t="str">
        <f aca="false">IF(U124="x","x",IF(U124="-","-",""))</f>
        <v/>
      </c>
      <c r="CX124" s="2" t="str">
        <f aca="false">IF(V124="x","x",IF(V124="-","-",""))</f>
        <v/>
      </c>
      <c r="CY124" s="2" t="str">
        <f aca="false">IF(W124="x","x",IF(W124="-","-",""))</f>
        <v/>
      </c>
      <c r="DE124" s="2" t="str">
        <f aca="false">IF(Y124="x","x",IF(Y124="-","-",""))</f>
        <v/>
      </c>
      <c r="DF124" s="2" t="str">
        <f aca="false">IF(Z124="x","x",IF(Z124="-","-",""))</f>
        <v/>
      </c>
      <c r="DG124" s="2" t="str">
        <f aca="false">IF(AA124="x","x",IF(AA124="-","-",""))</f>
        <v/>
      </c>
      <c r="DH124" s="2" t="str">
        <f aca="false">IF(AB124="x","x",IF(AB124="-","-",""))</f>
        <v/>
      </c>
      <c r="DI124" s="2" t="str">
        <f aca="false">IF(AC124="x","x",IF(AC124="-","-",""))</f>
        <v/>
      </c>
      <c r="DJ124" s="2" t="str">
        <f aca="false">IF(AD124="x","x",IF(AD124="-","-",""))</f>
        <v/>
      </c>
      <c r="DK124" s="2" t="str">
        <f aca="false">IF(AE124="x","x",IF(AE124="-","-",""))</f>
        <v/>
      </c>
      <c r="DL124" s="2" t="str">
        <f aca="false">IF(AF124="x","x",IF(AF124="-","-",""))</f>
        <v/>
      </c>
    </row>
    <row r="125" customFormat="false" ht="13.8" hidden="false" customHeight="false" outlineLevel="0" collapsed="false"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CR125" s="2" t="str">
        <f aca="false">IF(P125="x","x",IF(P125="-","-",""))</f>
        <v/>
      </c>
      <c r="CS125" s="2" t="str">
        <f aca="false">IF(Q125="x","x",IF(Q125="-","-",""))</f>
        <v/>
      </c>
      <c r="CT125" s="2" t="str">
        <f aca="false">IF(R125="x","x",IF(R125="-","-",""))</f>
        <v/>
      </c>
      <c r="CU125" s="2" t="str">
        <f aca="false">IF(S125="x","x",IF(S125="-","-",""))</f>
        <v/>
      </c>
      <c r="CV125" s="2" t="str">
        <f aca="false">IF(T125="x","x",IF(T125="-","-",""))</f>
        <v/>
      </c>
      <c r="CW125" s="2" t="str">
        <f aca="false">IF(U125="x","x",IF(U125="-","-",""))</f>
        <v/>
      </c>
      <c r="CX125" s="2" t="str">
        <f aca="false">IF(V125="x","x",IF(V125="-","-",""))</f>
        <v/>
      </c>
      <c r="CY125" s="2" t="str">
        <f aca="false">IF(W125="x","x",IF(W125="-","-",""))</f>
        <v/>
      </c>
      <c r="DE125" s="2" t="str">
        <f aca="false">IF(Y125="x","x",IF(Y125="-","-",""))</f>
        <v/>
      </c>
      <c r="DF125" s="2" t="str">
        <f aca="false">IF(Z125="x","x",IF(Z125="-","-",""))</f>
        <v/>
      </c>
      <c r="DG125" s="2" t="str">
        <f aca="false">IF(AA125="x","x",IF(AA125="-","-",""))</f>
        <v/>
      </c>
      <c r="DH125" s="2" t="str">
        <f aca="false">IF(AB125="x","x",IF(AB125="-","-",""))</f>
        <v/>
      </c>
      <c r="DI125" s="2" t="str">
        <f aca="false">IF(AC125="x","x",IF(AC125="-","-",""))</f>
        <v/>
      </c>
      <c r="DJ125" s="2" t="str">
        <f aca="false">IF(AD125="x","x",IF(AD125="-","-",""))</f>
        <v/>
      </c>
      <c r="DK125" s="2" t="str">
        <f aca="false">IF(AE125="x","x",IF(AE125="-","-",""))</f>
        <v/>
      </c>
      <c r="DL125" s="2" t="str">
        <f aca="false">IF(AF125="x","x",IF(AF125="-","-",""))</f>
        <v/>
      </c>
    </row>
    <row r="126" customFormat="false" ht="13.8" hidden="false" customHeight="false" outlineLevel="0" collapsed="false"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CR126" s="2" t="str">
        <f aca="false">IF(P126="x","x",IF(P126="-","-",""))</f>
        <v/>
      </c>
      <c r="CS126" s="2" t="str">
        <f aca="false">IF(Q126="x","x",IF(Q126="-","-",""))</f>
        <v/>
      </c>
      <c r="CT126" s="2" t="str">
        <f aca="false">IF(R126="x","x",IF(R126="-","-",""))</f>
        <v/>
      </c>
      <c r="CU126" s="2" t="str">
        <f aca="false">IF(S126="x","x",IF(S126="-","-",""))</f>
        <v/>
      </c>
      <c r="CV126" s="2" t="str">
        <f aca="false">IF(T126="x","x",IF(T126="-","-",""))</f>
        <v/>
      </c>
      <c r="CW126" s="2" t="str">
        <f aca="false">IF(U126="x","x",IF(U126="-","-",""))</f>
        <v/>
      </c>
      <c r="CX126" s="2" t="str">
        <f aca="false">IF(V126="x","x",IF(V126="-","-",""))</f>
        <v/>
      </c>
      <c r="CY126" s="2" t="str">
        <f aca="false">IF(W126="x","x",IF(W126="-","-",""))</f>
        <v/>
      </c>
      <c r="DE126" s="2" t="str">
        <f aca="false">IF(Y126="x","x",IF(Y126="-","-",""))</f>
        <v/>
      </c>
      <c r="DF126" s="2" t="str">
        <f aca="false">IF(Z126="x","x",IF(Z126="-","-",""))</f>
        <v/>
      </c>
      <c r="DG126" s="2" t="str">
        <f aca="false">IF(AA126="x","x",IF(AA126="-","-",""))</f>
        <v/>
      </c>
      <c r="DH126" s="2" t="str">
        <f aca="false">IF(AB126="x","x",IF(AB126="-","-",""))</f>
        <v/>
      </c>
      <c r="DI126" s="2" t="str">
        <f aca="false">IF(AC126="x","x",IF(AC126="-","-",""))</f>
        <v/>
      </c>
      <c r="DJ126" s="2" t="str">
        <f aca="false">IF(AD126="x","x",IF(AD126="-","-",""))</f>
        <v/>
      </c>
      <c r="DK126" s="2" t="str">
        <f aca="false">IF(AE126="x","x",IF(AE126="-","-",""))</f>
        <v/>
      </c>
      <c r="DL126" s="2" t="str">
        <f aca="false">IF(AF126="x","x",IF(AF126="-","-",""))</f>
        <v/>
      </c>
    </row>
    <row r="127" customFormat="false" ht="13.8" hidden="false" customHeight="false" outlineLevel="0" collapsed="false"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CR127" s="2" t="str">
        <f aca="false">IF(P127="x","x",IF(P127="-","-",""))</f>
        <v/>
      </c>
      <c r="CS127" s="2" t="str">
        <f aca="false">IF(Q127="x","x",IF(Q127="-","-",""))</f>
        <v/>
      </c>
      <c r="CT127" s="2" t="str">
        <f aca="false">IF(R127="x","x",IF(R127="-","-",""))</f>
        <v/>
      </c>
      <c r="CU127" s="2" t="str">
        <f aca="false">IF(S127="x","x",IF(S127="-","-",""))</f>
        <v/>
      </c>
      <c r="CV127" s="2" t="str">
        <f aca="false">IF(T127="x","x",IF(T127="-","-",""))</f>
        <v/>
      </c>
      <c r="CW127" s="2" t="str">
        <f aca="false">IF(U127="x","x",IF(U127="-","-",""))</f>
        <v/>
      </c>
      <c r="CX127" s="2" t="str">
        <f aca="false">IF(V127="x","x",IF(V127="-","-",""))</f>
        <v/>
      </c>
      <c r="CY127" s="2" t="str">
        <f aca="false">IF(W127="x","x",IF(W127="-","-",""))</f>
        <v/>
      </c>
      <c r="DE127" s="2" t="str">
        <f aca="false">IF(Y127="x","x",IF(Y127="-","-",""))</f>
        <v/>
      </c>
      <c r="DF127" s="2" t="str">
        <f aca="false">IF(Z127="x","x",IF(Z127="-","-",""))</f>
        <v/>
      </c>
      <c r="DG127" s="2" t="str">
        <f aca="false">IF(AA127="x","x",IF(AA127="-","-",""))</f>
        <v/>
      </c>
      <c r="DH127" s="2" t="str">
        <f aca="false">IF(AB127="x","x",IF(AB127="-","-",""))</f>
        <v/>
      </c>
      <c r="DI127" s="2" t="str">
        <f aca="false">IF(AC127="x","x",IF(AC127="-","-",""))</f>
        <v/>
      </c>
      <c r="DJ127" s="2" t="str">
        <f aca="false">IF(AD127="x","x",IF(AD127="-","-",""))</f>
        <v/>
      </c>
      <c r="DK127" s="2" t="str">
        <f aca="false">IF(AE127="x","x",IF(AE127="-","-",""))</f>
        <v/>
      </c>
      <c r="DL127" s="2" t="str">
        <f aca="false">IF(AF127="x","x",IF(AF127="-","-",""))</f>
        <v/>
      </c>
    </row>
    <row r="128" customFormat="false" ht="13.8" hidden="false" customHeight="false" outlineLevel="0" collapsed="false"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CR128" s="2" t="str">
        <f aca="false">IF(P128="x","x",IF(P128="-","-",""))</f>
        <v/>
      </c>
      <c r="CS128" s="2" t="str">
        <f aca="false">IF(Q128="x","x",IF(Q128="-","-",""))</f>
        <v/>
      </c>
      <c r="CT128" s="2" t="str">
        <f aca="false">IF(R128="x","x",IF(R128="-","-",""))</f>
        <v/>
      </c>
      <c r="CU128" s="2" t="str">
        <f aca="false">IF(S128="x","x",IF(S128="-","-",""))</f>
        <v/>
      </c>
      <c r="CV128" s="2" t="str">
        <f aca="false">IF(T128="x","x",IF(T128="-","-",""))</f>
        <v/>
      </c>
      <c r="CW128" s="2" t="str">
        <f aca="false">IF(U128="x","x",IF(U128="-","-",""))</f>
        <v/>
      </c>
      <c r="CX128" s="2" t="str">
        <f aca="false">IF(V128="x","x",IF(V128="-","-",""))</f>
        <v/>
      </c>
      <c r="CY128" s="2" t="str">
        <f aca="false">IF(W128="x","x",IF(W128="-","-",""))</f>
        <v/>
      </c>
      <c r="DE128" s="2" t="str">
        <f aca="false">IF(Y128="x","x",IF(Y128="-","-",""))</f>
        <v/>
      </c>
      <c r="DF128" s="2" t="str">
        <f aca="false">IF(Z128="x","x",IF(Z128="-","-",""))</f>
        <v/>
      </c>
      <c r="DG128" s="2" t="str">
        <f aca="false">IF(AA128="x","x",IF(AA128="-","-",""))</f>
        <v/>
      </c>
      <c r="DH128" s="2" t="str">
        <f aca="false">IF(AB128="x","x",IF(AB128="-","-",""))</f>
        <v/>
      </c>
      <c r="DI128" s="2" t="str">
        <f aca="false">IF(AC128="x","x",IF(AC128="-","-",""))</f>
        <v/>
      </c>
      <c r="DJ128" s="2" t="str">
        <f aca="false">IF(AD128="x","x",IF(AD128="-","-",""))</f>
        <v/>
      </c>
      <c r="DK128" s="2" t="str">
        <f aca="false">IF(AE128="x","x",IF(AE128="-","-",""))</f>
        <v/>
      </c>
      <c r="DL128" s="2" t="str">
        <f aca="false">IF(AF128="x","x",IF(AF128="-","-",""))</f>
        <v/>
      </c>
    </row>
    <row r="129" customFormat="false" ht="13.8" hidden="false" customHeight="false" outlineLevel="0" collapsed="false"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CR129" s="2" t="str">
        <f aca="false">IF(P129="x","x",IF(P129="-","-",""))</f>
        <v/>
      </c>
      <c r="CS129" s="2" t="str">
        <f aca="false">IF(Q129="x","x",IF(Q129="-","-",""))</f>
        <v/>
      </c>
      <c r="CT129" s="2" t="str">
        <f aca="false">IF(R129="x","x",IF(R129="-","-",""))</f>
        <v/>
      </c>
      <c r="CU129" s="2" t="str">
        <f aca="false">IF(S129="x","x",IF(S129="-","-",""))</f>
        <v/>
      </c>
      <c r="CV129" s="2" t="str">
        <f aca="false">IF(T129="x","x",IF(T129="-","-",""))</f>
        <v/>
      </c>
      <c r="CW129" s="2" t="str">
        <f aca="false">IF(U129="x","x",IF(U129="-","-",""))</f>
        <v/>
      </c>
      <c r="CX129" s="2" t="str">
        <f aca="false">IF(V129="x","x",IF(V129="-","-",""))</f>
        <v/>
      </c>
      <c r="CY129" s="2" t="str">
        <f aca="false">IF(W129="x","x",IF(W129="-","-",""))</f>
        <v/>
      </c>
      <c r="DE129" s="2" t="str">
        <f aca="false">IF(Y129="x","x",IF(Y129="-","-",""))</f>
        <v/>
      </c>
      <c r="DF129" s="2" t="str">
        <f aca="false">IF(Z129="x","x",IF(Z129="-","-",""))</f>
        <v/>
      </c>
      <c r="DG129" s="2" t="str">
        <f aca="false">IF(AA129="x","x",IF(AA129="-","-",""))</f>
        <v/>
      </c>
      <c r="DH129" s="2" t="str">
        <f aca="false">IF(AB129="x","x",IF(AB129="-","-",""))</f>
        <v/>
      </c>
      <c r="DI129" s="2" t="str">
        <f aca="false">IF(AC129="x","x",IF(AC129="-","-",""))</f>
        <v/>
      </c>
      <c r="DJ129" s="2" t="str">
        <f aca="false">IF(AD129="x","x",IF(AD129="-","-",""))</f>
        <v/>
      </c>
      <c r="DK129" s="2" t="str">
        <f aca="false">IF(AE129="x","x",IF(AE129="-","-",""))</f>
        <v/>
      </c>
      <c r="DL129" s="2" t="str">
        <f aca="false">IF(AF129="x","x",IF(AF129="-","-",""))</f>
        <v/>
      </c>
    </row>
    <row r="130" customFormat="false" ht="13.8" hidden="false" customHeight="false" outlineLevel="0" collapsed="false"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</row>
    <row r="131" customFormat="false" ht="13.8" hidden="false" customHeight="false" outlineLevel="0" collapsed="false"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</row>
    <row r="132" customFormat="false" ht="13.8" hidden="false" customHeight="false" outlineLevel="0" collapsed="false"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</row>
    <row r="133" customFormat="false" ht="13.8" hidden="false" customHeight="false" outlineLevel="0" collapsed="false"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</row>
    <row r="134" customFormat="false" ht="13.8" hidden="false" customHeight="false" outlineLevel="0" collapsed="false"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</row>
    <row r="135" customFormat="false" ht="13.8" hidden="false" customHeight="false" outlineLevel="0" collapsed="false"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</row>
    <row r="136" customFormat="false" ht="13.8" hidden="false" customHeight="false" outlineLevel="0" collapsed="false"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</row>
    <row r="137" customFormat="false" ht="13.8" hidden="false" customHeight="false" outlineLevel="0" collapsed="false"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</row>
    <row r="138" customFormat="false" ht="13.8" hidden="false" customHeight="false" outlineLevel="0" collapsed="false"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</row>
    <row r="139" customFormat="false" ht="13.8" hidden="false" customHeight="false" outlineLevel="0" collapsed="false"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</row>
    <row r="140" customFormat="false" ht="13.8" hidden="false" customHeight="false" outlineLevel="0" collapsed="false"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</row>
    <row r="141" customFormat="false" ht="13.8" hidden="false" customHeight="false" outlineLevel="0" collapsed="false"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</row>
    <row r="142" customFormat="false" ht="13.8" hidden="false" customHeight="false" outlineLevel="0" collapsed="false"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</row>
    <row r="143" customFormat="false" ht="13.8" hidden="false" customHeight="false" outlineLevel="0" collapsed="false"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</row>
    <row r="144" customFormat="false" ht="13.8" hidden="false" customHeight="false" outlineLevel="0" collapsed="false"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</row>
    <row r="145" customFormat="false" ht="13.8" hidden="false" customHeight="false" outlineLevel="0" collapsed="false"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</row>
    <row r="146" customFormat="false" ht="13.8" hidden="false" customHeight="false" outlineLevel="0" collapsed="false"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</row>
    <row r="147" customFormat="false" ht="13.8" hidden="false" customHeight="false" outlineLevel="0" collapsed="false"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</row>
    <row r="148" customFormat="false" ht="13.8" hidden="false" customHeight="false" outlineLevel="0" collapsed="false"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</row>
    <row r="149" customFormat="false" ht="13.8" hidden="false" customHeight="false" outlineLevel="0" collapsed="false"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</row>
    <row r="150" customFormat="false" ht="13.8" hidden="false" customHeight="false" outlineLevel="0" collapsed="false"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</row>
    <row r="151" customFormat="false" ht="13.8" hidden="false" customHeight="false" outlineLevel="0" collapsed="false"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</row>
    <row r="152" customFormat="false" ht="13.8" hidden="false" customHeight="false" outlineLevel="0" collapsed="false"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</row>
    <row r="153" customFormat="false" ht="13.8" hidden="false" customHeight="false" outlineLevel="0" collapsed="false"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</row>
    <row r="154" customFormat="false" ht="13.8" hidden="false" customHeight="false" outlineLevel="0" collapsed="false"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</row>
    <row r="155" customFormat="false" ht="13.8" hidden="false" customHeight="true" outlineLevel="0" collapsed="false"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customFormat="false" ht="13.8" hidden="false" customHeight="true" outlineLevel="0" collapsed="false"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customFormat="false" ht="13.8" hidden="false" customHeight="true" outlineLevel="0" collapsed="false"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customFormat="false" ht="13.8" hidden="false" customHeight="true" outlineLevel="0" collapsed="false"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customFormat="false" ht="13.8" hidden="false" customHeight="true" outlineLevel="0" collapsed="false"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customFormat="false" ht="13.8" hidden="false" customHeight="true" outlineLevel="0" collapsed="false"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customFormat="false" ht="13.8" hidden="false" customHeight="true" outlineLevel="0" collapsed="false"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customFormat="false" ht="13.8" hidden="false" customHeight="true" outlineLevel="0" collapsed="false"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customFormat="false" ht="13.8" hidden="false" customHeight="true" outlineLevel="0" collapsed="false"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customFormat="false" ht="13.8" hidden="false" customHeight="true" outlineLevel="0" collapsed="false"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customFormat="false" ht="13.8" hidden="false" customHeight="true" outlineLevel="0" collapsed="false"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customFormat="false" ht="13.8" hidden="false" customHeight="true" outlineLevel="0" collapsed="false"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customFormat="false" ht="13.8" hidden="false" customHeight="true" outlineLevel="0" collapsed="false"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customFormat="false" ht="13.8" hidden="false" customHeight="true" outlineLevel="0" collapsed="false"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customFormat="false" ht="13.8" hidden="false" customHeight="true" outlineLevel="0" collapsed="false"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customFormat="false" ht="13.8" hidden="false" customHeight="true" outlineLevel="0" collapsed="false"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customFormat="false" ht="13.8" hidden="false" customHeight="true" outlineLevel="0" collapsed="false"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customFormat="false" ht="13.8" hidden="false" customHeight="true" outlineLevel="0" collapsed="false"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customFormat="false" ht="13.8" hidden="false" customHeight="true" outlineLevel="0" collapsed="false"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customFormat="false" ht="13.8" hidden="false" customHeight="true" outlineLevel="0" collapsed="false"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customFormat="false" ht="13.8" hidden="false" customHeight="true" outlineLevel="0" collapsed="false"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customFormat="false" ht="13.8" hidden="false" customHeight="true" outlineLevel="0" collapsed="false"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customFormat="false" ht="13.8" hidden="false" customHeight="true" outlineLevel="0" collapsed="false"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customFormat="false" ht="13.8" hidden="false" customHeight="true" outlineLevel="0" collapsed="false"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customFormat="false" ht="13.8" hidden="false" customHeight="true" outlineLevel="0" collapsed="false"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customFormat="false" ht="13.8" hidden="false" customHeight="true" outlineLevel="0" collapsed="false"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customFormat="false" ht="13.8" hidden="false" customHeight="true" outlineLevel="0" collapsed="false"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customFormat="false" ht="13.8" hidden="false" customHeight="true" outlineLevel="0" collapsed="false"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customFormat="false" ht="13.8" hidden="false" customHeight="true" outlineLevel="0" collapsed="false"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customFormat="false" ht="13.8" hidden="false" customHeight="true" outlineLevel="0" collapsed="false"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customFormat="false" ht="13.8" hidden="false" customHeight="true" outlineLevel="0" collapsed="false"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customFormat="false" ht="13.8" hidden="false" customHeight="true" outlineLevel="0" collapsed="false"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customFormat="false" ht="13.8" hidden="false" customHeight="true" outlineLevel="0" collapsed="false"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customFormat="false" ht="13.8" hidden="false" customHeight="true" outlineLevel="0" collapsed="false"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customFormat="false" ht="13.8" hidden="false" customHeight="true" outlineLevel="0" collapsed="false"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customFormat="false" ht="13.8" hidden="false" customHeight="true" outlineLevel="0" collapsed="false"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customFormat="false" ht="13.8" hidden="false" customHeight="true" outlineLevel="0" collapsed="false"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customFormat="false" ht="13.8" hidden="false" customHeight="true" outlineLevel="0" collapsed="false"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customFormat="false" ht="13.8" hidden="false" customHeight="true" outlineLevel="0" collapsed="false"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customFormat="false" ht="13.8" hidden="false" customHeight="true" outlineLevel="0" collapsed="false"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customFormat="false" ht="13.8" hidden="false" customHeight="true" outlineLevel="0" collapsed="false"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customFormat="false" ht="13.8" hidden="false" customHeight="true" outlineLevel="0" collapsed="false"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customFormat="false" ht="13.8" hidden="false" customHeight="true" outlineLevel="0" collapsed="false"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customFormat="false" ht="13.8" hidden="false" customHeight="true" outlineLevel="0" collapsed="false"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customFormat="false" ht="13.8" hidden="false" customHeight="true" outlineLevel="0" collapsed="false"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customFormat="false" ht="13.8" hidden="false" customHeight="true" outlineLevel="0" collapsed="false"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customFormat="false" ht="13.8" hidden="false" customHeight="true" outlineLevel="0" collapsed="false"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customFormat="false" ht="13.8" hidden="false" customHeight="true" outlineLevel="0" collapsed="false"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customFormat="false" ht="13.8" hidden="false" customHeight="true" outlineLevel="0" collapsed="false"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</sheetData>
  <conditionalFormatting sqref="AH4:AH1048576 AH1 G1:I1 H66:I1048576 G3:G13 G18:G1048576 H28:I28 D1:F1048576 A2:A65">
    <cfRule type="cellIs" priority="2" operator="equal" aboveAverage="0" equalAverage="0" bottom="0" percent="0" rank="0" text="" dxfId="0">
      <formula>"purple"</formula>
    </cfRule>
    <cfRule type="cellIs" priority="3" operator="equal" aboveAverage="0" equalAverage="0" bottom="0" percent="0" rank="0" text="" dxfId="1">
      <formula>"light blue"</formula>
    </cfRule>
    <cfRule type="cellIs" priority="4" operator="equal" aboveAverage="0" equalAverage="0" bottom="0" percent="0" rank="0" text="" dxfId="2">
      <formula>"green"</formula>
    </cfRule>
    <cfRule type="cellIs" priority="5" operator="equal" aboveAverage="0" equalAverage="0" bottom="0" percent="0" rank="0" text="" dxfId="3">
      <formula>"red"</formula>
    </cfRule>
    <cfRule type="cellIs" priority="6" operator="equal" aboveAverage="0" equalAverage="0" bottom="0" percent="0" rank="0" text="" dxfId="4">
      <formula>"black"</formula>
    </cfRule>
    <cfRule type="cellIs" priority="7" operator="equal" aboveAverage="0" equalAverage="0" bottom="0" percent="0" rank="0" text="" dxfId="5">
      <formula>"yellow"</formula>
    </cfRule>
    <cfRule type="cellIs" priority="8" operator="equal" aboveAverage="0" equalAverage="0" bottom="0" percent="0" rank="0" text="" dxfId="6">
      <formula>"blue"</formula>
    </cfRule>
  </conditionalFormatting>
  <dataValidations count="15">
    <dataValidation allowBlank="true" errorStyle="stop" operator="equal" showDropDown="false" showErrorMessage="true" showInputMessage="false" sqref="D2" type="list">
      <formula1>"-,blue,red,yellow,green,light blue,white,purple,black"</formula1>
      <formula2>0</formula2>
    </dataValidation>
    <dataValidation allowBlank="true" errorStyle="stop" operator="between" showDropDown="false" showErrorMessage="true" showInputMessage="false" sqref="M3 M5 M7 M9 M11 M13 M15 M17 M19 M21 M23 M25 M27 M29 M31 M33 M35 M37 M39 M41 M43 M45 M47 M49 M51 M53 M55 M57 M59 M61 M63 M65 M67:O67 M69:O69 M71:O71" type="decimal">
      <formula1>20</formula1>
      <formula2>2000</formula2>
    </dataValidation>
    <dataValidation allowBlank="true" errorStyle="stop" operator="equal" showDropDown="false" showErrorMessage="true" showInputMessage="false" sqref="J2:J65 L2:L65 N2:O65" type="list">
      <formula1>"-,yes,no"</formula1>
      <formula2>0</formula2>
    </dataValidation>
    <dataValidation allowBlank="false" errorStyle="stop" operator="between" showDropDown="false" showErrorMessage="true" showInputMessage="false" sqref="M2 M4 M6 M8 M10 M12 M14 M16 M18 M20 M22 M24 M26 M28 M30 M32 M34 M36 M38 M40 M42 M44 M46 M48 M50 M52 M54 M56 M58 M60 M62 M64 M66:O66 M68:O68 M70:O70" type="decimal">
      <formula1>20</formula1>
      <formula2>2000</formula2>
    </dataValidation>
    <dataValidation allowBlank="true" errorStyle="stop" operator="equal" showDropDown="false" showErrorMessage="true" showInputMessage="false" sqref="K2:K69" type="list">
      <formula1>"-,+10,+5,0,-5,-10,-15,-20,-25,-30,-35,-40,-45,-99"</formula1>
      <formula2>0</formula2>
    </dataValidation>
    <dataValidation allowBlank="true" errorStyle="stop" operator="equal" showDropDown="false" showErrorMessage="true" showInputMessage="false" sqref="AH2:AI65" type="list">
      <formula1>"yes,no"</formula1>
      <formula2>0</formula2>
    </dataValidation>
    <dataValidation allowBlank="true" errorStyle="stop" operator="equal" showDropDown="false" showErrorMessage="true" showInputMessage="false" sqref="D3:D65" type="list">
      <formula1>"-,blue,red,yellow,green,light blue,white,purple,black"</formula1>
      <formula2>0</formula2>
    </dataValidation>
    <dataValidation allowBlank="true" errorStyle="stop" operator="equal" showDropDown="false" showErrorMessage="true" showInputMessage="false" sqref="P2:W155 Y2:AF203 AK2:BH65 BJ2:BQ65 AU66:AU69 CR130:DD154 P156:W203" type="none">
      <formula1>0</formula1>
      <formula2>0</formula2>
    </dataValidation>
    <dataValidation allowBlank="true" errorStyle="stop" operator="equal" showDropDown="false" showErrorMessage="true" showInputMessage="false" sqref="F2:F65" type="none">
      <formula1>0</formula1>
      <formula2>0</formula2>
    </dataValidation>
    <dataValidation allowBlank="true" errorStyle="stop" operator="equal" showDropDown="false" showErrorMessage="true" showInputMessage="false" sqref="G2:G13 G15:G29 H28:I28 G30:G65" type="list">
      <formula1>"-,+5,+10,+15,+20,+25,+30,+35,+40,+45,+50,+55,+60,"</formula1>
      <formula2>0</formula2>
    </dataValidation>
    <dataValidation allowBlank="true" errorStyle="stop" operator="equal" showDropDown="false" showErrorMessage="true" showInputMessage="false" sqref="H2:H13 H15:H27 H29:H65" type="list">
      <formula1>"-,yes,no"</formula1>
      <formula2>0</formula2>
    </dataValidation>
    <dataValidation allowBlank="true" errorStyle="stop" operator="equal" showDropDown="false" showErrorMessage="true" showInputMessage="false" sqref="I2:I13 I15:I27 I29:I65" type="list">
      <formula1>"-,yes,no"</formula1>
      <formula2>0</formula2>
    </dataValidation>
    <dataValidation allowBlank="true" errorStyle="stop" operator="equal" showDropDown="false" showErrorMessage="true" showInputMessage="false" sqref="E2:E65" type="list">
      <formula1>"Unassigned,Surface,SLink,IO 1,IO 2,SigGen"</formula1>
      <formula2>0</formula2>
    </dataValidation>
    <dataValidation allowBlank="true" errorStyle="stop" operator="equal" showDropDown="false" showErrorMessage="true" showInputMessage="false" sqref="A2:A65" type="list">
      <formula1>"yes,no"</formula1>
      <formula2>0</formula2>
    </dataValidation>
    <dataValidation allowBlank="true" errorStyle="stop" operator="equal" showDropDown="false" showErrorMessage="true" showInputMessage="false" sqref="X2:X203" type="list">
      <formula1>"-,yes,no"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1.5703125" defaultRowHeight="15" customHeight="true" zeroHeight="false" outlineLevelRow="0" outlineLevelCol="0"/>
  <cols>
    <col collapsed="false" customWidth="true" hidden="false" outlineLevel="0" max="1" min="1" style="3" width="24"/>
    <col collapsed="false" customWidth="true" hidden="false" outlineLevel="0" max="2" min="2" style="2" width="14.14"/>
    <col collapsed="false" customWidth="true" hidden="false" outlineLevel="0" max="4" min="3" style="2" width="4.42"/>
    <col collapsed="false" customWidth="true" hidden="false" outlineLevel="0" max="5" min="5" style="2" width="3.75"/>
    <col collapsed="false" customWidth="true" hidden="false" outlineLevel="0" max="12" min="6" style="2" width="3.86"/>
    <col collapsed="false" customWidth="true" hidden="false" outlineLevel="0" max="16" min="13" style="2" width="3.57"/>
    <col collapsed="false" customWidth="true" hidden="false" outlineLevel="0" max="17" min="17" style="2" width="3.86"/>
    <col collapsed="false" customWidth="true" hidden="false" outlineLevel="0" max="19" min="18" style="3" width="3.86"/>
    <col collapsed="false" customWidth="true" hidden="false" outlineLevel="0" max="21" min="20" style="3" width="3.57"/>
    <col collapsed="false" customWidth="true" hidden="false" outlineLevel="0" max="22" min="22" style="3" width="13.83"/>
  </cols>
  <sheetData>
    <row r="1" customFormat="false" ht="73.5" hidden="false" customHeight="true" outlineLevel="0" collapsed="false">
      <c r="A1" s="13" t="s">
        <v>153</v>
      </c>
      <c r="B1" s="14" t="s">
        <v>154</v>
      </c>
      <c r="C1" s="15" t="s">
        <v>155</v>
      </c>
      <c r="D1" s="15" t="s">
        <v>156</v>
      </c>
      <c r="E1" s="15" t="s">
        <v>157</v>
      </c>
      <c r="F1" s="16"/>
      <c r="G1" s="17" t="s">
        <v>158</v>
      </c>
      <c r="H1" s="17" t="s">
        <v>159</v>
      </c>
      <c r="I1" s="17" t="s">
        <v>160</v>
      </c>
      <c r="J1" s="16"/>
      <c r="K1" s="18" t="s">
        <v>161</v>
      </c>
      <c r="L1" s="18" t="s">
        <v>162</v>
      </c>
      <c r="M1" s="18" t="s">
        <v>163</v>
      </c>
      <c r="N1" s="16"/>
      <c r="O1" s="19" t="s">
        <v>164</v>
      </c>
      <c r="P1" s="19" t="s">
        <v>165</v>
      </c>
      <c r="Q1" s="19" t="s">
        <v>166</v>
      </c>
    </row>
    <row r="2" customFormat="false" ht="15" hidden="false" customHeight="false" outlineLevel="0" collapsed="false">
      <c r="B2" s="2" t="n">
        <v>1</v>
      </c>
      <c r="C2" s="11" t="s">
        <v>73</v>
      </c>
      <c r="D2" s="11" t="s">
        <v>78</v>
      </c>
      <c r="E2" s="11" t="s">
        <v>78</v>
      </c>
      <c r="G2" s="11" t="s">
        <v>73</v>
      </c>
      <c r="H2" s="11" t="s">
        <v>78</v>
      </c>
      <c r="I2" s="11" t="s">
        <v>78</v>
      </c>
      <c r="K2" s="11" t="s">
        <v>73</v>
      </c>
      <c r="L2" s="11" t="s">
        <v>78</v>
      </c>
      <c r="M2" s="11" t="s">
        <v>78</v>
      </c>
      <c r="O2" s="11" t="s">
        <v>73</v>
      </c>
      <c r="P2" s="11" t="s">
        <v>78</v>
      </c>
      <c r="Q2" s="11" t="s">
        <v>78</v>
      </c>
    </row>
    <row r="3" customFormat="false" ht="15" hidden="false" customHeight="false" outlineLevel="0" collapsed="false">
      <c r="B3" s="2" t="n">
        <v>2</v>
      </c>
      <c r="C3" s="11" t="s">
        <v>77</v>
      </c>
      <c r="D3" s="11" t="s">
        <v>78</v>
      </c>
      <c r="E3" s="11" t="n">
        <v>5</v>
      </c>
      <c r="G3" s="11" t="s">
        <v>77</v>
      </c>
      <c r="H3" s="11" t="s">
        <v>78</v>
      </c>
      <c r="I3" s="11" t="n">
        <v>5</v>
      </c>
      <c r="K3" s="11" t="s">
        <v>77</v>
      </c>
      <c r="L3" s="11" t="s">
        <v>78</v>
      </c>
      <c r="M3" s="11" t="n">
        <v>5</v>
      </c>
      <c r="O3" s="11" t="s">
        <v>77</v>
      </c>
      <c r="P3" s="11" t="s">
        <v>78</v>
      </c>
      <c r="Q3" s="11" t="n">
        <v>5</v>
      </c>
    </row>
    <row r="4" customFormat="false" ht="15" hidden="false" customHeight="false" outlineLevel="0" collapsed="false">
      <c r="B4" s="2" t="n">
        <v>3</v>
      </c>
      <c r="C4" s="11" t="s">
        <v>73</v>
      </c>
      <c r="D4" s="11" t="s">
        <v>78</v>
      </c>
      <c r="E4" s="11" t="n">
        <v>10</v>
      </c>
      <c r="G4" s="11" t="s">
        <v>73</v>
      </c>
      <c r="H4" s="11" t="s">
        <v>78</v>
      </c>
      <c r="I4" s="11" t="n">
        <v>10</v>
      </c>
      <c r="K4" s="11" t="s">
        <v>73</v>
      </c>
      <c r="L4" s="11" t="s">
        <v>78</v>
      </c>
      <c r="M4" s="11" t="n">
        <v>10</v>
      </c>
      <c r="O4" s="11" t="s">
        <v>73</v>
      </c>
      <c r="P4" s="11" t="s">
        <v>78</v>
      </c>
      <c r="Q4" s="11" t="n">
        <v>10</v>
      </c>
    </row>
    <row r="5" customFormat="false" ht="15" hidden="false" customHeight="false" outlineLevel="0" collapsed="false">
      <c r="B5" s="2" t="n">
        <v>4</v>
      </c>
      <c r="C5" s="11" t="s">
        <v>77</v>
      </c>
      <c r="D5" s="11" t="s">
        <v>78</v>
      </c>
      <c r="E5" s="11" t="n">
        <v>15</v>
      </c>
      <c r="G5" s="11" t="s">
        <v>77</v>
      </c>
      <c r="H5" s="11" t="s">
        <v>78</v>
      </c>
      <c r="I5" s="11" t="n">
        <v>15</v>
      </c>
      <c r="K5" s="11" t="s">
        <v>77</v>
      </c>
      <c r="L5" s="11" t="s">
        <v>78</v>
      </c>
      <c r="M5" s="11" t="n">
        <v>15</v>
      </c>
      <c r="O5" s="11" t="s">
        <v>77</v>
      </c>
      <c r="P5" s="11" t="s">
        <v>78</v>
      </c>
      <c r="Q5" s="11" t="n">
        <v>15</v>
      </c>
    </row>
    <row r="6" customFormat="false" ht="15" hidden="false" customHeight="false" outlineLevel="0" collapsed="false">
      <c r="B6" s="2" t="n">
        <v>5</v>
      </c>
      <c r="C6" s="11" t="s">
        <v>73</v>
      </c>
      <c r="D6" s="11" t="s">
        <v>78</v>
      </c>
      <c r="E6" s="11" t="n">
        <v>20</v>
      </c>
      <c r="G6" s="11" t="s">
        <v>73</v>
      </c>
      <c r="H6" s="11" t="s">
        <v>78</v>
      </c>
      <c r="I6" s="11" t="n">
        <v>20</v>
      </c>
      <c r="K6" s="11" t="s">
        <v>73</v>
      </c>
      <c r="L6" s="11" t="s">
        <v>78</v>
      </c>
      <c r="M6" s="11" t="n">
        <v>20</v>
      </c>
      <c r="O6" s="11" t="s">
        <v>73</v>
      </c>
      <c r="P6" s="11" t="s">
        <v>78</v>
      </c>
      <c r="Q6" s="11" t="n">
        <v>20</v>
      </c>
    </row>
    <row r="7" customFormat="false" ht="15" hidden="false" customHeight="false" outlineLevel="0" collapsed="false">
      <c r="B7" s="2" t="n">
        <v>6</v>
      </c>
      <c r="C7" s="11" t="s">
        <v>77</v>
      </c>
      <c r="D7" s="11" t="s">
        <v>78</v>
      </c>
      <c r="E7" s="11" t="n">
        <v>25</v>
      </c>
      <c r="G7" s="11" t="s">
        <v>77</v>
      </c>
      <c r="H7" s="11" t="s">
        <v>78</v>
      </c>
      <c r="I7" s="11" t="n">
        <v>25</v>
      </c>
      <c r="K7" s="11" t="s">
        <v>77</v>
      </c>
      <c r="L7" s="11" t="s">
        <v>78</v>
      </c>
      <c r="M7" s="11" t="n">
        <v>25</v>
      </c>
      <c r="O7" s="11" t="s">
        <v>77</v>
      </c>
      <c r="P7" s="11" t="s">
        <v>78</v>
      </c>
      <c r="Q7" s="11" t="n">
        <v>25</v>
      </c>
    </row>
    <row r="8" customFormat="false" ht="15" hidden="false" customHeight="false" outlineLevel="0" collapsed="false">
      <c r="B8" s="2" t="n">
        <v>7</v>
      </c>
      <c r="C8" s="11" t="s">
        <v>73</v>
      </c>
      <c r="D8" s="11" t="s">
        <v>78</v>
      </c>
      <c r="E8" s="11" t="n">
        <v>30</v>
      </c>
      <c r="G8" s="11" t="s">
        <v>73</v>
      </c>
      <c r="H8" s="11" t="s">
        <v>78</v>
      </c>
      <c r="I8" s="11" t="n">
        <v>30</v>
      </c>
      <c r="K8" s="11" t="s">
        <v>73</v>
      </c>
      <c r="L8" s="11" t="s">
        <v>78</v>
      </c>
      <c r="M8" s="11" t="n">
        <v>30</v>
      </c>
      <c r="O8" s="11" t="s">
        <v>73</v>
      </c>
      <c r="P8" s="11" t="s">
        <v>78</v>
      </c>
      <c r="Q8" s="11" t="n">
        <v>30</v>
      </c>
    </row>
    <row r="9" customFormat="false" ht="15" hidden="false" customHeight="false" outlineLevel="0" collapsed="false">
      <c r="B9" s="2" t="n">
        <v>8</v>
      </c>
      <c r="C9" s="11" t="s">
        <v>77</v>
      </c>
      <c r="D9" s="11" t="s">
        <v>78</v>
      </c>
      <c r="E9" s="11" t="n">
        <v>35</v>
      </c>
      <c r="G9" s="11" t="s">
        <v>77</v>
      </c>
      <c r="H9" s="11" t="s">
        <v>78</v>
      </c>
      <c r="I9" s="11" t="n">
        <v>35</v>
      </c>
      <c r="K9" s="11" t="s">
        <v>77</v>
      </c>
      <c r="L9" s="11" t="s">
        <v>78</v>
      </c>
      <c r="M9" s="11" t="n">
        <v>35</v>
      </c>
      <c r="O9" s="11" t="s">
        <v>77</v>
      </c>
      <c r="P9" s="11" t="s">
        <v>78</v>
      </c>
      <c r="Q9" s="11" t="n">
        <v>35</v>
      </c>
    </row>
    <row r="10" customFormat="false" ht="15" hidden="false" customHeight="false" outlineLevel="0" collapsed="false">
      <c r="B10" s="2" t="n">
        <v>9</v>
      </c>
      <c r="C10" s="11" t="s">
        <v>73</v>
      </c>
      <c r="D10" s="11" t="s">
        <v>78</v>
      </c>
      <c r="E10" s="11" t="n">
        <v>40</v>
      </c>
      <c r="G10" s="11" t="s">
        <v>73</v>
      </c>
      <c r="H10" s="11" t="s">
        <v>78</v>
      </c>
      <c r="I10" s="11" t="n">
        <v>40</v>
      </c>
      <c r="K10" s="11" t="s">
        <v>73</v>
      </c>
      <c r="L10" s="11" t="s">
        <v>78</v>
      </c>
      <c r="M10" s="11" t="n">
        <v>40</v>
      </c>
      <c r="O10" s="11" t="s">
        <v>73</v>
      </c>
      <c r="P10" s="11" t="s">
        <v>78</v>
      </c>
      <c r="Q10" s="11" t="n">
        <v>40</v>
      </c>
    </row>
    <row r="11" customFormat="false" ht="15" hidden="false" customHeight="false" outlineLevel="0" collapsed="false">
      <c r="B11" s="2" t="n">
        <v>10</v>
      </c>
      <c r="C11" s="11" t="s">
        <v>77</v>
      </c>
      <c r="D11" s="11" t="s">
        <v>78</v>
      </c>
      <c r="E11" s="11" t="n">
        <v>45</v>
      </c>
      <c r="G11" s="11" t="s">
        <v>77</v>
      </c>
      <c r="H11" s="11" t="s">
        <v>78</v>
      </c>
      <c r="I11" s="11" t="n">
        <v>45</v>
      </c>
      <c r="K11" s="11" t="s">
        <v>77</v>
      </c>
      <c r="L11" s="11" t="s">
        <v>78</v>
      </c>
      <c r="M11" s="11" t="n">
        <v>45</v>
      </c>
      <c r="O11" s="11" t="s">
        <v>77</v>
      </c>
      <c r="P11" s="11" t="s">
        <v>78</v>
      </c>
      <c r="Q11" s="11" t="n">
        <v>45</v>
      </c>
    </row>
    <row r="12" customFormat="false" ht="15" hidden="false" customHeight="false" outlineLevel="0" collapsed="false">
      <c r="B12" s="2" t="n">
        <v>11</v>
      </c>
      <c r="C12" s="11" t="s">
        <v>73</v>
      </c>
      <c r="D12" s="11" t="s">
        <v>78</v>
      </c>
      <c r="E12" s="11" t="n">
        <v>50</v>
      </c>
      <c r="G12" s="11" t="s">
        <v>73</v>
      </c>
      <c r="H12" s="11" t="s">
        <v>78</v>
      </c>
      <c r="I12" s="11" t="n">
        <v>50</v>
      </c>
      <c r="K12" s="11" t="s">
        <v>73</v>
      </c>
      <c r="L12" s="11" t="s">
        <v>78</v>
      </c>
      <c r="M12" s="11" t="n">
        <v>50</v>
      </c>
      <c r="O12" s="11" t="s">
        <v>73</v>
      </c>
      <c r="P12" s="11" t="s">
        <v>78</v>
      </c>
      <c r="Q12" s="11" t="n">
        <v>50</v>
      </c>
    </row>
    <row r="13" customFormat="false" ht="15" hidden="false" customHeight="false" outlineLevel="0" collapsed="false">
      <c r="A13" s="3" t="s">
        <v>167</v>
      </c>
      <c r="B13" s="2" t="n">
        <v>12</v>
      </c>
      <c r="C13" s="11" t="s">
        <v>77</v>
      </c>
      <c r="D13" s="11" t="s">
        <v>78</v>
      </c>
      <c r="E13" s="11" t="n">
        <v>55</v>
      </c>
      <c r="G13" s="11" t="s">
        <v>77</v>
      </c>
      <c r="H13" s="11" t="s">
        <v>78</v>
      </c>
      <c r="I13" s="11" t="n">
        <v>55</v>
      </c>
      <c r="K13" s="11" t="s">
        <v>77</v>
      </c>
      <c r="L13" s="11" t="s">
        <v>78</v>
      </c>
      <c r="M13" s="11" t="n">
        <v>55</v>
      </c>
      <c r="O13" s="11" t="s">
        <v>77</v>
      </c>
      <c r="P13" s="11" t="s">
        <v>78</v>
      </c>
      <c r="Q13" s="11" t="n">
        <v>55</v>
      </c>
    </row>
    <row r="14" customFormat="false" ht="15" hidden="false" customHeight="false" outlineLevel="0" collapsed="false">
      <c r="B14" s="2" t="n">
        <v>13</v>
      </c>
      <c r="C14" s="11" t="s">
        <v>73</v>
      </c>
      <c r="D14" s="11" t="s">
        <v>78</v>
      </c>
      <c r="E14" s="11" t="n">
        <v>60</v>
      </c>
      <c r="G14" s="11" t="s">
        <v>73</v>
      </c>
      <c r="H14" s="11" t="s">
        <v>78</v>
      </c>
      <c r="I14" s="11" t="n">
        <v>60</v>
      </c>
      <c r="K14" s="11" t="s">
        <v>73</v>
      </c>
      <c r="L14" s="11" t="s">
        <v>78</v>
      </c>
      <c r="M14" s="11" t="n">
        <v>60</v>
      </c>
      <c r="O14" s="11" t="s">
        <v>73</v>
      </c>
      <c r="P14" s="11" t="s">
        <v>78</v>
      </c>
      <c r="Q14" s="11" t="n">
        <v>60</v>
      </c>
    </row>
    <row r="15" customFormat="false" ht="15" hidden="false" customHeight="false" outlineLevel="0" collapsed="false">
      <c r="B15" s="2" t="n">
        <v>14</v>
      </c>
      <c r="C15" s="11" t="s">
        <v>77</v>
      </c>
      <c r="D15" s="11" t="s">
        <v>78</v>
      </c>
      <c r="E15" s="11" t="s">
        <v>78</v>
      </c>
      <c r="G15" s="11" t="s">
        <v>77</v>
      </c>
      <c r="H15" s="11" t="s">
        <v>78</v>
      </c>
      <c r="I15" s="11" t="s">
        <v>78</v>
      </c>
      <c r="K15" s="11" t="s">
        <v>77</v>
      </c>
      <c r="L15" s="11" t="s">
        <v>78</v>
      </c>
      <c r="M15" s="11" t="s">
        <v>78</v>
      </c>
      <c r="O15" s="11" t="s">
        <v>77</v>
      </c>
      <c r="P15" s="11" t="s">
        <v>78</v>
      </c>
      <c r="Q15" s="11" t="s">
        <v>78</v>
      </c>
    </row>
    <row r="16" customFormat="false" ht="15" hidden="false" customHeight="false" outlineLevel="0" collapsed="false">
      <c r="B16" s="2" t="n">
        <v>15</v>
      </c>
      <c r="C16" s="11" t="s">
        <v>73</v>
      </c>
      <c r="D16" s="11" t="s">
        <v>73</v>
      </c>
      <c r="E16" s="11" t="n">
        <v>5</v>
      </c>
      <c r="G16" s="11" t="s">
        <v>73</v>
      </c>
      <c r="H16" s="11" t="s">
        <v>73</v>
      </c>
      <c r="I16" s="11" t="n">
        <v>10</v>
      </c>
      <c r="K16" s="11" t="s">
        <v>73</v>
      </c>
      <c r="L16" s="11" t="s">
        <v>73</v>
      </c>
      <c r="M16" s="11" t="n">
        <v>15</v>
      </c>
      <c r="O16" s="11" t="s">
        <v>73</v>
      </c>
      <c r="P16" s="11" t="s">
        <v>73</v>
      </c>
      <c r="Q16" s="11" t="n">
        <v>20</v>
      </c>
    </row>
    <row r="17" customFormat="false" ht="15" hidden="false" customHeight="false" outlineLevel="0" collapsed="false">
      <c r="B17" s="2" t="n">
        <v>16</v>
      </c>
      <c r="C17" s="11" t="s">
        <v>77</v>
      </c>
      <c r="D17" s="11" t="s">
        <v>77</v>
      </c>
      <c r="E17" s="11" t="n">
        <v>5</v>
      </c>
      <c r="G17" s="11" t="s">
        <v>77</v>
      </c>
      <c r="H17" s="11" t="s">
        <v>77</v>
      </c>
      <c r="I17" s="11" t="n">
        <v>10</v>
      </c>
      <c r="K17" s="11" t="s">
        <v>77</v>
      </c>
      <c r="L17" s="11" t="s">
        <v>77</v>
      </c>
      <c r="M17" s="11" t="n">
        <v>15</v>
      </c>
      <c r="O17" s="11" t="s">
        <v>77</v>
      </c>
      <c r="P17" s="11" t="s">
        <v>77</v>
      </c>
      <c r="Q17" s="11" t="n">
        <v>20</v>
      </c>
    </row>
    <row r="18" customFormat="false" ht="15" hidden="false" customHeight="false" outlineLevel="0" collapsed="false">
      <c r="B18" s="2" t="n">
        <v>17</v>
      </c>
      <c r="C18" s="11" t="s">
        <v>73</v>
      </c>
      <c r="D18" s="11" t="s">
        <v>73</v>
      </c>
      <c r="E18" s="11" t="n">
        <v>5</v>
      </c>
      <c r="G18" s="11" t="s">
        <v>73</v>
      </c>
      <c r="H18" s="11" t="s">
        <v>73</v>
      </c>
      <c r="I18" s="11" t="n">
        <v>10</v>
      </c>
      <c r="K18" s="11" t="s">
        <v>73</v>
      </c>
      <c r="L18" s="11" t="s">
        <v>73</v>
      </c>
      <c r="M18" s="11" t="n">
        <v>15</v>
      </c>
      <c r="O18" s="11" t="s">
        <v>73</v>
      </c>
      <c r="P18" s="11" t="s">
        <v>73</v>
      </c>
      <c r="Q18" s="11" t="n">
        <v>20</v>
      </c>
    </row>
    <row r="19" customFormat="false" ht="15" hidden="false" customHeight="false" outlineLevel="0" collapsed="false">
      <c r="B19" s="2" t="n">
        <v>18</v>
      </c>
      <c r="C19" s="11" t="s">
        <v>77</v>
      </c>
      <c r="D19" s="11" t="s">
        <v>77</v>
      </c>
      <c r="E19" s="11" t="n">
        <v>5</v>
      </c>
      <c r="G19" s="11" t="s">
        <v>77</v>
      </c>
      <c r="H19" s="11" t="s">
        <v>77</v>
      </c>
      <c r="I19" s="11" t="n">
        <v>10</v>
      </c>
      <c r="K19" s="11" t="s">
        <v>77</v>
      </c>
      <c r="L19" s="11" t="s">
        <v>77</v>
      </c>
      <c r="M19" s="11" t="n">
        <v>15</v>
      </c>
      <c r="O19" s="11" t="s">
        <v>77</v>
      </c>
      <c r="P19" s="11" t="s">
        <v>77</v>
      </c>
      <c r="Q19" s="11" t="n">
        <v>20</v>
      </c>
    </row>
    <row r="20" customFormat="false" ht="15" hidden="false" customHeight="false" outlineLevel="0" collapsed="false">
      <c r="B20" s="2" t="n">
        <v>19</v>
      </c>
      <c r="C20" s="11" t="s">
        <v>73</v>
      </c>
      <c r="D20" s="11" t="s">
        <v>73</v>
      </c>
      <c r="E20" s="11" t="n">
        <v>5</v>
      </c>
      <c r="G20" s="11" t="s">
        <v>73</v>
      </c>
      <c r="H20" s="11" t="s">
        <v>73</v>
      </c>
      <c r="I20" s="11" t="n">
        <v>10</v>
      </c>
      <c r="K20" s="11" t="s">
        <v>73</v>
      </c>
      <c r="L20" s="11" t="s">
        <v>73</v>
      </c>
      <c r="M20" s="11" t="n">
        <v>15</v>
      </c>
      <c r="O20" s="11" t="s">
        <v>73</v>
      </c>
      <c r="P20" s="11" t="s">
        <v>73</v>
      </c>
      <c r="Q20" s="11" t="n">
        <v>20</v>
      </c>
    </row>
    <row r="21" customFormat="false" ht="15" hidden="false" customHeight="false" outlineLevel="0" collapsed="false">
      <c r="B21" s="2" t="n">
        <v>20</v>
      </c>
      <c r="C21" s="11" t="s">
        <v>77</v>
      </c>
      <c r="D21" s="11" t="s">
        <v>77</v>
      </c>
      <c r="E21" s="11" t="n">
        <v>5</v>
      </c>
      <c r="G21" s="11" t="s">
        <v>77</v>
      </c>
      <c r="H21" s="11" t="s">
        <v>77</v>
      </c>
      <c r="I21" s="11" t="n">
        <v>10</v>
      </c>
      <c r="K21" s="11" t="s">
        <v>77</v>
      </c>
      <c r="L21" s="11" t="s">
        <v>77</v>
      </c>
      <c r="M21" s="11" t="n">
        <v>15</v>
      </c>
      <c r="O21" s="11" t="s">
        <v>77</v>
      </c>
      <c r="P21" s="11" t="s">
        <v>77</v>
      </c>
      <c r="Q21" s="11" t="n">
        <v>20</v>
      </c>
    </row>
    <row r="22" customFormat="false" ht="15" hidden="false" customHeight="false" outlineLevel="0" collapsed="false">
      <c r="B22" s="2" t="n">
        <v>21</v>
      </c>
      <c r="C22" s="11" t="s">
        <v>73</v>
      </c>
      <c r="D22" s="11" t="s">
        <v>73</v>
      </c>
      <c r="E22" s="11" t="n">
        <v>5</v>
      </c>
      <c r="G22" s="11" t="s">
        <v>73</v>
      </c>
      <c r="H22" s="11" t="s">
        <v>73</v>
      </c>
      <c r="I22" s="11" t="n">
        <v>10</v>
      </c>
      <c r="K22" s="11" t="s">
        <v>73</v>
      </c>
      <c r="L22" s="11" t="s">
        <v>73</v>
      </c>
      <c r="M22" s="11" t="n">
        <v>15</v>
      </c>
      <c r="O22" s="11" t="s">
        <v>73</v>
      </c>
      <c r="P22" s="11" t="s">
        <v>73</v>
      </c>
      <c r="Q22" s="11" t="n">
        <v>20</v>
      </c>
    </row>
    <row r="23" customFormat="false" ht="15" hidden="false" customHeight="false" outlineLevel="0" collapsed="false">
      <c r="B23" s="2" t="n">
        <v>22</v>
      </c>
      <c r="C23" s="11" t="s">
        <v>77</v>
      </c>
      <c r="D23" s="11" t="s">
        <v>77</v>
      </c>
      <c r="E23" s="11" t="n">
        <v>5</v>
      </c>
      <c r="G23" s="11" t="s">
        <v>77</v>
      </c>
      <c r="H23" s="11" t="s">
        <v>77</v>
      </c>
      <c r="I23" s="11" t="n">
        <v>10</v>
      </c>
      <c r="K23" s="11" t="s">
        <v>77</v>
      </c>
      <c r="L23" s="11" t="s">
        <v>77</v>
      </c>
      <c r="M23" s="11" t="n">
        <v>15</v>
      </c>
      <c r="O23" s="11" t="s">
        <v>77</v>
      </c>
      <c r="P23" s="11" t="s">
        <v>77</v>
      </c>
      <c r="Q23" s="11" t="n">
        <v>20</v>
      </c>
    </row>
    <row r="24" customFormat="false" ht="15" hidden="false" customHeight="false" outlineLevel="0" collapsed="false">
      <c r="B24" s="2" t="n">
        <v>23</v>
      </c>
      <c r="C24" s="11" t="s">
        <v>73</v>
      </c>
      <c r="D24" s="11" t="s">
        <v>73</v>
      </c>
      <c r="E24" s="11" t="n">
        <v>5</v>
      </c>
      <c r="G24" s="11" t="s">
        <v>73</v>
      </c>
      <c r="H24" s="11" t="s">
        <v>73</v>
      </c>
      <c r="I24" s="11" t="n">
        <v>10</v>
      </c>
      <c r="K24" s="11" t="s">
        <v>73</v>
      </c>
      <c r="L24" s="11" t="s">
        <v>73</v>
      </c>
      <c r="M24" s="11" t="n">
        <v>15</v>
      </c>
      <c r="O24" s="11" t="s">
        <v>73</v>
      </c>
      <c r="P24" s="11" t="s">
        <v>73</v>
      </c>
      <c r="Q24" s="11" t="n">
        <v>20</v>
      </c>
    </row>
    <row r="25" customFormat="false" ht="15" hidden="false" customHeight="false" outlineLevel="0" collapsed="false">
      <c r="B25" s="2" t="n">
        <v>24</v>
      </c>
      <c r="C25" s="11" t="s">
        <v>77</v>
      </c>
      <c r="D25" s="11" t="s">
        <v>77</v>
      </c>
      <c r="E25" s="11" t="n">
        <v>5</v>
      </c>
      <c r="G25" s="11" t="s">
        <v>77</v>
      </c>
      <c r="H25" s="11" t="s">
        <v>77</v>
      </c>
      <c r="I25" s="11" t="n">
        <v>10</v>
      </c>
      <c r="K25" s="11" t="s">
        <v>77</v>
      </c>
      <c r="L25" s="11" t="s">
        <v>77</v>
      </c>
      <c r="M25" s="11" t="n">
        <v>15</v>
      </c>
      <c r="O25" s="11" t="s">
        <v>77</v>
      </c>
      <c r="P25" s="11" t="s">
        <v>77</v>
      </c>
      <c r="Q25" s="11" t="n">
        <v>20</v>
      </c>
    </row>
    <row r="26" customFormat="false" ht="15" hidden="false" customHeight="false" outlineLevel="0" collapsed="false">
      <c r="B26" s="2" t="n">
        <v>25</v>
      </c>
      <c r="C26" s="11" t="s">
        <v>73</v>
      </c>
      <c r="D26" s="11" t="s">
        <v>73</v>
      </c>
      <c r="E26" s="11" t="n">
        <v>5</v>
      </c>
      <c r="G26" s="11" t="s">
        <v>73</v>
      </c>
      <c r="H26" s="11" t="s">
        <v>73</v>
      </c>
      <c r="I26" s="11" t="n">
        <v>10</v>
      </c>
      <c r="K26" s="11" t="s">
        <v>73</v>
      </c>
      <c r="L26" s="11" t="s">
        <v>73</v>
      </c>
      <c r="M26" s="11" t="n">
        <v>15</v>
      </c>
      <c r="O26" s="11" t="s">
        <v>73</v>
      </c>
      <c r="P26" s="11" t="s">
        <v>73</v>
      </c>
      <c r="Q26" s="11" t="n">
        <v>20</v>
      </c>
    </row>
    <row r="27" customFormat="false" ht="15" hidden="false" customHeight="false" outlineLevel="0" collapsed="false">
      <c r="B27" s="2" t="n">
        <v>26</v>
      </c>
      <c r="C27" s="11" t="s">
        <v>77</v>
      </c>
      <c r="D27" s="11" t="s">
        <v>77</v>
      </c>
      <c r="E27" s="11" t="n">
        <v>5</v>
      </c>
      <c r="G27" s="11" t="s">
        <v>77</v>
      </c>
      <c r="H27" s="11" t="s">
        <v>77</v>
      </c>
      <c r="I27" s="11" t="n">
        <v>10</v>
      </c>
      <c r="K27" s="11" t="s">
        <v>77</v>
      </c>
      <c r="L27" s="11" t="s">
        <v>77</v>
      </c>
      <c r="M27" s="11" t="n">
        <v>15</v>
      </c>
      <c r="O27" s="11" t="s">
        <v>77</v>
      </c>
      <c r="P27" s="11" t="s">
        <v>77</v>
      </c>
      <c r="Q27" s="11" t="n">
        <v>20</v>
      </c>
    </row>
    <row r="28" customFormat="false" ht="15" hidden="false" customHeight="false" outlineLevel="0" collapsed="false">
      <c r="B28" s="2" t="n">
        <v>27</v>
      </c>
      <c r="C28" s="11" t="s">
        <v>73</v>
      </c>
      <c r="D28" s="11" t="s">
        <v>73</v>
      </c>
      <c r="E28" s="11" t="n">
        <v>5</v>
      </c>
      <c r="G28" s="11" t="s">
        <v>73</v>
      </c>
      <c r="H28" s="11" t="s">
        <v>73</v>
      </c>
      <c r="I28" s="11" t="n">
        <v>10</v>
      </c>
      <c r="K28" s="11" t="s">
        <v>73</v>
      </c>
      <c r="L28" s="11" t="s">
        <v>73</v>
      </c>
      <c r="M28" s="11" t="n">
        <v>15</v>
      </c>
      <c r="O28" s="11" t="s">
        <v>73</v>
      </c>
      <c r="P28" s="11" t="s">
        <v>73</v>
      </c>
      <c r="Q28" s="11" t="n">
        <v>20</v>
      </c>
    </row>
    <row r="29" customFormat="false" ht="15" hidden="false" customHeight="false" outlineLevel="0" collapsed="false">
      <c r="B29" s="2" t="n">
        <v>28</v>
      </c>
      <c r="C29" s="11" t="s">
        <v>77</v>
      </c>
      <c r="D29" s="11" t="s">
        <v>77</v>
      </c>
      <c r="E29" s="11" t="n">
        <v>5</v>
      </c>
      <c r="G29" s="11" t="s">
        <v>77</v>
      </c>
      <c r="H29" s="11" t="s">
        <v>77</v>
      </c>
      <c r="I29" s="11" t="n">
        <v>10</v>
      </c>
      <c r="K29" s="11" t="s">
        <v>77</v>
      </c>
      <c r="L29" s="11" t="s">
        <v>77</v>
      </c>
      <c r="M29" s="11" t="n">
        <v>15</v>
      </c>
      <c r="O29" s="11" t="s">
        <v>77</v>
      </c>
      <c r="P29" s="11" t="s">
        <v>77</v>
      </c>
      <c r="Q29" s="11" t="n">
        <v>20</v>
      </c>
    </row>
    <row r="30" customFormat="false" ht="15" hidden="false" customHeight="false" outlineLevel="0" collapsed="false">
      <c r="B30" s="2" t="n">
        <v>29</v>
      </c>
      <c r="C30" s="11" t="s">
        <v>73</v>
      </c>
      <c r="D30" s="11" t="s">
        <v>73</v>
      </c>
      <c r="E30" s="11" t="n">
        <v>5</v>
      </c>
      <c r="G30" s="11" t="s">
        <v>73</v>
      </c>
      <c r="H30" s="11" t="s">
        <v>73</v>
      </c>
      <c r="I30" s="11" t="n">
        <v>10</v>
      </c>
      <c r="K30" s="11" t="s">
        <v>73</v>
      </c>
      <c r="L30" s="11" t="s">
        <v>73</v>
      </c>
      <c r="M30" s="11" t="n">
        <v>15</v>
      </c>
      <c r="O30" s="11" t="s">
        <v>73</v>
      </c>
      <c r="P30" s="11" t="s">
        <v>73</v>
      </c>
      <c r="Q30" s="11" t="n">
        <v>20</v>
      </c>
    </row>
    <row r="31" customFormat="false" ht="15" hidden="false" customHeight="false" outlineLevel="0" collapsed="false">
      <c r="B31" s="2" t="n">
        <v>30</v>
      </c>
      <c r="C31" s="11" t="s">
        <v>77</v>
      </c>
      <c r="D31" s="11" t="s">
        <v>77</v>
      </c>
      <c r="E31" s="11" t="n">
        <v>5</v>
      </c>
      <c r="G31" s="11" t="s">
        <v>77</v>
      </c>
      <c r="H31" s="11" t="s">
        <v>77</v>
      </c>
      <c r="I31" s="11" t="n">
        <v>10</v>
      </c>
      <c r="K31" s="11" t="s">
        <v>77</v>
      </c>
      <c r="L31" s="11" t="s">
        <v>77</v>
      </c>
      <c r="M31" s="11" t="n">
        <v>15</v>
      </c>
      <c r="O31" s="11" t="s">
        <v>77</v>
      </c>
      <c r="P31" s="11" t="s">
        <v>77</v>
      </c>
      <c r="Q31" s="11" t="n">
        <v>20</v>
      </c>
    </row>
    <row r="32" customFormat="false" ht="15" hidden="false" customHeight="false" outlineLevel="0" collapsed="false">
      <c r="B32" s="2" t="n">
        <v>31</v>
      </c>
      <c r="C32" s="11" t="s">
        <v>73</v>
      </c>
      <c r="D32" s="11" t="s">
        <v>73</v>
      </c>
      <c r="E32" s="11" t="n">
        <v>5</v>
      </c>
      <c r="G32" s="11" t="s">
        <v>73</v>
      </c>
      <c r="H32" s="11" t="s">
        <v>73</v>
      </c>
      <c r="I32" s="11" t="n">
        <v>10</v>
      </c>
      <c r="K32" s="11" t="s">
        <v>73</v>
      </c>
      <c r="L32" s="11" t="s">
        <v>73</v>
      </c>
      <c r="M32" s="11" t="n">
        <v>15</v>
      </c>
      <c r="O32" s="11" t="s">
        <v>73</v>
      </c>
      <c r="P32" s="11" t="s">
        <v>73</v>
      </c>
      <c r="Q32" s="11" t="n">
        <v>20</v>
      </c>
    </row>
    <row r="33" customFormat="false" ht="15" hidden="false" customHeight="false" outlineLevel="0" collapsed="false">
      <c r="A33" s="3" t="s">
        <v>168</v>
      </c>
      <c r="B33" s="2" t="n">
        <v>32</v>
      </c>
      <c r="C33" s="11" t="s">
        <v>77</v>
      </c>
      <c r="D33" s="11" t="s">
        <v>77</v>
      </c>
      <c r="E33" s="11" t="n">
        <v>5</v>
      </c>
      <c r="G33" s="11" t="s">
        <v>77</v>
      </c>
      <c r="H33" s="11" t="s">
        <v>77</v>
      </c>
      <c r="I33" s="11" t="n">
        <v>10</v>
      </c>
      <c r="K33" s="11" t="s">
        <v>77</v>
      </c>
      <c r="L33" s="11" t="s">
        <v>77</v>
      </c>
      <c r="M33" s="11" t="n">
        <v>15</v>
      </c>
      <c r="O33" s="11" t="s">
        <v>77</v>
      </c>
      <c r="P33" s="11" t="s">
        <v>77</v>
      </c>
      <c r="Q33" s="11" t="n">
        <v>20</v>
      </c>
    </row>
    <row r="34" customFormat="false" ht="15" hidden="false" customHeight="false" outlineLevel="0" collapsed="false">
      <c r="B34" s="2" t="n">
        <v>33</v>
      </c>
      <c r="C34" s="11" t="s">
        <v>73</v>
      </c>
      <c r="D34" s="11" t="s">
        <v>73</v>
      </c>
      <c r="E34" s="11" t="n">
        <v>5</v>
      </c>
      <c r="O34" s="11" t="s">
        <v>73</v>
      </c>
      <c r="P34" s="11" t="s">
        <v>73</v>
      </c>
      <c r="Q34" s="11" t="n">
        <v>20</v>
      </c>
    </row>
    <row r="35" customFormat="false" ht="15" hidden="false" customHeight="false" outlineLevel="0" collapsed="false">
      <c r="B35" s="2" t="n">
        <v>34</v>
      </c>
      <c r="C35" s="11" t="s">
        <v>77</v>
      </c>
      <c r="D35" s="11" t="s">
        <v>77</v>
      </c>
      <c r="E35" s="11" t="n">
        <v>5</v>
      </c>
      <c r="O35" s="11" t="s">
        <v>77</v>
      </c>
      <c r="P35" s="11" t="s">
        <v>77</v>
      </c>
      <c r="Q35" s="11" t="n">
        <v>20</v>
      </c>
    </row>
    <row r="36" customFormat="false" ht="15" hidden="false" customHeight="false" outlineLevel="0" collapsed="false">
      <c r="B36" s="2" t="n">
        <v>35</v>
      </c>
      <c r="C36" s="11" t="s">
        <v>73</v>
      </c>
      <c r="D36" s="11" t="s">
        <v>73</v>
      </c>
      <c r="E36" s="11" t="n">
        <v>5</v>
      </c>
      <c r="O36" s="11" t="s">
        <v>73</v>
      </c>
      <c r="P36" s="11" t="s">
        <v>73</v>
      </c>
      <c r="Q36" s="11" t="n">
        <v>20</v>
      </c>
    </row>
    <row r="37" customFormat="false" ht="15" hidden="false" customHeight="false" outlineLevel="0" collapsed="false">
      <c r="B37" s="2" t="n">
        <v>36</v>
      </c>
      <c r="C37" s="11" t="s">
        <v>77</v>
      </c>
      <c r="D37" s="11" t="s">
        <v>77</v>
      </c>
      <c r="E37" s="11" t="n">
        <v>5</v>
      </c>
      <c r="O37" s="11" t="s">
        <v>77</v>
      </c>
      <c r="P37" s="11" t="s">
        <v>77</v>
      </c>
      <c r="Q37" s="11" t="n">
        <v>20</v>
      </c>
    </row>
    <row r="38" customFormat="false" ht="15" hidden="false" customHeight="false" outlineLevel="0" collapsed="false">
      <c r="B38" s="2" t="n">
        <v>37</v>
      </c>
      <c r="C38" s="11" t="s">
        <v>73</v>
      </c>
      <c r="D38" s="11" t="s">
        <v>73</v>
      </c>
      <c r="E38" s="11" t="n">
        <v>5</v>
      </c>
      <c r="O38" s="11" t="s">
        <v>73</v>
      </c>
      <c r="P38" s="11" t="s">
        <v>73</v>
      </c>
      <c r="Q38" s="11" t="n">
        <v>20</v>
      </c>
    </row>
    <row r="39" customFormat="false" ht="15" hidden="false" customHeight="false" outlineLevel="0" collapsed="false">
      <c r="B39" s="2" t="n">
        <v>38</v>
      </c>
      <c r="C39" s="11" t="s">
        <v>77</v>
      </c>
      <c r="D39" s="11" t="s">
        <v>77</v>
      </c>
      <c r="E39" s="11" t="n">
        <v>5</v>
      </c>
      <c r="O39" s="11" t="s">
        <v>77</v>
      </c>
      <c r="P39" s="11" t="s">
        <v>77</v>
      </c>
      <c r="Q39" s="11" t="n">
        <v>20</v>
      </c>
    </row>
    <row r="40" customFormat="false" ht="15" hidden="false" customHeight="false" outlineLevel="0" collapsed="false">
      <c r="B40" s="2" t="n">
        <v>39</v>
      </c>
      <c r="C40" s="11" t="s">
        <v>73</v>
      </c>
      <c r="D40" s="11" t="s">
        <v>73</v>
      </c>
      <c r="E40" s="11" t="n">
        <v>5</v>
      </c>
      <c r="O40" s="11" t="s">
        <v>73</v>
      </c>
      <c r="P40" s="11" t="s">
        <v>73</v>
      </c>
      <c r="Q40" s="11" t="n">
        <v>20</v>
      </c>
    </row>
    <row r="41" customFormat="false" ht="15" hidden="false" customHeight="false" outlineLevel="0" collapsed="false">
      <c r="B41" s="2" t="n">
        <v>40</v>
      </c>
      <c r="C41" s="11" t="s">
        <v>77</v>
      </c>
      <c r="D41" s="11" t="s">
        <v>77</v>
      </c>
      <c r="E41" s="11" t="n">
        <v>5</v>
      </c>
      <c r="O41" s="11" t="s">
        <v>77</v>
      </c>
      <c r="P41" s="11" t="s">
        <v>77</v>
      </c>
      <c r="Q41" s="11" t="n">
        <v>20</v>
      </c>
    </row>
    <row r="42" customFormat="false" ht="15" hidden="false" customHeight="false" outlineLevel="0" collapsed="false">
      <c r="B42" s="2" t="n">
        <v>41</v>
      </c>
      <c r="C42" s="11" t="s">
        <v>73</v>
      </c>
      <c r="D42" s="11" t="s">
        <v>73</v>
      </c>
      <c r="E42" s="11" t="n">
        <v>5</v>
      </c>
      <c r="O42" s="11" t="s">
        <v>73</v>
      </c>
      <c r="P42" s="11" t="s">
        <v>73</v>
      </c>
      <c r="Q42" s="11" t="n">
        <v>20</v>
      </c>
    </row>
    <row r="43" customFormat="false" ht="15" hidden="false" customHeight="false" outlineLevel="0" collapsed="false">
      <c r="B43" s="2" t="n">
        <v>42</v>
      </c>
      <c r="C43" s="11" t="s">
        <v>77</v>
      </c>
      <c r="D43" s="11" t="s">
        <v>77</v>
      </c>
      <c r="E43" s="11" t="n">
        <v>5</v>
      </c>
      <c r="O43" s="11" t="s">
        <v>77</v>
      </c>
      <c r="P43" s="11" t="s">
        <v>77</v>
      </c>
      <c r="Q43" s="11" t="n">
        <v>20</v>
      </c>
    </row>
    <row r="44" customFormat="false" ht="15" hidden="false" customHeight="false" outlineLevel="0" collapsed="false">
      <c r="B44" s="2" t="n">
        <v>43</v>
      </c>
      <c r="C44" s="11" t="s">
        <v>73</v>
      </c>
      <c r="D44" s="11" t="s">
        <v>73</v>
      </c>
      <c r="E44" s="11" t="n">
        <v>5</v>
      </c>
      <c r="O44" s="11" t="s">
        <v>73</v>
      </c>
      <c r="P44" s="11" t="s">
        <v>73</v>
      </c>
      <c r="Q44" s="11" t="n">
        <v>20</v>
      </c>
    </row>
    <row r="45" customFormat="false" ht="15" hidden="false" customHeight="false" outlineLevel="0" collapsed="false">
      <c r="B45" s="2" t="n">
        <v>44</v>
      </c>
      <c r="C45" s="11" t="s">
        <v>77</v>
      </c>
      <c r="D45" s="11" t="s">
        <v>77</v>
      </c>
      <c r="E45" s="11" t="n">
        <v>5</v>
      </c>
      <c r="O45" s="11" t="s">
        <v>77</v>
      </c>
      <c r="P45" s="11" t="s">
        <v>77</v>
      </c>
      <c r="Q45" s="11" t="n">
        <v>20</v>
      </c>
    </row>
    <row r="46" customFormat="false" ht="15" hidden="false" customHeight="false" outlineLevel="0" collapsed="false">
      <c r="B46" s="2" t="n">
        <v>45</v>
      </c>
      <c r="C46" s="11" t="s">
        <v>73</v>
      </c>
      <c r="D46" s="11" t="s">
        <v>73</v>
      </c>
      <c r="E46" s="11" t="n">
        <v>5</v>
      </c>
      <c r="O46" s="11" t="s">
        <v>73</v>
      </c>
      <c r="P46" s="11" t="s">
        <v>73</v>
      </c>
      <c r="Q46" s="11" t="n">
        <v>20</v>
      </c>
    </row>
    <row r="47" customFormat="false" ht="15" hidden="false" customHeight="false" outlineLevel="0" collapsed="false">
      <c r="B47" s="2" t="n">
        <v>46</v>
      </c>
      <c r="C47" s="11" t="s">
        <v>77</v>
      </c>
      <c r="D47" s="11" t="s">
        <v>77</v>
      </c>
      <c r="E47" s="11" t="n">
        <v>5</v>
      </c>
      <c r="O47" s="11" t="s">
        <v>77</v>
      </c>
      <c r="P47" s="11" t="s">
        <v>77</v>
      </c>
      <c r="Q47" s="11" t="n">
        <v>20</v>
      </c>
    </row>
    <row r="48" customFormat="false" ht="15" hidden="false" customHeight="false" outlineLevel="0" collapsed="false">
      <c r="B48" s="2" t="n">
        <v>47</v>
      </c>
      <c r="C48" s="11" t="s">
        <v>73</v>
      </c>
      <c r="D48" s="11" t="s">
        <v>73</v>
      </c>
      <c r="E48" s="11" t="n">
        <v>5</v>
      </c>
      <c r="O48" s="11" t="s">
        <v>73</v>
      </c>
      <c r="P48" s="11" t="s">
        <v>73</v>
      </c>
      <c r="Q48" s="11" t="n">
        <v>20</v>
      </c>
    </row>
    <row r="49" customFormat="false" ht="15" hidden="false" customHeight="false" outlineLevel="0" collapsed="false">
      <c r="A49" s="3" t="s">
        <v>169</v>
      </c>
      <c r="B49" s="2" t="n">
        <v>48</v>
      </c>
      <c r="C49" s="11" t="s">
        <v>77</v>
      </c>
      <c r="D49" s="11" t="s">
        <v>77</v>
      </c>
      <c r="E49" s="11" t="n">
        <v>5</v>
      </c>
      <c r="O49" s="11" t="s">
        <v>77</v>
      </c>
      <c r="P49" s="11" t="s">
        <v>77</v>
      </c>
      <c r="Q49" s="11" t="n">
        <v>20</v>
      </c>
    </row>
    <row r="50" customFormat="false" ht="15" hidden="false" customHeight="false" outlineLevel="0" collapsed="false">
      <c r="B50" s="2" t="n">
        <v>49</v>
      </c>
      <c r="C50" s="11" t="s">
        <v>73</v>
      </c>
      <c r="D50" s="11" t="s">
        <v>73</v>
      </c>
      <c r="E50" s="11" t="n">
        <v>5</v>
      </c>
      <c r="O50" s="11" t="s">
        <v>73</v>
      </c>
      <c r="P50" s="11" t="s">
        <v>73</v>
      </c>
      <c r="Q50" s="11" t="n">
        <v>20</v>
      </c>
    </row>
    <row r="51" customFormat="false" ht="15" hidden="false" customHeight="false" outlineLevel="0" collapsed="false">
      <c r="B51" s="2" t="n">
        <v>50</v>
      </c>
      <c r="C51" s="11" t="s">
        <v>77</v>
      </c>
      <c r="D51" s="11" t="s">
        <v>77</v>
      </c>
      <c r="E51" s="11" t="n">
        <v>5</v>
      </c>
      <c r="O51" s="11" t="s">
        <v>77</v>
      </c>
      <c r="P51" s="11" t="s">
        <v>77</v>
      </c>
      <c r="Q51" s="11" t="n">
        <v>20</v>
      </c>
    </row>
    <row r="52" customFormat="false" ht="15" hidden="false" customHeight="false" outlineLevel="0" collapsed="false">
      <c r="B52" s="2" t="n">
        <v>51</v>
      </c>
      <c r="C52" s="11" t="s">
        <v>73</v>
      </c>
      <c r="D52" s="11" t="s">
        <v>73</v>
      </c>
      <c r="E52" s="11" t="n">
        <v>5</v>
      </c>
      <c r="O52" s="11" t="s">
        <v>73</v>
      </c>
      <c r="P52" s="11" t="s">
        <v>73</v>
      </c>
      <c r="Q52" s="11" t="n">
        <v>20</v>
      </c>
    </row>
    <row r="53" customFormat="false" ht="15" hidden="false" customHeight="false" outlineLevel="0" collapsed="false">
      <c r="B53" s="2" t="n">
        <v>52</v>
      </c>
      <c r="C53" s="11" t="s">
        <v>77</v>
      </c>
      <c r="D53" s="11" t="s">
        <v>77</v>
      </c>
      <c r="E53" s="11" t="n">
        <v>5</v>
      </c>
      <c r="O53" s="11" t="s">
        <v>77</v>
      </c>
      <c r="P53" s="11" t="s">
        <v>77</v>
      </c>
      <c r="Q53" s="11" t="n">
        <v>20</v>
      </c>
    </row>
    <row r="54" customFormat="false" ht="15" hidden="false" customHeight="false" outlineLevel="0" collapsed="false">
      <c r="B54" s="2" t="n">
        <v>53</v>
      </c>
      <c r="C54" s="11" t="s">
        <v>73</v>
      </c>
      <c r="D54" s="11" t="s">
        <v>73</v>
      </c>
      <c r="E54" s="11" t="n">
        <v>5</v>
      </c>
      <c r="O54" s="11" t="s">
        <v>73</v>
      </c>
      <c r="P54" s="11" t="s">
        <v>73</v>
      </c>
      <c r="Q54" s="11" t="n">
        <v>20</v>
      </c>
    </row>
    <row r="55" customFormat="false" ht="15" hidden="false" customHeight="false" outlineLevel="0" collapsed="false">
      <c r="B55" s="2" t="n">
        <v>54</v>
      </c>
      <c r="C55" s="11" t="s">
        <v>77</v>
      </c>
      <c r="D55" s="11" t="s">
        <v>77</v>
      </c>
      <c r="E55" s="11" t="n">
        <v>5</v>
      </c>
      <c r="O55" s="11" t="s">
        <v>77</v>
      </c>
      <c r="P55" s="11" t="s">
        <v>77</v>
      </c>
      <c r="Q55" s="11" t="n">
        <v>20</v>
      </c>
    </row>
    <row r="56" customFormat="false" ht="15" hidden="false" customHeight="false" outlineLevel="0" collapsed="false">
      <c r="B56" s="2" t="n">
        <v>55</v>
      </c>
      <c r="C56" s="11" t="s">
        <v>73</v>
      </c>
      <c r="D56" s="11" t="s">
        <v>73</v>
      </c>
      <c r="E56" s="11" t="n">
        <v>5</v>
      </c>
      <c r="O56" s="11" t="s">
        <v>73</v>
      </c>
      <c r="P56" s="11" t="s">
        <v>73</v>
      </c>
      <c r="Q56" s="11" t="n">
        <v>20</v>
      </c>
    </row>
    <row r="57" customFormat="false" ht="15" hidden="false" customHeight="false" outlineLevel="0" collapsed="false">
      <c r="B57" s="2" t="n">
        <v>56</v>
      </c>
      <c r="C57" s="11" t="s">
        <v>77</v>
      </c>
      <c r="D57" s="11" t="s">
        <v>77</v>
      </c>
      <c r="E57" s="11" t="n">
        <v>5</v>
      </c>
      <c r="O57" s="11" t="s">
        <v>77</v>
      </c>
      <c r="P57" s="11" t="s">
        <v>77</v>
      </c>
      <c r="Q57" s="11" t="n">
        <v>20</v>
      </c>
    </row>
    <row r="58" customFormat="false" ht="15" hidden="false" customHeight="false" outlineLevel="0" collapsed="false">
      <c r="B58" s="2" t="n">
        <v>57</v>
      </c>
      <c r="C58" s="11" t="s">
        <v>73</v>
      </c>
      <c r="D58" s="11" t="s">
        <v>73</v>
      </c>
      <c r="E58" s="11" t="n">
        <v>5</v>
      </c>
      <c r="O58" s="11" t="s">
        <v>73</v>
      </c>
      <c r="P58" s="11" t="s">
        <v>73</v>
      </c>
      <c r="Q58" s="11" t="n">
        <v>20</v>
      </c>
    </row>
    <row r="59" customFormat="false" ht="15" hidden="false" customHeight="false" outlineLevel="0" collapsed="false">
      <c r="B59" s="2" t="n">
        <v>58</v>
      </c>
      <c r="C59" s="11" t="s">
        <v>77</v>
      </c>
      <c r="D59" s="11" t="s">
        <v>77</v>
      </c>
      <c r="E59" s="11" t="n">
        <v>5</v>
      </c>
      <c r="O59" s="11" t="s">
        <v>77</v>
      </c>
      <c r="P59" s="11" t="s">
        <v>77</v>
      </c>
      <c r="Q59" s="11" t="n">
        <v>20</v>
      </c>
    </row>
    <row r="60" customFormat="false" ht="15" hidden="false" customHeight="false" outlineLevel="0" collapsed="false">
      <c r="B60" s="2" t="n">
        <v>59</v>
      </c>
      <c r="C60" s="11" t="s">
        <v>73</v>
      </c>
      <c r="D60" s="11" t="s">
        <v>73</v>
      </c>
      <c r="E60" s="11" t="n">
        <v>5</v>
      </c>
      <c r="O60" s="11" t="s">
        <v>73</v>
      </c>
      <c r="P60" s="11" t="s">
        <v>73</v>
      </c>
      <c r="Q60" s="11" t="n">
        <v>20</v>
      </c>
    </row>
    <row r="61" customFormat="false" ht="15" hidden="false" customHeight="false" outlineLevel="0" collapsed="false">
      <c r="B61" s="2" t="n">
        <v>60</v>
      </c>
      <c r="C61" s="11" t="s">
        <v>77</v>
      </c>
      <c r="D61" s="11" t="s">
        <v>77</v>
      </c>
      <c r="E61" s="11" t="n">
        <v>5</v>
      </c>
      <c r="O61" s="11" t="s">
        <v>77</v>
      </c>
      <c r="P61" s="11" t="s">
        <v>77</v>
      </c>
      <c r="Q61" s="11" t="n">
        <v>20</v>
      </c>
    </row>
    <row r="62" customFormat="false" ht="15" hidden="false" customHeight="false" outlineLevel="0" collapsed="false">
      <c r="B62" s="2" t="n">
        <v>61</v>
      </c>
      <c r="C62" s="11" t="s">
        <v>73</v>
      </c>
      <c r="D62" s="11" t="s">
        <v>73</v>
      </c>
      <c r="E62" s="11" t="n">
        <v>5</v>
      </c>
      <c r="O62" s="11" t="s">
        <v>73</v>
      </c>
      <c r="P62" s="11" t="s">
        <v>73</v>
      </c>
      <c r="Q62" s="11" t="n">
        <v>20</v>
      </c>
    </row>
    <row r="63" customFormat="false" ht="15" hidden="false" customHeight="false" outlineLevel="0" collapsed="false">
      <c r="B63" s="2" t="n">
        <v>62</v>
      </c>
      <c r="C63" s="11" t="s">
        <v>77</v>
      </c>
      <c r="D63" s="11" t="s">
        <v>77</v>
      </c>
      <c r="E63" s="11" t="n">
        <v>5</v>
      </c>
      <c r="O63" s="11" t="s">
        <v>77</v>
      </c>
      <c r="P63" s="11" t="s">
        <v>77</v>
      </c>
      <c r="Q63" s="11" t="n">
        <v>20</v>
      </c>
    </row>
    <row r="64" customFormat="false" ht="15" hidden="false" customHeight="false" outlineLevel="0" collapsed="false">
      <c r="B64" s="2" t="n">
        <v>63</v>
      </c>
      <c r="C64" s="11" t="s">
        <v>73</v>
      </c>
      <c r="D64" s="11" t="s">
        <v>73</v>
      </c>
      <c r="E64" s="11" t="n">
        <v>5</v>
      </c>
      <c r="O64" s="11" t="s">
        <v>73</v>
      </c>
      <c r="P64" s="11" t="s">
        <v>73</v>
      </c>
      <c r="Q64" s="11" t="n">
        <v>20</v>
      </c>
    </row>
    <row r="65" customFormat="false" ht="15" hidden="false" customHeight="false" outlineLevel="0" collapsed="false">
      <c r="A65" s="3" t="s">
        <v>170</v>
      </c>
      <c r="B65" s="2" t="n">
        <v>64</v>
      </c>
      <c r="C65" s="11" t="s">
        <v>77</v>
      </c>
      <c r="D65" s="11" t="s">
        <v>77</v>
      </c>
      <c r="E65" s="11" t="n">
        <v>5</v>
      </c>
      <c r="O65" s="11" t="s">
        <v>77</v>
      </c>
      <c r="P65" s="11" t="s">
        <v>77</v>
      </c>
      <c r="Q65" s="11" t="n">
        <v>20</v>
      </c>
    </row>
    <row r="66" customFormat="false" ht="15" hidden="false" customHeight="false" outlineLevel="0" collapsed="false">
      <c r="A66" s="3" t="s">
        <v>171</v>
      </c>
      <c r="B66" s="2" t="n">
        <v>65</v>
      </c>
      <c r="O66" s="11" t="s">
        <v>73</v>
      </c>
      <c r="P66" s="11" t="s">
        <v>73</v>
      </c>
      <c r="Q66" s="11" t="n">
        <v>20</v>
      </c>
    </row>
    <row r="67" customFormat="false" ht="15" hidden="false" customHeight="false" outlineLevel="0" collapsed="false">
      <c r="B67" s="2" t="n">
        <v>66</v>
      </c>
      <c r="O67" s="11" t="s">
        <v>77</v>
      </c>
      <c r="P67" s="11" t="s">
        <v>77</v>
      </c>
      <c r="Q67" s="11" t="n">
        <v>20</v>
      </c>
    </row>
    <row r="68" customFormat="false" ht="15" hidden="false" customHeight="false" outlineLevel="0" collapsed="false">
      <c r="B68" s="2" t="n">
        <v>67</v>
      </c>
      <c r="O68" s="11" t="s">
        <v>73</v>
      </c>
      <c r="P68" s="11" t="s">
        <v>73</v>
      </c>
      <c r="Q68" s="11" t="n">
        <v>20</v>
      </c>
    </row>
    <row r="69" customFormat="false" ht="15" hidden="false" customHeight="false" outlineLevel="0" collapsed="false">
      <c r="B69" s="2" t="n">
        <v>68</v>
      </c>
      <c r="O69" s="11" t="s">
        <v>77</v>
      </c>
      <c r="P69" s="11" t="s">
        <v>77</v>
      </c>
      <c r="Q69" s="11" t="n">
        <v>20</v>
      </c>
    </row>
    <row r="70" customFormat="false" ht="15" hidden="false" customHeight="false" outlineLevel="0" collapsed="false">
      <c r="B70" s="2" t="n">
        <v>69</v>
      </c>
      <c r="O70" s="11" t="s">
        <v>73</v>
      </c>
      <c r="P70" s="11" t="s">
        <v>73</v>
      </c>
      <c r="Q70" s="11" t="n">
        <v>20</v>
      </c>
    </row>
    <row r="71" customFormat="false" ht="15" hidden="false" customHeight="false" outlineLevel="0" collapsed="false">
      <c r="B71" s="2" t="n">
        <v>70</v>
      </c>
      <c r="O71" s="11" t="s">
        <v>77</v>
      </c>
      <c r="P71" s="11" t="s">
        <v>77</v>
      </c>
      <c r="Q71" s="11" t="n">
        <v>20</v>
      </c>
    </row>
    <row r="72" customFormat="false" ht="15" hidden="false" customHeight="false" outlineLevel="0" collapsed="false">
      <c r="B72" s="2" t="n">
        <v>71</v>
      </c>
      <c r="O72" s="11" t="s">
        <v>73</v>
      </c>
      <c r="P72" s="11" t="s">
        <v>73</v>
      </c>
      <c r="Q72" s="11" t="n">
        <v>20</v>
      </c>
    </row>
    <row r="73" customFormat="false" ht="15" hidden="false" customHeight="false" outlineLevel="0" collapsed="false">
      <c r="B73" s="2" t="n">
        <v>72</v>
      </c>
      <c r="O73" s="11" t="s">
        <v>77</v>
      </c>
      <c r="P73" s="11" t="s">
        <v>77</v>
      </c>
      <c r="Q73" s="11" t="n">
        <v>20</v>
      </c>
    </row>
    <row r="74" customFormat="false" ht="15" hidden="false" customHeight="false" outlineLevel="0" collapsed="false">
      <c r="B74" s="2" t="n">
        <v>73</v>
      </c>
      <c r="O74" s="11" t="s">
        <v>73</v>
      </c>
      <c r="P74" s="11" t="s">
        <v>73</v>
      </c>
      <c r="Q74" s="11" t="n">
        <v>20</v>
      </c>
    </row>
    <row r="75" customFormat="false" ht="15" hidden="false" customHeight="false" outlineLevel="0" collapsed="false">
      <c r="B75" s="2" t="n">
        <v>74</v>
      </c>
      <c r="O75" s="11" t="s">
        <v>77</v>
      </c>
      <c r="P75" s="11" t="s">
        <v>77</v>
      </c>
      <c r="Q75" s="11" t="n">
        <v>20</v>
      </c>
    </row>
    <row r="76" customFormat="false" ht="15" hidden="false" customHeight="false" outlineLevel="0" collapsed="false">
      <c r="B76" s="2" t="n">
        <v>75</v>
      </c>
      <c r="O76" s="11" t="s">
        <v>73</v>
      </c>
      <c r="P76" s="11" t="s">
        <v>73</v>
      </c>
      <c r="Q76" s="11" t="n">
        <v>20</v>
      </c>
    </row>
    <row r="77" customFormat="false" ht="15" hidden="false" customHeight="false" outlineLevel="0" collapsed="false">
      <c r="B77" s="2" t="n">
        <v>76</v>
      </c>
      <c r="O77" s="11" t="s">
        <v>77</v>
      </c>
      <c r="P77" s="11" t="s">
        <v>77</v>
      </c>
      <c r="Q77" s="11" t="n">
        <v>20</v>
      </c>
    </row>
    <row r="78" customFormat="false" ht="15" hidden="false" customHeight="false" outlineLevel="0" collapsed="false">
      <c r="B78" s="2" t="n">
        <v>77</v>
      </c>
      <c r="O78" s="11" t="s">
        <v>73</v>
      </c>
      <c r="P78" s="11" t="s">
        <v>73</v>
      </c>
      <c r="Q78" s="11" t="n">
        <v>20</v>
      </c>
    </row>
    <row r="79" customFormat="false" ht="15" hidden="false" customHeight="false" outlineLevel="0" collapsed="false">
      <c r="B79" s="2" t="n">
        <v>78</v>
      </c>
      <c r="O79" s="11" t="s">
        <v>77</v>
      </c>
      <c r="P79" s="11" t="s">
        <v>77</v>
      </c>
      <c r="Q79" s="11" t="n">
        <v>20</v>
      </c>
    </row>
    <row r="80" customFormat="false" ht="15" hidden="false" customHeight="false" outlineLevel="0" collapsed="false">
      <c r="B80" s="2" t="n">
        <v>79</v>
      </c>
      <c r="O80" s="11" t="s">
        <v>73</v>
      </c>
      <c r="P80" s="11" t="s">
        <v>73</v>
      </c>
      <c r="Q80" s="11" t="n">
        <v>20</v>
      </c>
    </row>
    <row r="81" customFormat="false" ht="15" hidden="false" customHeight="false" outlineLevel="0" collapsed="false">
      <c r="B81" s="2" t="n">
        <v>80</v>
      </c>
      <c r="O81" s="11" t="s">
        <v>77</v>
      </c>
      <c r="P81" s="11" t="s">
        <v>77</v>
      </c>
      <c r="Q81" s="11" t="n">
        <v>20</v>
      </c>
    </row>
    <row r="82" customFormat="false" ht="15" hidden="false" customHeight="false" outlineLevel="0" collapsed="false">
      <c r="B82" s="2" t="n">
        <v>81</v>
      </c>
      <c r="O82" s="11" t="s">
        <v>73</v>
      </c>
      <c r="P82" s="11" t="s">
        <v>73</v>
      </c>
      <c r="Q82" s="11" t="n">
        <v>20</v>
      </c>
    </row>
    <row r="83" customFormat="false" ht="15" hidden="false" customHeight="false" outlineLevel="0" collapsed="false">
      <c r="B83" s="2" t="n">
        <v>82</v>
      </c>
      <c r="O83" s="11" t="s">
        <v>77</v>
      </c>
      <c r="P83" s="11" t="s">
        <v>77</v>
      </c>
      <c r="Q83" s="11" t="n">
        <v>20</v>
      </c>
    </row>
    <row r="84" customFormat="false" ht="15" hidden="false" customHeight="false" outlineLevel="0" collapsed="false">
      <c r="B84" s="2" t="n">
        <v>83</v>
      </c>
      <c r="O84" s="11" t="s">
        <v>73</v>
      </c>
      <c r="P84" s="11" t="s">
        <v>73</v>
      </c>
      <c r="Q84" s="11" t="n">
        <v>20</v>
      </c>
    </row>
    <row r="85" customFormat="false" ht="15" hidden="false" customHeight="false" outlineLevel="0" collapsed="false">
      <c r="B85" s="2" t="n">
        <v>84</v>
      </c>
      <c r="O85" s="11" t="s">
        <v>77</v>
      </c>
      <c r="P85" s="11" t="s">
        <v>77</v>
      </c>
      <c r="Q85" s="11" t="n">
        <v>20</v>
      </c>
    </row>
    <row r="86" customFormat="false" ht="15" hidden="false" customHeight="false" outlineLevel="0" collapsed="false">
      <c r="B86" s="2" t="n">
        <v>85</v>
      </c>
      <c r="O86" s="11" t="s">
        <v>73</v>
      </c>
      <c r="P86" s="11" t="s">
        <v>73</v>
      </c>
      <c r="Q86" s="11" t="n">
        <v>20</v>
      </c>
    </row>
    <row r="87" customFormat="false" ht="15" hidden="false" customHeight="false" outlineLevel="0" collapsed="false">
      <c r="B87" s="2" t="n">
        <v>86</v>
      </c>
      <c r="O87" s="11" t="s">
        <v>77</v>
      </c>
      <c r="P87" s="11" t="s">
        <v>77</v>
      </c>
      <c r="Q87" s="11" t="n">
        <v>20</v>
      </c>
    </row>
    <row r="88" customFormat="false" ht="15" hidden="false" customHeight="false" outlineLevel="0" collapsed="false">
      <c r="B88" s="2" t="n">
        <v>87</v>
      </c>
      <c r="O88" s="11" t="s">
        <v>73</v>
      </c>
      <c r="P88" s="11" t="s">
        <v>73</v>
      </c>
      <c r="Q88" s="11" t="n">
        <v>20</v>
      </c>
    </row>
    <row r="89" customFormat="false" ht="15" hidden="false" customHeight="false" outlineLevel="0" collapsed="false">
      <c r="B89" s="2" t="n">
        <v>88</v>
      </c>
      <c r="O89" s="11" t="s">
        <v>77</v>
      </c>
      <c r="P89" s="11" t="s">
        <v>77</v>
      </c>
      <c r="Q89" s="11" t="n">
        <v>20</v>
      </c>
    </row>
    <row r="90" customFormat="false" ht="15" hidden="false" customHeight="false" outlineLevel="0" collapsed="false">
      <c r="B90" s="2" t="n">
        <v>89</v>
      </c>
      <c r="O90" s="11" t="s">
        <v>73</v>
      </c>
      <c r="P90" s="11" t="s">
        <v>73</v>
      </c>
      <c r="Q90" s="11" t="n">
        <v>20</v>
      </c>
    </row>
    <row r="91" customFormat="false" ht="15" hidden="false" customHeight="false" outlineLevel="0" collapsed="false">
      <c r="B91" s="2" t="n">
        <v>90</v>
      </c>
      <c r="O91" s="11" t="s">
        <v>77</v>
      </c>
      <c r="P91" s="11" t="s">
        <v>77</v>
      </c>
      <c r="Q91" s="11" t="n">
        <v>20</v>
      </c>
    </row>
    <row r="92" customFormat="false" ht="15" hidden="false" customHeight="false" outlineLevel="0" collapsed="false">
      <c r="B92" s="2" t="n">
        <v>91</v>
      </c>
      <c r="O92" s="11" t="s">
        <v>73</v>
      </c>
      <c r="P92" s="11" t="s">
        <v>73</v>
      </c>
      <c r="Q92" s="11" t="n">
        <v>20</v>
      </c>
    </row>
    <row r="93" customFormat="false" ht="15" hidden="false" customHeight="false" outlineLevel="0" collapsed="false">
      <c r="B93" s="2" t="n">
        <v>92</v>
      </c>
      <c r="O93" s="11" t="s">
        <v>77</v>
      </c>
      <c r="P93" s="11" t="s">
        <v>77</v>
      </c>
      <c r="Q93" s="11" t="n">
        <v>20</v>
      </c>
    </row>
    <row r="94" customFormat="false" ht="15" hidden="false" customHeight="false" outlineLevel="0" collapsed="false">
      <c r="B94" s="2" t="n">
        <v>93</v>
      </c>
      <c r="O94" s="11" t="s">
        <v>73</v>
      </c>
      <c r="P94" s="11" t="s">
        <v>73</v>
      </c>
      <c r="Q94" s="11" t="n">
        <v>20</v>
      </c>
    </row>
    <row r="95" customFormat="false" ht="15" hidden="false" customHeight="false" outlineLevel="0" collapsed="false">
      <c r="B95" s="2" t="n">
        <v>94</v>
      </c>
      <c r="O95" s="11" t="s">
        <v>77</v>
      </c>
      <c r="P95" s="11" t="s">
        <v>77</v>
      </c>
      <c r="Q95" s="11" t="n">
        <v>20</v>
      </c>
    </row>
    <row r="96" customFormat="false" ht="15" hidden="false" customHeight="false" outlineLevel="0" collapsed="false">
      <c r="A96" s="20" t="s">
        <v>172</v>
      </c>
      <c r="B96" s="2" t="n">
        <v>95</v>
      </c>
      <c r="O96" s="11" t="s">
        <v>73</v>
      </c>
      <c r="P96" s="11" t="s">
        <v>73</v>
      </c>
      <c r="Q96" s="11" t="n">
        <v>20</v>
      </c>
    </row>
    <row r="97" customFormat="false" ht="15" hidden="false" customHeight="false" outlineLevel="0" collapsed="false">
      <c r="A97" s="20" t="s">
        <v>173</v>
      </c>
      <c r="B97" s="2" t="n">
        <v>96</v>
      </c>
      <c r="O97" s="11" t="s">
        <v>77</v>
      </c>
      <c r="P97" s="11" t="s">
        <v>77</v>
      </c>
      <c r="Q97" s="11" t="n">
        <v>20</v>
      </c>
    </row>
    <row r="98" customFormat="false" ht="15" hidden="false" customHeight="false" outlineLevel="0" collapsed="false">
      <c r="B98" s="2" t="n">
        <v>97</v>
      </c>
      <c r="O98" s="11" t="s">
        <v>73</v>
      </c>
      <c r="P98" s="11" t="s">
        <v>73</v>
      </c>
      <c r="Q98" s="11" t="n">
        <v>20</v>
      </c>
    </row>
    <row r="99" customFormat="false" ht="15" hidden="false" customHeight="false" outlineLevel="0" collapsed="false">
      <c r="B99" s="2" t="n">
        <v>98</v>
      </c>
      <c r="O99" s="11" t="s">
        <v>77</v>
      </c>
      <c r="P99" s="11" t="s">
        <v>77</v>
      </c>
      <c r="Q99" s="11" t="n">
        <v>20</v>
      </c>
    </row>
    <row r="100" customFormat="false" ht="15" hidden="false" customHeight="false" outlineLevel="0" collapsed="false">
      <c r="B100" s="2" t="n">
        <v>99</v>
      </c>
      <c r="O100" s="11" t="s">
        <v>73</v>
      </c>
      <c r="P100" s="11" t="s">
        <v>73</v>
      </c>
      <c r="Q100" s="11" t="n">
        <v>20</v>
      </c>
    </row>
    <row r="101" customFormat="false" ht="15" hidden="false" customHeight="false" outlineLevel="0" collapsed="false">
      <c r="B101" s="2" t="n">
        <v>100</v>
      </c>
      <c r="O101" s="11" t="s">
        <v>77</v>
      </c>
      <c r="P101" s="11" t="s">
        <v>77</v>
      </c>
      <c r="Q101" s="11" t="n">
        <v>20</v>
      </c>
    </row>
    <row r="102" customFormat="false" ht="15" hidden="false" customHeight="false" outlineLevel="0" collapsed="false">
      <c r="B102" s="2" t="n">
        <v>101</v>
      </c>
      <c r="O102" s="11" t="s">
        <v>73</v>
      </c>
      <c r="P102" s="11" t="s">
        <v>73</v>
      </c>
      <c r="Q102" s="11" t="n">
        <v>20</v>
      </c>
    </row>
    <row r="103" customFormat="false" ht="15" hidden="false" customHeight="false" outlineLevel="0" collapsed="false">
      <c r="B103" s="2" t="n">
        <v>102</v>
      </c>
      <c r="O103" s="11" t="s">
        <v>77</v>
      </c>
      <c r="P103" s="11" t="s">
        <v>77</v>
      </c>
      <c r="Q103" s="11" t="n">
        <v>20</v>
      </c>
    </row>
    <row r="104" customFormat="false" ht="15" hidden="false" customHeight="false" outlineLevel="0" collapsed="false">
      <c r="B104" s="2" t="n">
        <v>103</v>
      </c>
      <c r="O104" s="11" t="s">
        <v>73</v>
      </c>
      <c r="P104" s="11" t="s">
        <v>73</v>
      </c>
      <c r="Q104" s="11" t="n">
        <v>20</v>
      </c>
    </row>
    <row r="105" customFormat="false" ht="15" hidden="false" customHeight="false" outlineLevel="0" collapsed="false">
      <c r="B105" s="2" t="n">
        <v>104</v>
      </c>
      <c r="O105" s="11" t="s">
        <v>77</v>
      </c>
      <c r="P105" s="11" t="s">
        <v>77</v>
      </c>
      <c r="Q105" s="11" t="n">
        <v>20</v>
      </c>
    </row>
    <row r="106" customFormat="false" ht="15" hidden="false" customHeight="false" outlineLevel="0" collapsed="false">
      <c r="B106" s="2" t="n">
        <v>105</v>
      </c>
      <c r="O106" s="11" t="s">
        <v>73</v>
      </c>
      <c r="P106" s="11" t="s">
        <v>73</v>
      </c>
      <c r="Q106" s="11" t="n">
        <v>20</v>
      </c>
    </row>
    <row r="107" customFormat="false" ht="15" hidden="false" customHeight="false" outlineLevel="0" collapsed="false">
      <c r="B107" s="2" t="n">
        <v>106</v>
      </c>
      <c r="O107" s="11" t="s">
        <v>77</v>
      </c>
      <c r="P107" s="11" t="s">
        <v>77</v>
      </c>
      <c r="Q107" s="11" t="n">
        <v>20</v>
      </c>
    </row>
    <row r="108" customFormat="false" ht="15" hidden="false" customHeight="false" outlineLevel="0" collapsed="false">
      <c r="B108" s="2" t="n">
        <v>107</v>
      </c>
      <c r="O108" s="11" t="s">
        <v>73</v>
      </c>
      <c r="P108" s="11" t="s">
        <v>73</v>
      </c>
      <c r="Q108" s="11" t="n">
        <v>20</v>
      </c>
    </row>
    <row r="109" customFormat="false" ht="15" hidden="false" customHeight="false" outlineLevel="0" collapsed="false">
      <c r="B109" s="2" t="n">
        <v>108</v>
      </c>
      <c r="O109" s="11" t="s">
        <v>77</v>
      </c>
      <c r="P109" s="11" t="s">
        <v>77</v>
      </c>
      <c r="Q109" s="11" t="n">
        <v>20</v>
      </c>
    </row>
    <row r="110" customFormat="false" ht="15" hidden="false" customHeight="false" outlineLevel="0" collapsed="false">
      <c r="B110" s="2" t="n">
        <v>109</v>
      </c>
      <c r="O110" s="11" t="s">
        <v>73</v>
      </c>
      <c r="P110" s="11" t="s">
        <v>73</v>
      </c>
      <c r="Q110" s="11" t="n">
        <v>20</v>
      </c>
    </row>
    <row r="111" customFormat="false" ht="15" hidden="false" customHeight="false" outlineLevel="0" collapsed="false">
      <c r="B111" s="2" t="n">
        <v>110</v>
      </c>
      <c r="O111" s="11" t="s">
        <v>77</v>
      </c>
      <c r="P111" s="11" t="s">
        <v>77</v>
      </c>
      <c r="Q111" s="11" t="n">
        <v>20</v>
      </c>
    </row>
    <row r="112" customFormat="false" ht="15" hidden="false" customHeight="false" outlineLevel="0" collapsed="false">
      <c r="B112" s="2" t="n">
        <v>111</v>
      </c>
      <c r="O112" s="11" t="s">
        <v>73</v>
      </c>
      <c r="P112" s="11" t="s">
        <v>73</v>
      </c>
      <c r="Q112" s="11" t="n">
        <v>20</v>
      </c>
    </row>
    <row r="113" customFormat="false" ht="15" hidden="false" customHeight="false" outlineLevel="0" collapsed="false">
      <c r="B113" s="2" t="n">
        <v>112</v>
      </c>
      <c r="O113" s="11" t="s">
        <v>77</v>
      </c>
      <c r="P113" s="11" t="s">
        <v>77</v>
      </c>
      <c r="Q113" s="11" t="n">
        <v>20</v>
      </c>
    </row>
    <row r="114" customFormat="false" ht="15" hidden="false" customHeight="false" outlineLevel="0" collapsed="false">
      <c r="B114" s="2" t="n">
        <v>113</v>
      </c>
      <c r="O114" s="11" t="s">
        <v>73</v>
      </c>
      <c r="P114" s="11" t="s">
        <v>73</v>
      </c>
      <c r="Q114" s="11" t="n">
        <v>20</v>
      </c>
    </row>
    <row r="115" customFormat="false" ht="15" hidden="false" customHeight="false" outlineLevel="0" collapsed="false">
      <c r="B115" s="2" t="n">
        <v>114</v>
      </c>
      <c r="O115" s="11" t="s">
        <v>77</v>
      </c>
      <c r="P115" s="11" t="s">
        <v>77</v>
      </c>
      <c r="Q115" s="11" t="n">
        <v>20</v>
      </c>
    </row>
    <row r="116" customFormat="false" ht="15" hidden="false" customHeight="false" outlineLevel="0" collapsed="false">
      <c r="B116" s="2" t="n">
        <v>115</v>
      </c>
      <c r="O116" s="11" t="s">
        <v>73</v>
      </c>
      <c r="P116" s="11" t="s">
        <v>73</v>
      </c>
      <c r="Q116" s="11" t="n">
        <v>20</v>
      </c>
    </row>
    <row r="117" customFormat="false" ht="15" hidden="false" customHeight="false" outlineLevel="0" collapsed="false">
      <c r="B117" s="2" t="n">
        <v>116</v>
      </c>
      <c r="O117" s="11" t="s">
        <v>77</v>
      </c>
      <c r="P117" s="11" t="s">
        <v>77</v>
      </c>
      <c r="Q117" s="11" t="n">
        <v>20</v>
      </c>
    </row>
    <row r="118" customFormat="false" ht="15" hidden="false" customHeight="false" outlineLevel="0" collapsed="false">
      <c r="B118" s="2" t="n">
        <v>117</v>
      </c>
      <c r="O118" s="11" t="s">
        <v>73</v>
      </c>
      <c r="P118" s="11" t="s">
        <v>73</v>
      </c>
      <c r="Q118" s="11" t="n">
        <v>20</v>
      </c>
    </row>
    <row r="119" customFormat="false" ht="15" hidden="false" customHeight="false" outlineLevel="0" collapsed="false">
      <c r="B119" s="2" t="n">
        <v>118</v>
      </c>
      <c r="O119" s="11" t="s">
        <v>77</v>
      </c>
      <c r="P119" s="11" t="s">
        <v>77</v>
      </c>
      <c r="Q119" s="11" t="n">
        <v>20</v>
      </c>
    </row>
    <row r="120" customFormat="false" ht="15" hidden="false" customHeight="false" outlineLevel="0" collapsed="false">
      <c r="B120" s="2" t="n">
        <v>119</v>
      </c>
      <c r="O120" s="11" t="s">
        <v>73</v>
      </c>
      <c r="P120" s="11" t="s">
        <v>73</v>
      </c>
      <c r="Q120" s="11" t="n">
        <v>20</v>
      </c>
    </row>
    <row r="121" customFormat="false" ht="15" hidden="false" customHeight="false" outlineLevel="0" collapsed="false">
      <c r="B121" s="2" t="n">
        <v>120</v>
      </c>
      <c r="O121" s="11" t="s">
        <v>77</v>
      </c>
      <c r="P121" s="11" t="s">
        <v>77</v>
      </c>
      <c r="Q121" s="11" t="n">
        <v>20</v>
      </c>
    </row>
    <row r="122" customFormat="false" ht="15" hidden="false" customHeight="false" outlineLevel="0" collapsed="false">
      <c r="B122" s="2" t="n">
        <v>121</v>
      </c>
      <c r="O122" s="11" t="s">
        <v>73</v>
      </c>
      <c r="P122" s="11" t="s">
        <v>73</v>
      </c>
      <c r="Q122" s="11" t="n">
        <v>20</v>
      </c>
    </row>
    <row r="123" customFormat="false" ht="15" hidden="false" customHeight="false" outlineLevel="0" collapsed="false">
      <c r="B123" s="2" t="n">
        <v>122</v>
      </c>
      <c r="O123" s="11" t="s">
        <v>77</v>
      </c>
      <c r="P123" s="11" t="s">
        <v>77</v>
      </c>
      <c r="Q123" s="11" t="n">
        <v>20</v>
      </c>
    </row>
    <row r="124" customFormat="false" ht="15" hidden="false" customHeight="false" outlineLevel="0" collapsed="false">
      <c r="B124" s="2" t="n">
        <v>123</v>
      </c>
      <c r="O124" s="11" t="s">
        <v>73</v>
      </c>
      <c r="P124" s="11" t="s">
        <v>73</v>
      </c>
      <c r="Q124" s="11" t="n">
        <v>20</v>
      </c>
    </row>
    <row r="125" customFormat="false" ht="15" hidden="false" customHeight="false" outlineLevel="0" collapsed="false">
      <c r="B125" s="2" t="n">
        <v>124</v>
      </c>
      <c r="O125" s="11" t="s">
        <v>77</v>
      </c>
      <c r="P125" s="11" t="s">
        <v>77</v>
      </c>
      <c r="Q125" s="11" t="n">
        <v>20</v>
      </c>
    </row>
    <row r="126" customFormat="false" ht="15" hidden="false" customHeight="false" outlineLevel="0" collapsed="false">
      <c r="B126" s="2" t="n">
        <v>125</v>
      </c>
      <c r="O126" s="11" t="s">
        <v>73</v>
      </c>
      <c r="P126" s="11" t="s">
        <v>73</v>
      </c>
      <c r="Q126" s="11" t="n">
        <v>20</v>
      </c>
    </row>
    <row r="127" customFormat="false" ht="15" hidden="false" customHeight="false" outlineLevel="0" collapsed="false">
      <c r="B127" s="2" t="n">
        <v>126</v>
      </c>
      <c r="O127" s="11" t="s">
        <v>77</v>
      </c>
      <c r="P127" s="11" t="s">
        <v>77</v>
      </c>
      <c r="Q127" s="11" t="n">
        <v>20</v>
      </c>
    </row>
    <row r="128" customFormat="false" ht="15" hidden="false" customHeight="false" outlineLevel="0" collapsed="false">
      <c r="B128" s="2" t="n">
        <v>127</v>
      </c>
      <c r="O128" s="11" t="s">
        <v>73</v>
      </c>
      <c r="P128" s="11" t="s">
        <v>73</v>
      </c>
      <c r="Q128" s="11" t="n">
        <v>20</v>
      </c>
    </row>
    <row r="129" customFormat="false" ht="15" hidden="false" customHeight="false" outlineLevel="0" collapsed="false">
      <c r="A129" s="20" t="s">
        <v>174</v>
      </c>
      <c r="B129" s="2" t="n">
        <v>128</v>
      </c>
      <c r="O129" s="11" t="s">
        <v>77</v>
      </c>
      <c r="P129" s="11" t="s">
        <v>77</v>
      </c>
      <c r="Q129" s="11" t="n">
        <v>20</v>
      </c>
    </row>
  </sheetData>
  <dataValidations count="3">
    <dataValidation allowBlank="true" errorStyle="stop" operator="equal" showDropDown="false" showErrorMessage="true" showInputMessage="false" sqref="I15:I33 M15:M33 Q15:Q129" type="list">
      <formula1>"-,+5,+10,+15,+20,+25,+30,+35,+40,+45,+50,+55,+60,"</formula1>
      <formula2>0</formula2>
    </dataValidation>
    <dataValidation allowBlank="true" errorStyle="stop" operator="equal" showDropDown="false" showErrorMessage="true" showInputMessage="false" sqref="E2:E15 I2:I14 M2:M14 Q2:Q14 E16:E65" type="list">
      <formula1>"-,+5,+10,+15,+20,+25,+30,+35,+40,+45,+50,+55,+60"</formula1>
      <formula2>0</formula2>
    </dataValidation>
    <dataValidation allowBlank="true" errorStyle="stop" operator="equal" showDropDown="false" showErrorMessage="true" showInputMessage="false" sqref="C2:D65 G2:H33 K2:L33 O2:P129" type="list">
      <formula1>"-,yes,no"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1.5703125" defaultRowHeight="13.8" customHeight="true" zeroHeight="false" outlineLevelRow="0" outlineLevelCol="0"/>
  <cols>
    <col collapsed="false" customWidth="false" hidden="false" outlineLevel="0" max="1" min="1" style="2" width="11.57"/>
    <col collapsed="false" customWidth="true" hidden="false" outlineLevel="0" max="3" min="2" style="3" width="12.71"/>
    <col collapsed="false" customWidth="true" hidden="false" outlineLevel="0" max="4" min="4" style="3" width="12.57"/>
    <col collapsed="false" customWidth="true" hidden="false" outlineLevel="0" max="5" min="5" style="2" width="12.57"/>
    <col collapsed="false" customWidth="true" hidden="false" outlineLevel="0" max="6" min="6" style="3" width="11.29"/>
    <col collapsed="false" customWidth="false" hidden="true" outlineLevel="0" max="8" min="8" style="2" width="11.57"/>
    <col collapsed="false" customWidth="true" hidden="false" outlineLevel="0" max="10" min="9" style="2" width="13"/>
    <col collapsed="false" customWidth="true" hidden="false" outlineLevel="0" max="11" min="11" style="3" width="12"/>
    <col collapsed="false" customWidth="false" hidden="true" outlineLevel="0" max="13" min="13" style="3" width="11.57"/>
    <col collapsed="false" customWidth="false" hidden="false" outlineLevel="0" max="15" min="15" style="2" width="11.57"/>
    <col collapsed="false" customWidth="true" hidden="false" outlineLevel="0" max="16" min="16" style="3" width="12.71"/>
    <col collapsed="false" customWidth="false" hidden="true" outlineLevel="0" max="18" min="18" style="2" width="11.57"/>
    <col collapsed="false" customWidth="true" hidden="false" outlineLevel="0" max="20" min="19" style="2" width="13.42"/>
    <col collapsed="false" customWidth="true" hidden="false" outlineLevel="0" max="21" min="21" style="3" width="13.86"/>
    <col collapsed="false" customWidth="true" hidden="false" outlineLevel="0" max="22" min="22" style="3" width="12.86"/>
    <col collapsed="false" customWidth="false" hidden="true" outlineLevel="0" max="23" min="23" style="2" width="11.57"/>
    <col collapsed="false" customWidth="true" hidden="false" outlineLevel="0" max="25" min="24" style="2" width="12.71"/>
    <col collapsed="false" customWidth="true" hidden="false" outlineLevel="0" max="26" min="26" style="3" width="13"/>
    <col collapsed="false" customWidth="true" hidden="false" outlineLevel="0" max="27" min="27" style="3" width="12.15"/>
    <col collapsed="false" customWidth="true" hidden="true" outlineLevel="0" max="28" min="28" style="3" width="12.57"/>
    <col collapsed="false" customWidth="true" hidden="false" outlineLevel="0" max="29" min="29" style="3" width="13.42"/>
    <col collapsed="false" customWidth="true" hidden="false" outlineLevel="0" max="30" min="30" style="2" width="13.42"/>
    <col collapsed="false" customWidth="true" hidden="false" outlineLevel="0" max="31" min="31" style="3" width="14.86"/>
    <col collapsed="false" customWidth="true" hidden="false" outlineLevel="0" max="32" min="32" style="3" width="13.86"/>
    <col collapsed="false" customWidth="false" hidden="true" outlineLevel="0" max="33" min="33" style="2" width="11.57"/>
    <col collapsed="false" customWidth="true" hidden="false" outlineLevel="0" max="34" min="34" style="2" width="14.29"/>
    <col collapsed="false" customWidth="true" hidden="false" outlineLevel="0" max="35" min="35" style="3" width="14.29"/>
    <col collapsed="false" customWidth="false" hidden="true" outlineLevel="0" max="38" min="38" style="3" width="11.57"/>
    <col collapsed="false" customWidth="true" hidden="false" outlineLevel="0" max="40" min="39" style="3" width="14.86"/>
    <col collapsed="false" customWidth="false" hidden="true" outlineLevel="0" max="43" min="43" style="3" width="11.57"/>
    <col collapsed="false" customWidth="true" hidden="false" outlineLevel="0" max="46" min="46" style="3" width="15.85"/>
    <col collapsed="false" customWidth="true" hidden="false" outlineLevel="0" max="47" min="47" style="3" width="16.14"/>
    <col collapsed="false" customWidth="false" hidden="true" outlineLevel="0" max="53" min="49" style="3" width="11.57"/>
    <col collapsed="false" customWidth="true" hidden="true" outlineLevel="0" max="54" min="54" style="3" width="17.7"/>
    <col collapsed="false" customWidth="true" hidden="true" outlineLevel="0" max="55" min="55" style="3" width="17.34"/>
  </cols>
  <sheetData>
    <row r="1" s="3" customFormat="true" ht="13.8" hidden="false" customHeight="false" outlineLevel="0" collapsed="false">
      <c r="A1" s="21" t="s">
        <v>175</v>
      </c>
      <c r="B1" s="21" t="s">
        <v>176</v>
      </c>
      <c r="C1" s="21" t="s">
        <v>177</v>
      </c>
      <c r="D1" s="22"/>
      <c r="E1" s="23" t="s">
        <v>178</v>
      </c>
      <c r="F1" s="23" t="s">
        <v>179</v>
      </c>
      <c r="G1" s="23" t="s">
        <v>180</v>
      </c>
      <c r="H1" s="22"/>
      <c r="I1" s="22"/>
      <c r="J1" s="23" t="s">
        <v>181</v>
      </c>
      <c r="K1" s="23" t="s">
        <v>182</v>
      </c>
      <c r="L1" s="23" t="s">
        <v>183</v>
      </c>
      <c r="M1" s="22"/>
      <c r="N1" s="22"/>
      <c r="O1" s="24" t="s">
        <v>184</v>
      </c>
      <c r="P1" s="24" t="s">
        <v>185</v>
      </c>
      <c r="Q1" s="24" t="s">
        <v>186</v>
      </c>
      <c r="R1" s="22"/>
      <c r="S1" s="22"/>
      <c r="T1" s="24" t="s">
        <v>187</v>
      </c>
      <c r="U1" s="24" t="s">
        <v>188</v>
      </c>
      <c r="V1" s="24" t="s">
        <v>189</v>
      </c>
      <c r="W1" s="22"/>
      <c r="X1" s="22"/>
      <c r="Y1" s="25" t="s">
        <v>190</v>
      </c>
      <c r="Z1" s="25" t="s">
        <v>191</v>
      </c>
      <c r="AA1" s="25" t="s">
        <v>192</v>
      </c>
      <c r="AB1" s="22"/>
      <c r="AC1" s="22"/>
      <c r="AD1" s="25" t="s">
        <v>193</v>
      </c>
      <c r="AE1" s="25" t="s">
        <v>194</v>
      </c>
      <c r="AF1" s="25" t="s">
        <v>195</v>
      </c>
      <c r="AG1" s="2"/>
      <c r="AH1" s="2"/>
      <c r="AI1" s="23" t="s">
        <v>196</v>
      </c>
      <c r="AJ1" s="23" t="s">
        <v>197</v>
      </c>
      <c r="AK1" s="23" t="s">
        <v>198</v>
      </c>
      <c r="AN1" s="23" t="s">
        <v>199</v>
      </c>
      <c r="AO1" s="23" t="s">
        <v>200</v>
      </c>
      <c r="AP1" s="23" t="s">
        <v>201</v>
      </c>
      <c r="AS1" s="26" t="s">
        <v>202</v>
      </c>
      <c r="AT1" s="26" t="s">
        <v>203</v>
      </c>
      <c r="AU1" s="26" t="s">
        <v>204</v>
      </c>
      <c r="AW1" s="23" t="s">
        <v>205</v>
      </c>
      <c r="AX1" s="23" t="s">
        <v>206</v>
      </c>
      <c r="AY1" s="23" t="s">
        <v>207</v>
      </c>
      <c r="BA1" s="26" t="s">
        <v>208</v>
      </c>
      <c r="BB1" s="26" t="s">
        <v>209</v>
      </c>
      <c r="BC1" s="26" t="s">
        <v>210</v>
      </c>
    </row>
    <row r="2" customFormat="false" ht="13.8" hidden="false" customHeight="false" outlineLevel="0" collapsed="false">
      <c r="A2" s="27" t="n">
        <v>1</v>
      </c>
      <c r="B2" s="28" t="s">
        <v>211</v>
      </c>
      <c r="C2" s="11" t="s">
        <v>75</v>
      </c>
      <c r="E2" s="27" t="n">
        <v>1</v>
      </c>
      <c r="F2" s="29" t="s">
        <v>212</v>
      </c>
      <c r="G2" s="11" t="s">
        <v>75</v>
      </c>
      <c r="H2" s="2" t="n">
        <f aca="false">IF(F2&lt;&gt;CONCATENATE("Aux",E2),1,0)</f>
        <v>0</v>
      </c>
      <c r="J2" s="27" t="n">
        <v>1</v>
      </c>
      <c r="K2" s="29" t="s">
        <v>213</v>
      </c>
      <c r="L2" s="11" t="s">
        <v>75</v>
      </c>
      <c r="M2" s="2" t="n">
        <f aca="false">IF(K2&lt;&gt;CONCATENATE("STAux",J2),1,0)</f>
        <v>0</v>
      </c>
      <c r="N2" s="2"/>
      <c r="O2" s="27" t="n">
        <v>1</v>
      </c>
      <c r="P2" s="29" t="s">
        <v>48</v>
      </c>
      <c r="Q2" s="11" t="s">
        <v>75</v>
      </c>
      <c r="R2" s="11" t="n">
        <f aca="false">IF(P2&lt;&gt;CONCATENATE("Grp",O2),1,0)</f>
        <v>0</v>
      </c>
      <c r="S2" s="11"/>
      <c r="T2" s="27" t="n">
        <v>1</v>
      </c>
      <c r="U2" s="29" t="s">
        <v>60</v>
      </c>
      <c r="V2" s="11" t="s">
        <v>75</v>
      </c>
      <c r="W2" s="2" t="n">
        <f aca="false">IF(U2&lt;&gt;CONCATENATE("StGrp",T2),1,0)</f>
        <v>0</v>
      </c>
      <c r="Y2" s="27" t="n">
        <v>1</v>
      </c>
      <c r="Z2" s="29" t="s">
        <v>214</v>
      </c>
      <c r="AA2" s="11" t="s">
        <v>75</v>
      </c>
      <c r="AB2" s="2" t="n">
        <f aca="false">IF(Z2&lt;&gt;CONCATENATE("Mtx",Y2),1,0)</f>
        <v>0</v>
      </c>
      <c r="AC2" s="2"/>
      <c r="AD2" s="27" t="n">
        <v>1</v>
      </c>
      <c r="AE2" s="29" t="s">
        <v>215</v>
      </c>
      <c r="AF2" s="11" t="s">
        <v>75</v>
      </c>
      <c r="AG2" s="2" t="n">
        <f aca="false">IF(AE2&lt;&gt;CONCATENATE("StMtx",AD2),1,0)</f>
        <v>0</v>
      </c>
      <c r="AI2" s="27" t="n">
        <v>1</v>
      </c>
      <c r="AJ2" s="29" t="s">
        <v>216</v>
      </c>
      <c r="AK2" s="11" t="s">
        <v>75</v>
      </c>
      <c r="AL2" s="2" t="n">
        <f aca="false">IF(AJ2&lt;&gt;CONCATENATE("Fx",AI2),1,0)</f>
        <v>0</v>
      </c>
      <c r="AM2" s="2"/>
      <c r="AN2" s="27" t="n">
        <v>1</v>
      </c>
      <c r="AO2" s="29" t="s">
        <v>217</v>
      </c>
      <c r="AP2" s="11" t="s">
        <v>75</v>
      </c>
      <c r="AQ2" s="2" t="n">
        <f aca="false">IF(AO2&lt;&gt;CONCATENATE("StFx",AN2),1,0)</f>
        <v>0</v>
      </c>
      <c r="AR2" s="2"/>
      <c r="AS2" s="27" t="n">
        <v>1</v>
      </c>
      <c r="AT2" s="29" t="s">
        <v>218</v>
      </c>
      <c r="AU2" s="11" t="s">
        <v>75</v>
      </c>
      <c r="AW2" s="27" t="n">
        <v>1</v>
      </c>
      <c r="AX2" s="29" t="s">
        <v>219</v>
      </c>
      <c r="AY2" s="11" t="s">
        <v>75</v>
      </c>
      <c r="AZ2" s="2"/>
      <c r="BA2" s="27" t="n">
        <v>1</v>
      </c>
      <c r="BB2" s="29" t="s">
        <v>220</v>
      </c>
      <c r="BC2" s="11" t="s">
        <v>75</v>
      </c>
    </row>
    <row r="3" customFormat="false" ht="13.8" hidden="false" customHeight="false" outlineLevel="0" collapsed="false">
      <c r="A3" s="27" t="n">
        <v>2</v>
      </c>
      <c r="B3" s="28" t="s">
        <v>221</v>
      </c>
      <c r="C3" s="11" t="s">
        <v>92</v>
      </c>
      <c r="E3" s="27" t="n">
        <v>2</v>
      </c>
      <c r="F3" s="29" t="s">
        <v>222</v>
      </c>
      <c r="G3" s="11" t="s">
        <v>92</v>
      </c>
      <c r="H3" s="2" t="n">
        <f aca="false">IF(F3&lt;&gt;CONCATENATE("Aux",E3),1,0)</f>
        <v>0</v>
      </c>
      <c r="J3" s="27" t="n">
        <v>2</v>
      </c>
      <c r="K3" s="29" t="s">
        <v>223</v>
      </c>
      <c r="L3" s="11" t="s">
        <v>92</v>
      </c>
      <c r="M3" s="2" t="n">
        <f aca="false">IF(K3&lt;&gt;CONCATENATE("STAux",J3),1,0)</f>
        <v>0</v>
      </c>
      <c r="N3" s="2"/>
      <c r="O3" s="27" t="n">
        <v>2</v>
      </c>
      <c r="P3" s="29" t="s">
        <v>49</v>
      </c>
      <c r="Q3" s="11" t="s">
        <v>92</v>
      </c>
      <c r="R3" s="11" t="n">
        <f aca="false">IF(P3&lt;&gt;CONCATENATE("Grp",O3),1,0)</f>
        <v>0</v>
      </c>
      <c r="S3" s="11"/>
      <c r="T3" s="27" t="n">
        <v>2</v>
      </c>
      <c r="U3" s="29" t="s">
        <v>61</v>
      </c>
      <c r="V3" s="11" t="s">
        <v>92</v>
      </c>
      <c r="W3" s="2" t="n">
        <f aca="false">IF(U3&lt;&gt;CONCATENATE("StGrp",T3),1,0)</f>
        <v>0</v>
      </c>
      <c r="Y3" s="27" t="n">
        <v>2</v>
      </c>
      <c r="Z3" s="29" t="s">
        <v>224</v>
      </c>
      <c r="AA3" s="11" t="s">
        <v>92</v>
      </c>
      <c r="AB3" s="2" t="n">
        <f aca="false">IF(Z3&lt;&gt;CONCATENATE("Mtx",Y3),1,0)</f>
        <v>0</v>
      </c>
      <c r="AC3" s="2"/>
      <c r="AD3" s="27" t="n">
        <v>2</v>
      </c>
      <c r="AE3" s="29" t="s">
        <v>225</v>
      </c>
      <c r="AF3" s="11" t="s">
        <v>92</v>
      </c>
      <c r="AG3" s="2" t="n">
        <f aca="false">IF(AE3&lt;&gt;CONCATENATE("StMtx",AD3),1,0)</f>
        <v>0</v>
      </c>
      <c r="AI3" s="27" t="n">
        <v>2</v>
      </c>
      <c r="AJ3" s="29" t="s">
        <v>226</v>
      </c>
      <c r="AK3" s="11" t="s">
        <v>92</v>
      </c>
      <c r="AL3" s="2" t="n">
        <f aca="false">IF(AJ3&lt;&gt;CONCATENATE("Fx",AI3),1,0)</f>
        <v>0</v>
      </c>
      <c r="AM3" s="2"/>
      <c r="AN3" s="27" t="n">
        <v>2</v>
      </c>
      <c r="AO3" s="29" t="s">
        <v>227</v>
      </c>
      <c r="AP3" s="11" t="s">
        <v>92</v>
      </c>
      <c r="AQ3" s="2" t="n">
        <f aca="false">IF(AO3&lt;&gt;CONCATENATE("StFx",AN3),1,0)</f>
        <v>0</v>
      </c>
      <c r="AR3" s="2"/>
      <c r="AS3" s="27" t="n">
        <v>2</v>
      </c>
      <c r="AT3" s="29" t="s">
        <v>228</v>
      </c>
      <c r="AU3" s="11" t="s">
        <v>92</v>
      </c>
      <c r="AW3" s="27" t="n">
        <v>2</v>
      </c>
      <c r="AX3" s="29" t="s">
        <v>229</v>
      </c>
      <c r="AY3" s="11" t="s">
        <v>92</v>
      </c>
      <c r="AZ3" s="2"/>
      <c r="BA3" s="27" t="n">
        <v>2</v>
      </c>
      <c r="BB3" s="29" t="s">
        <v>230</v>
      </c>
      <c r="BC3" s="11" t="s">
        <v>92</v>
      </c>
    </row>
    <row r="4" customFormat="false" ht="13.8" hidden="false" customHeight="false" outlineLevel="0" collapsed="false">
      <c r="A4" s="27" t="n">
        <v>3</v>
      </c>
      <c r="B4" s="28" t="s">
        <v>231</v>
      </c>
      <c r="C4" s="11" t="s">
        <v>105</v>
      </c>
      <c r="E4" s="27" t="n">
        <v>3</v>
      </c>
      <c r="F4" s="29" t="s">
        <v>232</v>
      </c>
      <c r="G4" s="11" t="s">
        <v>105</v>
      </c>
      <c r="H4" s="2" t="n">
        <f aca="false">IF(F4&lt;&gt;CONCATENATE("Aux",E4),1,0)</f>
        <v>0</v>
      </c>
      <c r="J4" s="27" t="n">
        <v>3</v>
      </c>
      <c r="K4" s="29" t="s">
        <v>233</v>
      </c>
      <c r="L4" s="11" t="s">
        <v>105</v>
      </c>
      <c r="M4" s="2" t="n">
        <f aca="false">IF(K4&lt;&gt;CONCATENATE("STAux",J4),1,0)</f>
        <v>0</v>
      </c>
      <c r="N4" s="2"/>
      <c r="O4" s="27" t="n">
        <v>3</v>
      </c>
      <c r="P4" s="29" t="s">
        <v>50</v>
      </c>
      <c r="Q4" s="11" t="s">
        <v>105</v>
      </c>
      <c r="R4" s="11" t="n">
        <f aca="false">IF(P4&lt;&gt;CONCATENATE("Grp",O4),1,0)</f>
        <v>0</v>
      </c>
      <c r="S4" s="11"/>
      <c r="T4" s="27" t="n">
        <v>3</v>
      </c>
      <c r="U4" s="29" t="s">
        <v>62</v>
      </c>
      <c r="V4" s="11" t="s">
        <v>105</v>
      </c>
      <c r="W4" s="2" t="n">
        <f aca="false">IF(U4&lt;&gt;CONCATENATE("StGrp",T4),1,0)</f>
        <v>0</v>
      </c>
      <c r="Y4" s="27" t="n">
        <v>3</v>
      </c>
      <c r="Z4" s="29" t="s">
        <v>234</v>
      </c>
      <c r="AA4" s="11" t="s">
        <v>105</v>
      </c>
      <c r="AB4" s="2" t="n">
        <f aca="false">IF(Z4&lt;&gt;CONCATENATE("Mtx",Y4),1,0)</f>
        <v>0</v>
      </c>
      <c r="AC4" s="2"/>
      <c r="AD4" s="27" t="n">
        <v>3</v>
      </c>
      <c r="AE4" s="29" t="s">
        <v>235</v>
      </c>
      <c r="AF4" s="11" t="s">
        <v>105</v>
      </c>
      <c r="AG4" s="2" t="n">
        <f aca="false">IF(AE4&lt;&gt;CONCATENATE("StMtx",AD4),1,0)</f>
        <v>0</v>
      </c>
      <c r="AI4" s="27" t="n">
        <v>3</v>
      </c>
      <c r="AJ4" s="29" t="s">
        <v>236</v>
      </c>
      <c r="AK4" s="11" t="s">
        <v>105</v>
      </c>
      <c r="AL4" s="2" t="n">
        <f aca="false">IF(AJ4&lt;&gt;CONCATENATE("Fx",AI4),1,0)</f>
        <v>0</v>
      </c>
      <c r="AM4" s="2"/>
      <c r="AN4" s="27" t="n">
        <v>3</v>
      </c>
      <c r="AO4" s="29" t="s">
        <v>237</v>
      </c>
      <c r="AP4" s="11" t="s">
        <v>105</v>
      </c>
      <c r="AQ4" s="2" t="n">
        <f aca="false">IF(AO4&lt;&gt;CONCATENATE("StFx",AN4),1,0)</f>
        <v>0</v>
      </c>
      <c r="AR4" s="2"/>
      <c r="AS4" s="27" t="n">
        <v>3</v>
      </c>
      <c r="AT4" s="29" t="s">
        <v>238</v>
      </c>
      <c r="AU4" s="11" t="s">
        <v>105</v>
      </c>
      <c r="AW4" s="27" t="n">
        <v>3</v>
      </c>
      <c r="AX4" s="29" t="s">
        <v>239</v>
      </c>
      <c r="AY4" s="11" t="s">
        <v>105</v>
      </c>
      <c r="AZ4" s="2"/>
      <c r="BA4" s="27" t="n">
        <v>3</v>
      </c>
      <c r="BB4" s="29" t="s">
        <v>240</v>
      </c>
      <c r="BC4" s="11" t="s">
        <v>105</v>
      </c>
    </row>
    <row r="5" customFormat="false" ht="13.8" hidden="false" customHeight="false" outlineLevel="0" collapsed="false">
      <c r="A5" s="27" t="n">
        <v>4</v>
      </c>
      <c r="B5" s="28" t="s">
        <v>241</v>
      </c>
      <c r="C5" s="11" t="s">
        <v>118</v>
      </c>
      <c r="E5" s="27" t="n">
        <v>4</v>
      </c>
      <c r="F5" s="29" t="s">
        <v>242</v>
      </c>
      <c r="G5" s="11" t="s">
        <v>118</v>
      </c>
      <c r="H5" s="2" t="n">
        <f aca="false">IF(F5&lt;&gt;CONCATENATE("Aux",E5),1,0)</f>
        <v>0</v>
      </c>
      <c r="J5" s="27" t="n">
        <v>4</v>
      </c>
      <c r="K5" s="29" t="s">
        <v>243</v>
      </c>
      <c r="L5" s="11" t="s">
        <v>118</v>
      </c>
      <c r="M5" s="2" t="n">
        <f aca="false">IF(K5&lt;&gt;CONCATENATE("STAux",J5),1,0)</f>
        <v>0</v>
      </c>
      <c r="N5" s="2"/>
      <c r="O5" s="27" t="n">
        <v>4</v>
      </c>
      <c r="P5" s="29" t="s">
        <v>51</v>
      </c>
      <c r="Q5" s="11" t="s">
        <v>118</v>
      </c>
      <c r="R5" s="11" t="n">
        <f aca="false">IF(P5&lt;&gt;CONCATENATE("Grp",O5),1,0)</f>
        <v>0</v>
      </c>
      <c r="S5" s="11"/>
      <c r="T5" s="27" t="n">
        <v>4</v>
      </c>
      <c r="U5" s="29" t="s">
        <v>63</v>
      </c>
      <c r="V5" s="11" t="s">
        <v>118</v>
      </c>
      <c r="W5" s="2" t="n">
        <f aca="false">IF(U5&lt;&gt;CONCATENATE("StGrp",T5),1,0)</f>
        <v>0</v>
      </c>
      <c r="Y5" s="27" t="n">
        <v>4</v>
      </c>
      <c r="Z5" s="29" t="s">
        <v>244</v>
      </c>
      <c r="AA5" s="11" t="s">
        <v>118</v>
      </c>
      <c r="AB5" s="2" t="n">
        <f aca="false">IF(Z5&lt;&gt;CONCATENATE("Mtx",Y5),1,0)</f>
        <v>0</v>
      </c>
      <c r="AC5" s="2"/>
      <c r="AD5" s="27" t="n">
        <v>4</v>
      </c>
      <c r="AE5" s="29" t="s">
        <v>245</v>
      </c>
      <c r="AF5" s="11" t="s">
        <v>118</v>
      </c>
      <c r="AG5" s="2" t="n">
        <f aca="false">IF(AE5&lt;&gt;CONCATENATE("StMtx",AD5),1,0)</f>
        <v>0</v>
      </c>
      <c r="AI5" s="27" t="n">
        <v>4</v>
      </c>
      <c r="AJ5" s="29" t="s">
        <v>246</v>
      </c>
      <c r="AK5" s="11" t="s">
        <v>118</v>
      </c>
      <c r="AL5" s="2" t="n">
        <f aca="false">IF(AJ5&lt;&gt;CONCATENATE("Fx",AI5),1,0)</f>
        <v>0</v>
      </c>
      <c r="AM5" s="2"/>
      <c r="AN5" s="27" t="n">
        <v>4</v>
      </c>
      <c r="AO5" s="29" t="s">
        <v>247</v>
      </c>
      <c r="AP5" s="11" t="s">
        <v>118</v>
      </c>
      <c r="AQ5" s="2" t="n">
        <f aca="false">IF(AO5&lt;&gt;CONCATENATE("StFx",AN5),1,0)</f>
        <v>0</v>
      </c>
      <c r="AR5" s="2"/>
      <c r="AS5" s="27" t="n">
        <v>4</v>
      </c>
      <c r="AT5" s="29" t="s">
        <v>248</v>
      </c>
      <c r="AU5" s="11" t="s">
        <v>118</v>
      </c>
      <c r="AW5" s="27" t="n">
        <v>4</v>
      </c>
      <c r="AX5" s="29" t="s">
        <v>249</v>
      </c>
      <c r="AY5" s="11" t="s">
        <v>118</v>
      </c>
      <c r="AZ5" s="2"/>
      <c r="BA5" s="27" t="n">
        <v>4</v>
      </c>
      <c r="BB5" s="29" t="s">
        <v>250</v>
      </c>
      <c r="BC5" s="11" t="s">
        <v>118</v>
      </c>
    </row>
    <row r="6" customFormat="false" ht="13.8" hidden="false" customHeight="false" outlineLevel="0" collapsed="false">
      <c r="A6" s="27" t="n">
        <v>5</v>
      </c>
      <c r="B6" s="28" t="s">
        <v>251</v>
      </c>
      <c r="C6" s="11" t="s">
        <v>131</v>
      </c>
      <c r="E6" s="27" t="n">
        <v>5</v>
      </c>
      <c r="F6" s="29" t="s">
        <v>252</v>
      </c>
      <c r="G6" s="11" t="s">
        <v>131</v>
      </c>
      <c r="H6" s="2" t="n">
        <f aca="false">IF(F6&lt;&gt;CONCATENATE("Aux",E6),1,0)</f>
        <v>0</v>
      </c>
      <c r="J6" s="27" t="n">
        <v>5</v>
      </c>
      <c r="K6" s="29" t="s">
        <v>253</v>
      </c>
      <c r="L6" s="11" t="s">
        <v>131</v>
      </c>
      <c r="M6" s="2" t="n">
        <f aca="false">IF(K6&lt;&gt;CONCATENATE("STAux",J6),1,0)</f>
        <v>0</v>
      </c>
      <c r="N6" s="2"/>
      <c r="O6" s="27" t="n">
        <v>5</v>
      </c>
      <c r="P6" s="29" t="s">
        <v>52</v>
      </c>
      <c r="Q6" s="11" t="s">
        <v>131</v>
      </c>
      <c r="R6" s="11" t="n">
        <f aca="false">IF(P6&lt;&gt;CONCATENATE("Grp",O6),1,0)</f>
        <v>0</v>
      </c>
      <c r="S6" s="11"/>
      <c r="T6" s="27" t="n">
        <v>5</v>
      </c>
      <c r="U6" s="29" t="s">
        <v>64</v>
      </c>
      <c r="V6" s="11" t="s">
        <v>131</v>
      </c>
      <c r="W6" s="2" t="n">
        <f aca="false">IF(U6&lt;&gt;CONCATENATE("StGrp",T6),1,0)</f>
        <v>0</v>
      </c>
      <c r="Y6" s="27" t="n">
        <v>5</v>
      </c>
      <c r="Z6" s="29" t="s">
        <v>254</v>
      </c>
      <c r="AA6" s="11" t="s">
        <v>131</v>
      </c>
      <c r="AB6" s="2" t="n">
        <f aca="false">IF(Z6&lt;&gt;CONCATENATE("Mtx",Y6),1,0)</f>
        <v>0</v>
      </c>
      <c r="AC6" s="2"/>
      <c r="AD6" s="27" t="n">
        <v>5</v>
      </c>
      <c r="AE6" s="29" t="s">
        <v>255</v>
      </c>
      <c r="AF6" s="11" t="s">
        <v>131</v>
      </c>
      <c r="AG6" s="2" t="n">
        <f aca="false">IF(AE6&lt;&gt;CONCATENATE("StMtx",AD6),1,0)</f>
        <v>0</v>
      </c>
      <c r="AI6" s="27" t="n">
        <v>5</v>
      </c>
      <c r="AJ6" s="29" t="s">
        <v>256</v>
      </c>
      <c r="AK6" s="11" t="s">
        <v>131</v>
      </c>
      <c r="AL6" s="2" t="n">
        <f aca="false">IF(AJ6&lt;&gt;CONCATENATE("Fx",AI6),1,0)</f>
        <v>0</v>
      </c>
      <c r="AM6" s="2"/>
      <c r="AN6" s="27" t="n">
        <v>5</v>
      </c>
      <c r="AO6" s="29" t="s">
        <v>257</v>
      </c>
      <c r="AP6" s="11" t="s">
        <v>131</v>
      </c>
      <c r="AQ6" s="2" t="n">
        <f aca="false">IF(AO6&lt;&gt;CONCATENATE("StFx",AN6),1,0)</f>
        <v>0</v>
      </c>
      <c r="AR6" s="2"/>
      <c r="AS6" s="27" t="n">
        <v>5</v>
      </c>
      <c r="AT6" s="29" t="s">
        <v>258</v>
      </c>
      <c r="AU6" s="11" t="s">
        <v>131</v>
      </c>
      <c r="AW6" s="27" t="n">
        <v>5</v>
      </c>
      <c r="AX6" s="29" t="s">
        <v>259</v>
      </c>
      <c r="AY6" s="11" t="s">
        <v>131</v>
      </c>
      <c r="AZ6" s="2"/>
      <c r="BA6" s="27" t="n">
        <v>5</v>
      </c>
      <c r="BB6" s="29" t="s">
        <v>260</v>
      </c>
      <c r="BC6" s="11" t="s">
        <v>131</v>
      </c>
    </row>
    <row r="7" customFormat="false" ht="13.8" hidden="false" customHeight="false" outlineLevel="0" collapsed="false">
      <c r="A7" s="27" t="n">
        <v>6</v>
      </c>
      <c r="B7" s="28" t="s">
        <v>261</v>
      </c>
      <c r="C7" s="30" t="s">
        <v>146</v>
      </c>
      <c r="D7" s="2"/>
      <c r="E7" s="27" t="n">
        <v>6</v>
      </c>
      <c r="F7" s="29" t="s">
        <v>262</v>
      </c>
      <c r="G7" s="30" t="s">
        <v>146</v>
      </c>
      <c r="H7" s="2" t="n">
        <f aca="false">IF(F7&lt;&gt;CONCATENATE("Aux",E7),1,0)</f>
        <v>0</v>
      </c>
      <c r="J7" s="27" t="n">
        <v>6</v>
      </c>
      <c r="K7" s="29" t="s">
        <v>263</v>
      </c>
      <c r="L7" s="30" t="s">
        <v>146</v>
      </c>
      <c r="M7" s="2" t="n">
        <f aca="false">IF(K7&lt;&gt;CONCATENATE("STAux",J7),1,0)</f>
        <v>0</v>
      </c>
      <c r="N7" s="2"/>
      <c r="O7" s="27" t="n">
        <v>6</v>
      </c>
      <c r="P7" s="29" t="s">
        <v>53</v>
      </c>
      <c r="Q7" s="30" t="s">
        <v>146</v>
      </c>
      <c r="R7" s="11" t="n">
        <f aca="false">IF(P7&lt;&gt;CONCATENATE("Grp",O7),1,0)</f>
        <v>0</v>
      </c>
      <c r="S7" s="11"/>
      <c r="T7" s="27" t="n">
        <v>6</v>
      </c>
      <c r="U7" s="29" t="s">
        <v>65</v>
      </c>
      <c r="V7" s="30" t="s">
        <v>146</v>
      </c>
      <c r="W7" s="2" t="n">
        <f aca="false">IF(U7&lt;&gt;CONCATENATE("StGrp",T7),1,0)</f>
        <v>0</v>
      </c>
      <c r="Y7" s="27" t="n">
        <v>6</v>
      </c>
      <c r="Z7" s="29" t="s">
        <v>264</v>
      </c>
      <c r="AA7" s="30" t="s">
        <v>146</v>
      </c>
      <c r="AB7" s="2" t="n">
        <f aca="false">IF(Z7&lt;&gt;CONCATENATE("Mtx",Y7),1,0)</f>
        <v>0</v>
      </c>
      <c r="AC7" s="2"/>
      <c r="AD7" s="27" t="n">
        <v>6</v>
      </c>
      <c r="AE7" s="29" t="s">
        <v>265</v>
      </c>
      <c r="AF7" s="30" t="s">
        <v>146</v>
      </c>
      <c r="AG7" s="2" t="n">
        <f aca="false">IF(AE7&lt;&gt;CONCATENATE("StMtx",AD7),1,0)</f>
        <v>0</v>
      </c>
      <c r="AI7" s="27" t="n">
        <v>6</v>
      </c>
      <c r="AJ7" s="29" t="s">
        <v>266</v>
      </c>
      <c r="AK7" s="30" t="s">
        <v>146</v>
      </c>
      <c r="AL7" s="2" t="n">
        <f aca="false">IF(AJ7&lt;&gt;CONCATENATE("Fx",AI7),1,0)</f>
        <v>0</v>
      </c>
      <c r="AM7" s="2"/>
      <c r="AN7" s="27" t="n">
        <v>6</v>
      </c>
      <c r="AO7" s="29" t="s">
        <v>267</v>
      </c>
      <c r="AP7" s="30" t="s">
        <v>146</v>
      </c>
      <c r="AQ7" s="2" t="n">
        <f aca="false">IF(AO7&lt;&gt;CONCATENATE("StFx",AN7),1,0)</f>
        <v>0</v>
      </c>
      <c r="AR7" s="2"/>
      <c r="AS7" s="27" t="n">
        <v>6</v>
      </c>
      <c r="AT7" s="29" t="s">
        <v>268</v>
      </c>
      <c r="AU7" s="30" t="s">
        <v>146</v>
      </c>
      <c r="AW7" s="27" t="n">
        <v>6</v>
      </c>
      <c r="AX7" s="29" t="s">
        <v>269</v>
      </c>
      <c r="AY7" s="30" t="s">
        <v>146</v>
      </c>
      <c r="AZ7" s="2"/>
      <c r="BA7" s="27" t="n">
        <v>6</v>
      </c>
      <c r="BB7" s="29" t="s">
        <v>270</v>
      </c>
      <c r="BC7" s="30" t="s">
        <v>146</v>
      </c>
    </row>
    <row r="8" customFormat="false" ht="13.8" hidden="false" customHeight="false" outlineLevel="0" collapsed="false">
      <c r="A8" s="27" t="n">
        <v>7</v>
      </c>
      <c r="B8" s="28" t="s">
        <v>271</v>
      </c>
      <c r="C8" s="30" t="s">
        <v>272</v>
      </c>
      <c r="E8" s="27" t="n">
        <v>7</v>
      </c>
      <c r="F8" s="29" t="s">
        <v>273</v>
      </c>
      <c r="G8" s="30" t="s">
        <v>272</v>
      </c>
      <c r="H8" s="2" t="n">
        <f aca="false">IF(F8&lt;&gt;CONCATENATE("Aux",E8),1,0)</f>
        <v>0</v>
      </c>
      <c r="J8" s="27" t="n">
        <v>7</v>
      </c>
      <c r="K8" s="29" t="s">
        <v>274</v>
      </c>
      <c r="L8" s="30" t="s">
        <v>272</v>
      </c>
      <c r="M8" s="2" t="n">
        <f aca="false">IF(K8&lt;&gt;CONCATENATE("STAux",J8),1,0)</f>
        <v>0</v>
      </c>
      <c r="N8" s="2"/>
      <c r="O8" s="27" t="n">
        <v>7</v>
      </c>
      <c r="P8" s="29" t="s">
        <v>54</v>
      </c>
      <c r="Q8" s="30" t="s">
        <v>272</v>
      </c>
      <c r="R8" s="11" t="n">
        <f aca="false">IF(P8&lt;&gt;CONCATENATE("Grp",O8),1,0)</f>
        <v>0</v>
      </c>
      <c r="S8" s="11"/>
      <c r="T8" s="27" t="n">
        <v>7</v>
      </c>
      <c r="U8" s="29" t="s">
        <v>66</v>
      </c>
      <c r="V8" s="30" t="s">
        <v>272</v>
      </c>
      <c r="W8" s="2" t="n">
        <f aca="false">IF(U8&lt;&gt;CONCATENATE("StGrp",T8),1,0)</f>
        <v>0</v>
      </c>
      <c r="Y8" s="27" t="n">
        <v>7</v>
      </c>
      <c r="Z8" s="29" t="s">
        <v>275</v>
      </c>
      <c r="AA8" s="30" t="s">
        <v>272</v>
      </c>
      <c r="AB8" s="2" t="n">
        <f aca="false">IF(Z8&lt;&gt;CONCATENATE("Mtx",Y8),1,0)</f>
        <v>0</v>
      </c>
      <c r="AC8" s="2"/>
      <c r="AD8" s="27" t="n">
        <v>7</v>
      </c>
      <c r="AE8" s="29" t="s">
        <v>276</v>
      </c>
      <c r="AF8" s="30" t="s">
        <v>272</v>
      </c>
      <c r="AG8" s="2" t="n">
        <f aca="false">IF(AE8&lt;&gt;CONCATENATE("StMtx",AD8),1,0)</f>
        <v>0</v>
      </c>
      <c r="AI8" s="27" t="n">
        <v>7</v>
      </c>
      <c r="AJ8" s="29" t="s">
        <v>277</v>
      </c>
      <c r="AK8" s="30" t="s">
        <v>272</v>
      </c>
      <c r="AL8" s="2" t="n">
        <f aca="false">IF(AJ8&lt;&gt;CONCATENATE("Fx",AI8),1,0)</f>
        <v>0</v>
      </c>
      <c r="AM8" s="2"/>
      <c r="AN8" s="27" t="n">
        <v>7</v>
      </c>
      <c r="AO8" s="29" t="s">
        <v>278</v>
      </c>
      <c r="AP8" s="30" t="s">
        <v>272</v>
      </c>
      <c r="AQ8" s="2" t="n">
        <f aca="false">IF(AO8&lt;&gt;CONCATENATE("StFx",AN8),1,0)</f>
        <v>0</v>
      </c>
      <c r="AR8" s="2"/>
      <c r="AS8" s="27" t="n">
        <v>7</v>
      </c>
      <c r="AT8" s="29" t="s">
        <v>279</v>
      </c>
      <c r="AU8" s="30" t="s">
        <v>272</v>
      </c>
      <c r="AW8" s="27" t="n">
        <v>7</v>
      </c>
      <c r="AX8" s="29" t="s">
        <v>280</v>
      </c>
      <c r="AY8" s="30" t="s">
        <v>272</v>
      </c>
      <c r="AZ8" s="2"/>
      <c r="BA8" s="27" t="n">
        <v>7</v>
      </c>
      <c r="BB8" s="29" t="s">
        <v>281</v>
      </c>
      <c r="BC8" s="30" t="s">
        <v>272</v>
      </c>
    </row>
    <row r="9" customFormat="false" ht="13.8" hidden="false" customHeight="false" outlineLevel="0" collapsed="false">
      <c r="A9" s="27" t="n">
        <v>8</v>
      </c>
      <c r="B9" s="28" t="s">
        <v>282</v>
      </c>
      <c r="C9" s="30" t="s">
        <v>283</v>
      </c>
      <c r="E9" s="27" t="n">
        <v>8</v>
      </c>
      <c r="F9" s="29" t="s">
        <v>284</v>
      </c>
      <c r="G9" s="30" t="s">
        <v>283</v>
      </c>
      <c r="H9" s="2" t="n">
        <f aca="false">IF(F9&lt;&gt;CONCATENATE("Aux",E9),1,0)</f>
        <v>0</v>
      </c>
      <c r="J9" s="27" t="n">
        <v>8</v>
      </c>
      <c r="K9" s="29" t="s">
        <v>285</v>
      </c>
      <c r="L9" s="30" t="s">
        <v>283</v>
      </c>
      <c r="M9" s="2" t="n">
        <f aca="false">IF(K9&lt;&gt;CONCATENATE("STAux",J9),1,0)</f>
        <v>0</v>
      </c>
      <c r="N9" s="2"/>
      <c r="O9" s="27" t="n">
        <v>8</v>
      </c>
      <c r="P9" s="29" t="s">
        <v>55</v>
      </c>
      <c r="Q9" s="30" t="s">
        <v>283</v>
      </c>
      <c r="R9" s="11" t="n">
        <f aca="false">IF(P9&lt;&gt;CONCATENATE("Grp",O9),1,0)</f>
        <v>0</v>
      </c>
      <c r="S9" s="11"/>
      <c r="T9" s="27" t="n">
        <v>8</v>
      </c>
      <c r="U9" s="29" t="s">
        <v>67</v>
      </c>
      <c r="V9" s="30" t="s">
        <v>283</v>
      </c>
      <c r="W9" s="2" t="n">
        <f aca="false">IF(U9&lt;&gt;CONCATENATE("StGrp",T9),1,0)</f>
        <v>0</v>
      </c>
      <c r="Y9" s="27" t="n">
        <v>8</v>
      </c>
      <c r="Z9" s="29" t="s">
        <v>286</v>
      </c>
      <c r="AA9" s="30" t="s">
        <v>283</v>
      </c>
      <c r="AB9" s="2" t="n">
        <f aca="false">IF(Z9&lt;&gt;CONCATENATE("Mtx",Y9),1,0)</f>
        <v>0</v>
      </c>
      <c r="AC9" s="2"/>
      <c r="AD9" s="27" t="n">
        <v>8</v>
      </c>
      <c r="AE9" s="29" t="s">
        <v>287</v>
      </c>
      <c r="AF9" s="30" t="s">
        <v>283</v>
      </c>
      <c r="AG9" s="2" t="n">
        <f aca="false">IF(AE9&lt;&gt;CONCATENATE("StMtx",AD9),1,0)</f>
        <v>0</v>
      </c>
      <c r="AI9" s="27" t="n">
        <v>8</v>
      </c>
      <c r="AJ9" s="29" t="s">
        <v>288</v>
      </c>
      <c r="AK9" s="30" t="s">
        <v>283</v>
      </c>
      <c r="AL9" s="2" t="n">
        <f aca="false">IF(AJ9&lt;&gt;CONCATENATE("Fx",AI9),1,0)</f>
        <v>0</v>
      </c>
      <c r="AM9" s="2"/>
      <c r="AN9" s="27" t="n">
        <v>8</v>
      </c>
      <c r="AO9" s="29" t="s">
        <v>289</v>
      </c>
      <c r="AP9" s="30" t="s">
        <v>283</v>
      </c>
      <c r="AQ9" s="2" t="n">
        <f aca="false">IF(AO9&lt;&gt;CONCATENATE("StFx",AN9),1,0)</f>
        <v>0</v>
      </c>
      <c r="AR9" s="2"/>
      <c r="AS9" s="27" t="n">
        <v>8</v>
      </c>
      <c r="AT9" s="29" t="s">
        <v>290</v>
      </c>
      <c r="AU9" s="30" t="s">
        <v>283</v>
      </c>
      <c r="AW9" s="27" t="n">
        <v>8</v>
      </c>
      <c r="AX9" s="29" t="s">
        <v>291</v>
      </c>
      <c r="AY9" s="30" t="s">
        <v>283</v>
      </c>
      <c r="AZ9" s="2"/>
      <c r="BA9" s="27" t="n">
        <v>8</v>
      </c>
      <c r="BB9" s="29" t="s">
        <v>292</v>
      </c>
      <c r="BC9" s="30" t="s">
        <v>283</v>
      </c>
    </row>
    <row r="10" customFormat="false" ht="13.8" hidden="false" customHeight="false" outlineLevel="0" collapsed="false">
      <c r="A10" s="27" t="n">
        <v>9</v>
      </c>
      <c r="B10" s="28" t="s">
        <v>293</v>
      </c>
      <c r="C10" s="30" t="s">
        <v>75</v>
      </c>
      <c r="E10" s="27" t="n">
        <v>9</v>
      </c>
      <c r="F10" s="29" t="s">
        <v>294</v>
      </c>
      <c r="G10" s="30" t="s">
        <v>75</v>
      </c>
      <c r="H10" s="2" t="n">
        <f aca="false">IF(F10&lt;&gt;CONCATENATE("Aux",E10),1,0)</f>
        <v>0</v>
      </c>
      <c r="J10" s="27" t="n">
        <v>9</v>
      </c>
      <c r="K10" s="29" t="s">
        <v>295</v>
      </c>
      <c r="L10" s="30" t="s">
        <v>75</v>
      </c>
      <c r="M10" s="2" t="n">
        <f aca="false">IF(K10&lt;&gt;CONCATENATE("STAux",J10),1,0)</f>
        <v>0</v>
      </c>
      <c r="N10" s="2"/>
      <c r="O10" s="27" t="n">
        <v>9</v>
      </c>
      <c r="P10" s="29" t="s">
        <v>56</v>
      </c>
      <c r="Q10" s="30" t="s">
        <v>75</v>
      </c>
      <c r="R10" s="11" t="n">
        <f aca="false">IF(P10&lt;&gt;CONCATENATE("Grp",O10),1,0)</f>
        <v>0</v>
      </c>
      <c r="S10" s="11"/>
      <c r="T10" s="27" t="n">
        <v>9</v>
      </c>
      <c r="U10" s="29" t="s">
        <v>68</v>
      </c>
      <c r="V10" s="30" t="s">
        <v>75</v>
      </c>
      <c r="W10" s="2" t="n">
        <f aca="false">IF(U10&lt;&gt;CONCATENATE("StGrp",T10),1,0)</f>
        <v>0</v>
      </c>
      <c r="Y10" s="27" t="n">
        <v>9</v>
      </c>
      <c r="Z10" s="29" t="s">
        <v>296</v>
      </c>
      <c r="AA10" s="30" t="s">
        <v>75</v>
      </c>
      <c r="AB10" s="2" t="n">
        <f aca="false">IF(Z10&lt;&gt;CONCATENATE("Mtx",Y10),1,0)</f>
        <v>0</v>
      </c>
      <c r="AC10" s="2"/>
      <c r="AD10" s="27" t="n">
        <v>9</v>
      </c>
      <c r="AE10" s="29" t="s">
        <v>297</v>
      </c>
      <c r="AF10" s="30" t="s">
        <v>75</v>
      </c>
      <c r="AG10" s="2" t="n">
        <f aca="false">IF(AE10&lt;&gt;CONCATENATE("StMtx",AD10),1,0)</f>
        <v>0</v>
      </c>
      <c r="AI10" s="27" t="n">
        <v>9</v>
      </c>
      <c r="AJ10" s="29" t="s">
        <v>298</v>
      </c>
      <c r="AK10" s="30" t="s">
        <v>75</v>
      </c>
      <c r="AL10" s="2" t="n">
        <f aca="false">IF(AJ10&lt;&gt;CONCATENATE("Fx",AI10),1,0)</f>
        <v>0</v>
      </c>
      <c r="AM10" s="2"/>
      <c r="AN10" s="27" t="n">
        <v>9</v>
      </c>
      <c r="AO10" s="29" t="s">
        <v>299</v>
      </c>
      <c r="AP10" s="30" t="s">
        <v>75</v>
      </c>
      <c r="AQ10" s="2" t="n">
        <f aca="false">IF(AO10&lt;&gt;CONCATENATE("StFx",AN10),1,0)</f>
        <v>0</v>
      </c>
      <c r="AR10" s="2"/>
      <c r="AS10" s="27" t="n">
        <v>9</v>
      </c>
      <c r="AT10" s="29" t="s">
        <v>300</v>
      </c>
      <c r="AU10" s="30" t="s">
        <v>75</v>
      </c>
    </row>
    <row r="11" customFormat="false" ht="13.8" hidden="false" customHeight="false" outlineLevel="0" collapsed="false">
      <c r="A11" s="27" t="n">
        <v>10</v>
      </c>
      <c r="B11" s="28" t="s">
        <v>301</v>
      </c>
      <c r="C11" s="30" t="s">
        <v>92</v>
      </c>
      <c r="E11" s="27" t="n">
        <v>10</v>
      </c>
      <c r="F11" s="29" t="s">
        <v>302</v>
      </c>
      <c r="G11" s="30" t="s">
        <v>92</v>
      </c>
      <c r="H11" s="2" t="n">
        <f aca="false">IF(F11&lt;&gt;CONCATENATE("Aux",E11),1,0)</f>
        <v>0</v>
      </c>
      <c r="J11" s="27" t="n">
        <v>10</v>
      </c>
      <c r="K11" s="29" t="s">
        <v>303</v>
      </c>
      <c r="L11" s="30" t="s">
        <v>92</v>
      </c>
      <c r="M11" s="2" t="n">
        <f aca="false">IF(K11&lt;&gt;CONCATENATE("STAux",J11),1,0)</f>
        <v>0</v>
      </c>
      <c r="N11" s="2"/>
      <c r="O11" s="27" t="n">
        <v>10</v>
      </c>
      <c r="P11" s="29" t="s">
        <v>57</v>
      </c>
      <c r="Q11" s="30" t="s">
        <v>92</v>
      </c>
      <c r="R11" s="11" t="n">
        <f aca="false">IF(P11&lt;&gt;CONCATENATE("Grp",O11),1,0)</f>
        <v>0</v>
      </c>
      <c r="S11" s="11"/>
      <c r="T11" s="27" t="n">
        <v>10</v>
      </c>
      <c r="U11" s="29" t="s">
        <v>69</v>
      </c>
      <c r="V11" s="30" t="s">
        <v>92</v>
      </c>
      <c r="W11" s="2" t="n">
        <f aca="false">IF(U11&lt;&gt;CONCATENATE("StGrp",T11),1,0)</f>
        <v>0</v>
      </c>
      <c r="Y11" s="27" t="n">
        <v>10</v>
      </c>
      <c r="Z11" s="29" t="s">
        <v>304</v>
      </c>
      <c r="AA11" s="30" t="s">
        <v>92</v>
      </c>
      <c r="AB11" s="2" t="n">
        <f aca="false">IF(Z11&lt;&gt;CONCATENATE("Mtx",Y11),1,0)</f>
        <v>0</v>
      </c>
      <c r="AC11" s="2"/>
      <c r="AD11" s="27" t="n">
        <v>10</v>
      </c>
      <c r="AE11" s="29" t="s">
        <v>305</v>
      </c>
      <c r="AF11" s="30" t="s">
        <v>92</v>
      </c>
      <c r="AG11" s="2" t="n">
        <f aca="false">IF(AE11&lt;&gt;CONCATENATE("StMtx",AD11),1,0)</f>
        <v>0</v>
      </c>
      <c r="AI11" s="27" t="n">
        <v>10</v>
      </c>
      <c r="AJ11" s="29" t="s">
        <v>306</v>
      </c>
      <c r="AK11" s="30" t="s">
        <v>92</v>
      </c>
      <c r="AL11" s="2" t="n">
        <f aca="false">IF(AJ11&lt;&gt;CONCATENATE("Fx",AI11),1,0)</f>
        <v>0</v>
      </c>
      <c r="AM11" s="2"/>
      <c r="AN11" s="27" t="n">
        <v>10</v>
      </c>
      <c r="AO11" s="29" t="s">
        <v>307</v>
      </c>
      <c r="AP11" s="30" t="s">
        <v>92</v>
      </c>
      <c r="AQ11" s="2" t="n">
        <f aca="false">IF(AO11&lt;&gt;CONCATENATE("StFx",AN11),1,0)</f>
        <v>0</v>
      </c>
      <c r="AR11" s="2"/>
      <c r="AS11" s="27" t="n">
        <v>10</v>
      </c>
      <c r="AT11" s="29" t="s">
        <v>308</v>
      </c>
      <c r="AU11" s="30" t="s">
        <v>92</v>
      </c>
    </row>
    <row r="12" customFormat="false" ht="13.8" hidden="false" customHeight="false" outlineLevel="0" collapsed="false">
      <c r="A12" s="27" t="n">
        <v>11</v>
      </c>
      <c r="B12" s="28" t="s">
        <v>309</v>
      </c>
      <c r="C12" s="30" t="s">
        <v>105</v>
      </c>
      <c r="E12" s="27" t="n">
        <v>11</v>
      </c>
      <c r="F12" s="29" t="s">
        <v>310</v>
      </c>
      <c r="G12" s="30" t="s">
        <v>105</v>
      </c>
      <c r="H12" s="2" t="n">
        <f aca="false">IF(F12&lt;&gt;CONCATENATE("Aux",E12),1,0)</f>
        <v>0</v>
      </c>
      <c r="J12" s="27" t="n">
        <v>11</v>
      </c>
      <c r="K12" s="29" t="s">
        <v>311</v>
      </c>
      <c r="L12" s="30" t="s">
        <v>105</v>
      </c>
      <c r="M12" s="2" t="n">
        <f aca="false">IF(K12&lt;&gt;CONCATENATE("STAux",J12),1,0)</f>
        <v>0</v>
      </c>
      <c r="N12" s="2"/>
      <c r="O12" s="27" t="n">
        <v>11</v>
      </c>
      <c r="P12" s="29" t="s">
        <v>58</v>
      </c>
      <c r="Q12" s="30" t="s">
        <v>105</v>
      </c>
      <c r="R12" s="11" t="n">
        <f aca="false">IF(P12&lt;&gt;CONCATENATE("Grp",O12),1,0)</f>
        <v>0</v>
      </c>
      <c r="S12" s="11"/>
      <c r="T12" s="27" t="n">
        <v>11</v>
      </c>
      <c r="U12" s="29" t="s">
        <v>70</v>
      </c>
      <c r="V12" s="30" t="s">
        <v>105</v>
      </c>
      <c r="W12" s="2" t="n">
        <f aca="false">IF(U12&lt;&gt;CONCATENATE("StGrp",T12),1,0)</f>
        <v>0</v>
      </c>
      <c r="Y12" s="27" t="n">
        <v>11</v>
      </c>
      <c r="Z12" s="29" t="s">
        <v>312</v>
      </c>
      <c r="AA12" s="30" t="s">
        <v>105</v>
      </c>
      <c r="AB12" s="2" t="n">
        <f aca="false">IF(Z12&lt;&gt;CONCATENATE("Mtx",Y12),1,0)</f>
        <v>0</v>
      </c>
      <c r="AC12" s="2"/>
      <c r="AD12" s="27" t="n">
        <v>11</v>
      </c>
      <c r="AE12" s="29" t="s">
        <v>313</v>
      </c>
      <c r="AF12" s="30" t="s">
        <v>105</v>
      </c>
      <c r="AG12" s="2" t="n">
        <f aca="false">IF(AE12&lt;&gt;CONCATENATE("StMtx",AD12),1,0)</f>
        <v>0</v>
      </c>
      <c r="AI12" s="27" t="n">
        <v>11</v>
      </c>
      <c r="AJ12" s="29" t="s">
        <v>314</v>
      </c>
      <c r="AK12" s="30" t="s">
        <v>105</v>
      </c>
      <c r="AL12" s="2" t="n">
        <f aca="false">IF(AJ12&lt;&gt;CONCATENATE("Fx",AI12),1,0)</f>
        <v>0</v>
      </c>
      <c r="AM12" s="2"/>
      <c r="AN12" s="27" t="n">
        <v>11</v>
      </c>
      <c r="AO12" s="29" t="s">
        <v>315</v>
      </c>
      <c r="AP12" s="30" t="s">
        <v>105</v>
      </c>
      <c r="AQ12" s="2" t="n">
        <f aca="false">IF(AO12&lt;&gt;CONCATENATE("StFx",AN12),1,0)</f>
        <v>0</v>
      </c>
      <c r="AR12" s="2"/>
      <c r="AS12" s="27" t="n">
        <v>11</v>
      </c>
      <c r="AT12" s="29" t="s">
        <v>316</v>
      </c>
      <c r="AU12" s="30" t="s">
        <v>105</v>
      </c>
    </row>
    <row r="13" customFormat="false" ht="13.8" hidden="false" customHeight="false" outlineLevel="0" collapsed="false">
      <c r="A13" s="27" t="n">
        <v>12</v>
      </c>
      <c r="B13" s="28" t="s">
        <v>317</v>
      </c>
      <c r="C13" s="30" t="s">
        <v>118</v>
      </c>
      <c r="E13" s="27" t="n">
        <v>12</v>
      </c>
      <c r="F13" s="29" t="s">
        <v>318</v>
      </c>
      <c r="G13" s="30" t="s">
        <v>118</v>
      </c>
      <c r="H13" s="2" t="n">
        <f aca="false">IF(F13&lt;&gt;CONCATENATE("Aux",E13),1,0)</f>
        <v>0</v>
      </c>
      <c r="J13" s="27" t="n">
        <v>12</v>
      </c>
      <c r="K13" s="29" t="s">
        <v>319</v>
      </c>
      <c r="L13" s="30" t="s">
        <v>118</v>
      </c>
      <c r="M13" s="2" t="n">
        <f aca="false">IF(K13&lt;&gt;CONCATENATE("STAux",J13),1,0)</f>
        <v>0</v>
      </c>
      <c r="N13" s="2"/>
      <c r="O13" s="27" t="n">
        <v>12</v>
      </c>
      <c r="P13" s="29" t="s">
        <v>59</v>
      </c>
      <c r="Q13" s="30" t="s">
        <v>118</v>
      </c>
      <c r="R13" s="11" t="n">
        <f aca="false">IF(P13&lt;&gt;CONCATENATE("Grp",O13),1,0)</f>
        <v>0</v>
      </c>
      <c r="S13" s="11"/>
      <c r="T13" s="27" t="n">
        <v>12</v>
      </c>
      <c r="U13" s="29" t="s">
        <v>71</v>
      </c>
      <c r="V13" s="30" t="s">
        <v>118</v>
      </c>
      <c r="W13" s="2" t="n">
        <f aca="false">IF(U13&lt;&gt;CONCATENATE("StGrp",T13),1,0)</f>
        <v>0</v>
      </c>
      <c r="Y13" s="27" t="n">
        <v>12</v>
      </c>
      <c r="Z13" s="29" t="s">
        <v>320</v>
      </c>
      <c r="AA13" s="30" t="s">
        <v>118</v>
      </c>
      <c r="AB13" s="2" t="n">
        <f aca="false">IF(Z13&lt;&gt;CONCATENATE("Mtx",Y13),1,0)</f>
        <v>0</v>
      </c>
      <c r="AC13" s="2"/>
      <c r="AD13" s="27" t="n">
        <v>12</v>
      </c>
      <c r="AE13" s="29" t="s">
        <v>321</v>
      </c>
      <c r="AF13" s="30" t="s">
        <v>118</v>
      </c>
      <c r="AG13" s="2" t="n">
        <f aca="false">IF(AE13&lt;&gt;CONCATENATE("StMtx",AD13),1,0)</f>
        <v>0</v>
      </c>
      <c r="AI13" s="27" t="n">
        <v>12</v>
      </c>
      <c r="AJ13" s="29" t="s">
        <v>322</v>
      </c>
      <c r="AK13" s="30" t="s">
        <v>118</v>
      </c>
      <c r="AL13" s="2" t="n">
        <f aca="false">IF(AJ13&lt;&gt;CONCATENATE("Fx",AI13),1,0)</f>
        <v>0</v>
      </c>
      <c r="AM13" s="2"/>
      <c r="AN13" s="27" t="n">
        <v>12</v>
      </c>
      <c r="AO13" s="29" t="s">
        <v>323</v>
      </c>
      <c r="AP13" s="30" t="s">
        <v>118</v>
      </c>
      <c r="AQ13" s="2" t="n">
        <f aca="false">IF(AO13&lt;&gt;CONCATENATE("StFx",AN13),1,0)</f>
        <v>0</v>
      </c>
      <c r="AR13" s="2"/>
      <c r="AS13" s="27" t="n">
        <v>12</v>
      </c>
      <c r="AT13" s="29" t="s">
        <v>324</v>
      </c>
      <c r="AU13" s="30" t="s">
        <v>118</v>
      </c>
    </row>
    <row r="14" customFormat="false" ht="13.8" hidden="false" customHeight="false" outlineLevel="0" collapsed="false">
      <c r="A14" s="27" t="n">
        <v>13</v>
      </c>
      <c r="B14" s="28" t="s">
        <v>325</v>
      </c>
      <c r="C14" s="30" t="s">
        <v>131</v>
      </c>
      <c r="E14" s="27" t="n">
        <v>13</v>
      </c>
      <c r="F14" s="29" t="s">
        <v>326</v>
      </c>
      <c r="G14" s="30" t="s">
        <v>131</v>
      </c>
      <c r="H14" s="2" t="n">
        <f aca="false">IF(F14&lt;&gt;CONCATENATE("Aux",E14),1,0)</f>
        <v>0</v>
      </c>
      <c r="J14" s="27" t="n">
        <v>13</v>
      </c>
      <c r="K14" s="29" t="s">
        <v>327</v>
      </c>
      <c r="L14" s="30" t="s">
        <v>131</v>
      </c>
      <c r="M14" s="2" t="n">
        <f aca="false">IF(K14&lt;&gt;CONCATENATE("STAux",J14),1,0)</f>
        <v>0</v>
      </c>
      <c r="N14" s="2"/>
      <c r="O14" s="27" t="n">
        <v>13</v>
      </c>
      <c r="P14" s="29" t="s">
        <v>328</v>
      </c>
      <c r="Q14" s="30" t="s">
        <v>131</v>
      </c>
      <c r="R14" s="11" t="n">
        <f aca="false">IF(P14&lt;&gt;CONCATENATE("Grp",O14),1,0)</f>
        <v>0</v>
      </c>
      <c r="S14" s="11"/>
      <c r="T14" s="27" t="n">
        <v>13</v>
      </c>
      <c r="U14" s="29" t="s">
        <v>329</v>
      </c>
      <c r="V14" s="30" t="s">
        <v>131</v>
      </c>
      <c r="W14" s="2" t="n">
        <f aca="false">IF(U14&lt;&gt;CONCATENATE("StGrp",T14),1,0)</f>
        <v>0</v>
      </c>
      <c r="Y14" s="27" t="n">
        <v>13</v>
      </c>
      <c r="Z14" s="29" t="s">
        <v>330</v>
      </c>
      <c r="AA14" s="30" t="s">
        <v>131</v>
      </c>
      <c r="AB14" s="2" t="n">
        <f aca="false">IF(Z14&lt;&gt;CONCATENATE("Mtx",Y14),1,0)</f>
        <v>0</v>
      </c>
      <c r="AC14" s="2"/>
      <c r="AD14" s="27" t="n">
        <v>13</v>
      </c>
      <c r="AE14" s="29" t="s">
        <v>331</v>
      </c>
      <c r="AF14" s="30" t="s">
        <v>131</v>
      </c>
      <c r="AG14" s="2" t="n">
        <f aca="false">IF(AE14&lt;&gt;CONCATENATE("StMtx",AD14),1,0)</f>
        <v>0</v>
      </c>
      <c r="AI14" s="2"/>
      <c r="AJ14" s="31"/>
      <c r="AK14" s="11"/>
      <c r="AL14" s="2" t="n">
        <f aca="false">IF(AJ14&lt;&gt;CONCATENATE("Fx",AI14),1,0)</f>
        <v>1</v>
      </c>
      <c r="AM14" s="2"/>
      <c r="AN14" s="2"/>
      <c r="AO14" s="31"/>
      <c r="AP14" s="11"/>
      <c r="AQ14" s="2" t="n">
        <f aca="false">IF(AO14&lt;&gt;CONCATENATE("StFx",AN14),1,0)</f>
        <v>1</v>
      </c>
      <c r="AR14" s="2"/>
      <c r="AS14" s="2"/>
      <c r="AT14" s="31"/>
      <c r="AU14" s="11"/>
    </row>
    <row r="15" customFormat="false" ht="13.8" hidden="false" customHeight="false" outlineLevel="0" collapsed="false">
      <c r="A15" s="27" t="n">
        <v>14</v>
      </c>
      <c r="B15" s="28" t="s">
        <v>332</v>
      </c>
      <c r="C15" s="30" t="s">
        <v>146</v>
      </c>
      <c r="E15" s="27" t="n">
        <v>14</v>
      </c>
      <c r="F15" s="29" t="s">
        <v>333</v>
      </c>
      <c r="G15" s="30" t="s">
        <v>146</v>
      </c>
      <c r="H15" s="2" t="n">
        <f aca="false">IF(F15&lt;&gt;CONCATENATE("Aux",E15),1,0)</f>
        <v>0</v>
      </c>
      <c r="J15" s="27" t="n">
        <v>14</v>
      </c>
      <c r="K15" s="29" t="s">
        <v>334</v>
      </c>
      <c r="L15" s="30" t="s">
        <v>146</v>
      </c>
      <c r="M15" s="2" t="n">
        <f aca="false">IF(K15&lt;&gt;CONCATENATE("STAux",J15),1,0)</f>
        <v>0</v>
      </c>
      <c r="N15" s="2"/>
      <c r="O15" s="27" t="n">
        <v>14</v>
      </c>
      <c r="P15" s="29" t="s">
        <v>335</v>
      </c>
      <c r="Q15" s="30" t="s">
        <v>146</v>
      </c>
      <c r="R15" s="11" t="n">
        <f aca="false">IF(P15&lt;&gt;CONCATENATE("Grp",O15),1,0)</f>
        <v>0</v>
      </c>
      <c r="S15" s="11"/>
      <c r="T15" s="27" t="n">
        <v>14</v>
      </c>
      <c r="U15" s="29" t="s">
        <v>336</v>
      </c>
      <c r="V15" s="30" t="s">
        <v>146</v>
      </c>
      <c r="W15" s="2" t="n">
        <f aca="false">IF(U15&lt;&gt;CONCATENATE("StGrp",T15),1,0)</f>
        <v>0</v>
      </c>
      <c r="Y15" s="27" t="n">
        <v>14</v>
      </c>
      <c r="Z15" s="29" t="s">
        <v>337</v>
      </c>
      <c r="AA15" s="30" t="s">
        <v>146</v>
      </c>
      <c r="AB15" s="2" t="n">
        <f aca="false">IF(Z15&lt;&gt;CONCATENATE("Mtx",Y15),1,0)</f>
        <v>0</v>
      </c>
      <c r="AC15" s="2"/>
      <c r="AD15" s="27" t="n">
        <v>14</v>
      </c>
      <c r="AE15" s="29" t="s">
        <v>338</v>
      </c>
      <c r="AF15" s="30" t="s">
        <v>146</v>
      </c>
      <c r="AG15" s="2" t="n">
        <f aca="false">IF(AE15&lt;&gt;CONCATENATE("StMtx",AD15),1,0)</f>
        <v>0</v>
      </c>
      <c r="AI15" s="2"/>
      <c r="AJ15" s="3"/>
      <c r="AK15" s="11"/>
      <c r="AL15" s="2" t="n">
        <f aca="false">IF(AJ15&lt;&gt;CONCATENATE("Fx",AI15),1,0)</f>
        <v>1</v>
      </c>
      <c r="AM15" s="2"/>
      <c r="AN15" s="2"/>
      <c r="AO15" s="3"/>
      <c r="AP15" s="11"/>
      <c r="AQ15" s="2" t="n">
        <f aca="false">IF(AO15&lt;&gt;CONCATENATE("StFx",AN15),1,0)</f>
        <v>1</v>
      </c>
      <c r="AR15" s="2"/>
      <c r="AS15" s="2"/>
      <c r="AU15" s="11"/>
    </row>
    <row r="16" customFormat="false" ht="13.8" hidden="false" customHeight="false" outlineLevel="0" collapsed="false">
      <c r="A16" s="27" t="n">
        <v>15</v>
      </c>
      <c r="B16" s="28" t="s">
        <v>339</v>
      </c>
      <c r="C16" s="30" t="s">
        <v>272</v>
      </c>
      <c r="E16" s="27" t="n">
        <v>15</v>
      </c>
      <c r="F16" s="29" t="s">
        <v>340</v>
      </c>
      <c r="G16" s="30" t="s">
        <v>272</v>
      </c>
      <c r="H16" s="2" t="n">
        <f aca="false">IF(F16&lt;&gt;CONCATENATE("Aux",E16),1,0)</f>
        <v>0</v>
      </c>
      <c r="J16" s="27" t="n">
        <v>15</v>
      </c>
      <c r="K16" s="29" t="s">
        <v>341</v>
      </c>
      <c r="L16" s="30" t="s">
        <v>272</v>
      </c>
      <c r="M16" s="2" t="n">
        <f aca="false">IF(K16&lt;&gt;CONCATENATE("STAux",J16),1,0)</f>
        <v>0</v>
      </c>
      <c r="N16" s="2"/>
      <c r="O16" s="27" t="n">
        <v>15</v>
      </c>
      <c r="P16" s="29" t="s">
        <v>342</v>
      </c>
      <c r="Q16" s="30" t="s">
        <v>272</v>
      </c>
      <c r="R16" s="11" t="n">
        <f aca="false">IF(P16&lt;&gt;CONCATENATE("Grp",O16),1,0)</f>
        <v>0</v>
      </c>
      <c r="S16" s="11"/>
      <c r="T16" s="27" t="n">
        <v>15</v>
      </c>
      <c r="U16" s="29" t="s">
        <v>343</v>
      </c>
      <c r="V16" s="30" t="s">
        <v>272</v>
      </c>
      <c r="W16" s="2" t="n">
        <f aca="false">IF(U16&lt;&gt;CONCATENATE("StGrp",T16),1,0)</f>
        <v>0</v>
      </c>
      <c r="Y16" s="27" t="n">
        <v>15</v>
      </c>
      <c r="Z16" s="29" t="s">
        <v>344</v>
      </c>
      <c r="AA16" s="30" t="s">
        <v>272</v>
      </c>
      <c r="AB16" s="2" t="n">
        <f aca="false">IF(Z16&lt;&gt;CONCATENATE("Mtx",Y16),1,0)</f>
        <v>0</v>
      </c>
      <c r="AC16" s="2"/>
      <c r="AD16" s="27" t="n">
        <v>15</v>
      </c>
      <c r="AE16" s="29" t="s">
        <v>345</v>
      </c>
      <c r="AF16" s="30" t="s">
        <v>272</v>
      </c>
      <c r="AG16" s="2" t="n">
        <f aca="false">IF(AE16&lt;&gt;CONCATENATE("StMtx",AD16),1,0)</f>
        <v>0</v>
      </c>
      <c r="AI16" s="2"/>
      <c r="AJ16" s="3"/>
      <c r="AK16" s="11"/>
      <c r="AL16" s="2" t="n">
        <f aca="false">IF(AJ16&lt;&gt;CONCATENATE("Fx",AI16),1,0)</f>
        <v>1</v>
      </c>
      <c r="AM16" s="2"/>
      <c r="AN16" s="2"/>
      <c r="AO16" s="3"/>
      <c r="AP16" s="11"/>
      <c r="AQ16" s="2" t="n">
        <f aca="false">IF(AO16&lt;&gt;CONCATENATE("StFx",AN16),1,0)</f>
        <v>1</v>
      </c>
      <c r="AR16" s="2"/>
      <c r="AS16" s="2"/>
      <c r="AU16" s="11"/>
    </row>
    <row r="17" customFormat="false" ht="13.8" hidden="false" customHeight="false" outlineLevel="0" collapsed="false">
      <c r="A17" s="27" t="n">
        <v>16</v>
      </c>
      <c r="B17" s="28" t="s">
        <v>346</v>
      </c>
      <c r="C17" s="30" t="s">
        <v>283</v>
      </c>
      <c r="E17" s="27" t="n">
        <v>16</v>
      </c>
      <c r="F17" s="29" t="s">
        <v>347</v>
      </c>
      <c r="G17" s="30" t="s">
        <v>283</v>
      </c>
      <c r="H17" s="2" t="n">
        <f aca="false">IF(F17&lt;&gt;CONCATENATE("Aux",E17),1,0)</f>
        <v>0</v>
      </c>
      <c r="J17" s="27" t="n">
        <v>16</v>
      </c>
      <c r="K17" s="29" t="s">
        <v>348</v>
      </c>
      <c r="L17" s="30" t="s">
        <v>283</v>
      </c>
      <c r="M17" s="2" t="n">
        <f aca="false">IF(K17&lt;&gt;CONCATENATE("STAux",J17),1,0)</f>
        <v>0</v>
      </c>
      <c r="N17" s="2"/>
      <c r="O17" s="27" t="n">
        <v>16</v>
      </c>
      <c r="P17" s="29" t="s">
        <v>349</v>
      </c>
      <c r="Q17" s="30" t="s">
        <v>283</v>
      </c>
      <c r="R17" s="11" t="n">
        <f aca="false">IF(P17&lt;&gt;CONCATENATE("Grp",O17),1,0)</f>
        <v>0</v>
      </c>
      <c r="S17" s="11"/>
      <c r="T17" s="27" t="n">
        <v>16</v>
      </c>
      <c r="U17" s="29" t="s">
        <v>350</v>
      </c>
      <c r="V17" s="30" t="s">
        <v>283</v>
      </c>
      <c r="W17" s="2" t="n">
        <f aca="false">IF(U17&lt;&gt;CONCATENATE("StGrp",T17),1,0)</f>
        <v>0</v>
      </c>
      <c r="Y17" s="27" t="n">
        <v>16</v>
      </c>
      <c r="Z17" s="29" t="s">
        <v>351</v>
      </c>
      <c r="AA17" s="30" t="s">
        <v>283</v>
      </c>
      <c r="AB17" s="2" t="n">
        <f aca="false">IF(Z17&lt;&gt;CONCATENATE("Mtx",Y17),1,0)</f>
        <v>0</v>
      </c>
      <c r="AC17" s="2"/>
      <c r="AD17" s="27" t="n">
        <v>16</v>
      </c>
      <c r="AE17" s="29" t="s">
        <v>352</v>
      </c>
      <c r="AF17" s="30" t="s">
        <v>283</v>
      </c>
      <c r="AG17" s="2" t="n">
        <f aca="false">IF(AE17&lt;&gt;CONCATENATE("StMtx",AD17),1,0)</f>
        <v>0</v>
      </c>
      <c r="AI17" s="2"/>
      <c r="AJ17" s="3"/>
      <c r="AK17" s="11"/>
      <c r="AL17" s="2" t="n">
        <f aca="false">IF(AJ17&lt;&gt;CONCATENATE("Fx",AI17),1,0)</f>
        <v>1</v>
      </c>
      <c r="AM17" s="2"/>
      <c r="AN17" s="2"/>
      <c r="AO17" s="3"/>
      <c r="AP17" s="11"/>
      <c r="AQ17" s="2" t="n">
        <f aca="false">IF(AO17&lt;&gt;CONCATENATE("StFx",AN17),1,0)</f>
        <v>1</v>
      </c>
      <c r="AR17" s="2"/>
      <c r="AS17" s="2"/>
      <c r="AU17" s="11"/>
    </row>
    <row r="18" customFormat="false" ht="13.8" hidden="false" customHeight="false" outlineLevel="0" collapsed="false">
      <c r="E18" s="27" t="n">
        <v>17</v>
      </c>
      <c r="F18" s="29" t="s">
        <v>353</v>
      </c>
      <c r="G18" s="30" t="s">
        <v>75</v>
      </c>
      <c r="H18" s="2" t="n">
        <f aca="false">IF(F18&lt;&gt;CONCATENATE("Aux",E18),1,0)</f>
        <v>0</v>
      </c>
      <c r="J18" s="27" t="n">
        <v>17</v>
      </c>
      <c r="K18" s="29" t="s">
        <v>354</v>
      </c>
      <c r="L18" s="30" t="s">
        <v>75</v>
      </c>
      <c r="M18" s="2" t="n">
        <f aca="false">IF(K18&lt;&gt;CONCATENATE("STAux",J18),1,0)</f>
        <v>0</v>
      </c>
      <c r="N18" s="2"/>
      <c r="O18" s="27" t="n">
        <v>17</v>
      </c>
      <c r="P18" s="29" t="s">
        <v>355</v>
      </c>
      <c r="Q18" s="30" t="s">
        <v>75</v>
      </c>
      <c r="R18" s="11" t="n">
        <f aca="false">IF(P18&lt;&gt;CONCATENATE("Grp",O18),1,0)</f>
        <v>0</v>
      </c>
      <c r="S18" s="11"/>
      <c r="T18" s="27" t="n">
        <v>17</v>
      </c>
      <c r="U18" s="29" t="s">
        <v>356</v>
      </c>
      <c r="V18" s="30" t="s">
        <v>75</v>
      </c>
      <c r="W18" s="2" t="n">
        <f aca="false">IF(U18&lt;&gt;CONCATENATE("StGrp",T18),1,0)</f>
        <v>0</v>
      </c>
      <c r="Y18" s="27" t="n">
        <v>17</v>
      </c>
      <c r="Z18" s="29" t="s">
        <v>357</v>
      </c>
      <c r="AA18" s="30" t="s">
        <v>75</v>
      </c>
      <c r="AB18" s="2" t="n">
        <f aca="false">IF(Z18&lt;&gt;CONCATENATE("Mtx",Y18),1,0)</f>
        <v>0</v>
      </c>
      <c r="AC18" s="2"/>
      <c r="AD18" s="27" t="n">
        <v>17</v>
      </c>
      <c r="AE18" s="29" t="s">
        <v>358</v>
      </c>
      <c r="AF18" s="30" t="s">
        <v>75</v>
      </c>
      <c r="AG18" s="2" t="n">
        <f aca="false">IF(AE18&lt;&gt;CONCATENATE("StMtx",AD18),1,0)</f>
        <v>0</v>
      </c>
      <c r="AI18" s="2"/>
      <c r="AJ18" s="3"/>
      <c r="AK18" s="11"/>
      <c r="AN18" s="2"/>
      <c r="AO18" s="3"/>
      <c r="AP18" s="11"/>
      <c r="AS18" s="2"/>
      <c r="AU18" s="11"/>
    </row>
    <row r="19" customFormat="false" ht="13.8" hidden="false" customHeight="false" outlineLevel="0" collapsed="false">
      <c r="E19" s="27" t="n">
        <v>18</v>
      </c>
      <c r="F19" s="29" t="s">
        <v>359</v>
      </c>
      <c r="G19" s="30" t="s">
        <v>92</v>
      </c>
      <c r="H19" s="2" t="n">
        <f aca="false">IF(F19&lt;&gt;CONCATENATE("Aux",E19),1,0)</f>
        <v>0</v>
      </c>
      <c r="J19" s="27" t="n">
        <v>18</v>
      </c>
      <c r="K19" s="29" t="s">
        <v>360</v>
      </c>
      <c r="L19" s="30" t="s">
        <v>92</v>
      </c>
      <c r="M19" s="2" t="n">
        <f aca="false">IF(K19&lt;&gt;CONCATENATE("STAux",J19),1,0)</f>
        <v>0</v>
      </c>
      <c r="N19" s="2"/>
      <c r="O19" s="27" t="n">
        <v>18</v>
      </c>
      <c r="P19" s="29" t="s">
        <v>361</v>
      </c>
      <c r="Q19" s="30" t="s">
        <v>92</v>
      </c>
      <c r="R19" s="11" t="n">
        <f aca="false">IF(P19&lt;&gt;CONCATENATE("Grp",O19),1,0)</f>
        <v>0</v>
      </c>
      <c r="S19" s="11"/>
      <c r="T19" s="27" t="n">
        <v>18</v>
      </c>
      <c r="U19" s="29" t="s">
        <v>362</v>
      </c>
      <c r="V19" s="30" t="s">
        <v>92</v>
      </c>
      <c r="W19" s="2" t="n">
        <f aca="false">IF(U19&lt;&gt;CONCATENATE("StGrp",T19),1,0)</f>
        <v>0</v>
      </c>
      <c r="Y19" s="27" t="n">
        <v>18</v>
      </c>
      <c r="Z19" s="29" t="s">
        <v>363</v>
      </c>
      <c r="AA19" s="30" t="s">
        <v>92</v>
      </c>
      <c r="AB19" s="2" t="n">
        <f aca="false">IF(Z19&lt;&gt;CONCATENATE("Mtx",Y19),1,0)</f>
        <v>0</v>
      </c>
      <c r="AC19" s="2"/>
      <c r="AD19" s="27" t="n">
        <v>18</v>
      </c>
      <c r="AE19" s="29" t="s">
        <v>364</v>
      </c>
      <c r="AF19" s="30" t="s">
        <v>92</v>
      </c>
      <c r="AG19" s="2" t="n">
        <f aca="false">IF(AE19&lt;&gt;CONCATENATE("StMtx",AD19),1,0)</f>
        <v>0</v>
      </c>
      <c r="AI19" s="2"/>
      <c r="AJ19" s="3"/>
      <c r="AK19" s="11"/>
      <c r="AN19" s="2"/>
      <c r="AO19" s="3"/>
      <c r="AP19" s="11"/>
      <c r="AS19" s="2"/>
      <c r="AU19" s="11"/>
    </row>
    <row r="20" customFormat="false" ht="13.8" hidden="false" customHeight="false" outlineLevel="0" collapsed="false">
      <c r="E20" s="27" t="n">
        <v>19</v>
      </c>
      <c r="F20" s="29" t="s">
        <v>365</v>
      </c>
      <c r="G20" s="30" t="s">
        <v>105</v>
      </c>
      <c r="H20" s="2" t="n">
        <f aca="false">IF(F20&lt;&gt;CONCATENATE("Aux",E20),1,0)</f>
        <v>0</v>
      </c>
      <c r="J20" s="27" t="n">
        <v>19</v>
      </c>
      <c r="K20" s="29" t="s">
        <v>366</v>
      </c>
      <c r="L20" s="30" t="s">
        <v>105</v>
      </c>
      <c r="M20" s="2" t="n">
        <f aca="false">IF(K20&lt;&gt;CONCATENATE("STAux",J20),1,0)</f>
        <v>0</v>
      </c>
      <c r="N20" s="2"/>
      <c r="O20" s="27" t="n">
        <v>19</v>
      </c>
      <c r="P20" s="29" t="s">
        <v>367</v>
      </c>
      <c r="Q20" s="30" t="s">
        <v>105</v>
      </c>
      <c r="R20" s="11" t="n">
        <f aca="false">IF(P20&lt;&gt;CONCATENATE("Grp",O20),1,0)</f>
        <v>0</v>
      </c>
      <c r="S20" s="11"/>
      <c r="T20" s="27" t="n">
        <v>19</v>
      </c>
      <c r="U20" s="29" t="s">
        <v>368</v>
      </c>
      <c r="V20" s="30" t="s">
        <v>105</v>
      </c>
      <c r="W20" s="2" t="n">
        <f aca="false">IF(U20&lt;&gt;CONCATENATE("StGrp",T20),1,0)</f>
        <v>0</v>
      </c>
      <c r="Y20" s="27" t="n">
        <v>19</v>
      </c>
      <c r="Z20" s="29" t="s">
        <v>369</v>
      </c>
      <c r="AA20" s="30" t="s">
        <v>105</v>
      </c>
      <c r="AB20" s="2" t="n">
        <f aca="false">IF(Z20&lt;&gt;CONCATENATE("Mtx",Y20),1,0)</f>
        <v>0</v>
      </c>
      <c r="AC20" s="2"/>
      <c r="AD20" s="27" t="n">
        <v>19</v>
      </c>
      <c r="AE20" s="29" t="s">
        <v>370</v>
      </c>
      <c r="AF20" s="30" t="s">
        <v>105</v>
      </c>
      <c r="AG20" s="2" t="n">
        <f aca="false">IF(AE20&lt;&gt;CONCATENATE("StMtx",AD20),1,0)</f>
        <v>0</v>
      </c>
      <c r="AI20" s="2"/>
      <c r="AJ20" s="3"/>
      <c r="AK20" s="11"/>
      <c r="AN20" s="2"/>
      <c r="AO20" s="3"/>
      <c r="AP20" s="11"/>
      <c r="AS20" s="2"/>
      <c r="AU20" s="11"/>
    </row>
    <row r="21" customFormat="false" ht="13.8" hidden="false" customHeight="false" outlineLevel="0" collapsed="false">
      <c r="E21" s="27" t="n">
        <v>20</v>
      </c>
      <c r="F21" s="29" t="s">
        <v>371</v>
      </c>
      <c r="G21" s="30" t="s">
        <v>118</v>
      </c>
      <c r="H21" s="2" t="n">
        <f aca="false">IF(F21&lt;&gt;CONCATENATE("Aux",E21),1,0)</f>
        <v>0</v>
      </c>
      <c r="J21" s="27" t="n">
        <v>20</v>
      </c>
      <c r="K21" s="29" t="s">
        <v>372</v>
      </c>
      <c r="L21" s="30" t="s">
        <v>118</v>
      </c>
      <c r="M21" s="2" t="n">
        <f aca="false">IF(K21&lt;&gt;CONCATENATE("STAux",J21),1,0)</f>
        <v>0</v>
      </c>
      <c r="N21" s="2"/>
      <c r="O21" s="27" t="n">
        <v>20</v>
      </c>
      <c r="P21" s="29" t="s">
        <v>373</v>
      </c>
      <c r="Q21" s="30" t="s">
        <v>118</v>
      </c>
      <c r="R21" s="11" t="n">
        <f aca="false">IF(P21&lt;&gt;CONCATENATE("Grp",O21),1,0)</f>
        <v>0</v>
      </c>
      <c r="S21" s="11"/>
      <c r="T21" s="27" t="n">
        <v>20</v>
      </c>
      <c r="U21" s="29" t="s">
        <v>374</v>
      </c>
      <c r="V21" s="30" t="s">
        <v>118</v>
      </c>
      <c r="W21" s="2" t="n">
        <f aca="false">IF(U21&lt;&gt;CONCATENATE("StGrp",T21),1,0)</f>
        <v>0</v>
      </c>
      <c r="Y21" s="27" t="n">
        <v>20</v>
      </c>
      <c r="Z21" s="29" t="s">
        <v>375</v>
      </c>
      <c r="AA21" s="30" t="s">
        <v>118</v>
      </c>
      <c r="AB21" s="2" t="n">
        <f aca="false">IF(Z21&lt;&gt;CONCATENATE("Mtx",Y21),1,0)</f>
        <v>0</v>
      </c>
      <c r="AC21" s="2"/>
      <c r="AD21" s="27" t="n">
        <v>20</v>
      </c>
      <c r="AE21" s="29" t="s">
        <v>376</v>
      </c>
      <c r="AF21" s="30" t="s">
        <v>118</v>
      </c>
      <c r="AG21" s="2" t="n">
        <f aca="false">IF(AE21&lt;&gt;CONCATENATE("StMtx",AD21),1,0)</f>
        <v>0</v>
      </c>
      <c r="AI21" s="2"/>
      <c r="AJ21" s="3"/>
      <c r="AK21" s="11"/>
      <c r="AN21" s="2"/>
      <c r="AO21" s="3"/>
      <c r="AP21" s="11"/>
      <c r="AS21" s="2"/>
      <c r="AU21" s="11"/>
    </row>
    <row r="22" customFormat="false" ht="13.8" hidden="false" customHeight="false" outlineLevel="0" collapsed="false">
      <c r="E22" s="27" t="n">
        <v>21</v>
      </c>
      <c r="F22" s="29" t="s">
        <v>377</v>
      </c>
      <c r="G22" s="30" t="s">
        <v>131</v>
      </c>
      <c r="H22" s="2" t="n">
        <f aca="false">IF(F22&lt;&gt;CONCATENATE("Aux",E22),1,0)</f>
        <v>0</v>
      </c>
      <c r="K22" s="31"/>
      <c r="L22" s="11"/>
      <c r="M22" s="2" t="n">
        <f aca="false">IF(K22&lt;&gt;CONCATENATE("STAux",J22),1,0)</f>
        <v>1</v>
      </c>
      <c r="N22" s="2"/>
      <c r="O22" s="27" t="n">
        <v>21</v>
      </c>
      <c r="P22" s="29" t="s">
        <v>378</v>
      </c>
      <c r="Q22" s="30" t="s">
        <v>131</v>
      </c>
      <c r="R22" s="11" t="n">
        <f aca="false">IF(P22&lt;&gt;CONCATENATE("Grp",O22),1,0)</f>
        <v>0</v>
      </c>
      <c r="S22" s="11"/>
      <c r="U22" s="31"/>
      <c r="V22" s="11"/>
      <c r="W22" s="2" t="n">
        <f aca="false">IF(U22&lt;&gt;CONCATENATE("StGrp",T22),1,0)</f>
        <v>1</v>
      </c>
      <c r="Y22" s="27" t="n">
        <v>21</v>
      </c>
      <c r="Z22" s="29" t="s">
        <v>379</v>
      </c>
      <c r="AA22" s="30" t="s">
        <v>131</v>
      </c>
      <c r="AB22" s="2" t="n">
        <f aca="false">IF(Z22&lt;&gt;CONCATENATE("Mtx",Y22),1,0)</f>
        <v>0</v>
      </c>
      <c r="AC22" s="2"/>
      <c r="AE22" s="31"/>
      <c r="AF22" s="11"/>
      <c r="AG22" s="2" t="n">
        <f aca="false">IF(AE22&lt;&gt;CONCATENATE("StMtx",AD22),1,0)</f>
        <v>1</v>
      </c>
      <c r="AI22" s="2"/>
      <c r="AJ22" s="3"/>
      <c r="AK22" s="11"/>
      <c r="AN22" s="2"/>
      <c r="AO22" s="3"/>
      <c r="AP22" s="11"/>
      <c r="AS22" s="2"/>
      <c r="AU22" s="11"/>
    </row>
    <row r="23" customFormat="false" ht="13.8" hidden="false" customHeight="false" outlineLevel="0" collapsed="false">
      <c r="E23" s="27" t="n">
        <v>22</v>
      </c>
      <c r="F23" s="29" t="s">
        <v>380</v>
      </c>
      <c r="G23" s="30" t="s">
        <v>146</v>
      </c>
      <c r="H23" s="2" t="n">
        <f aca="false">IF(F23&lt;&gt;CONCATENATE("Aux",E23),1,0)</f>
        <v>0</v>
      </c>
      <c r="L23" s="11"/>
      <c r="M23" s="2" t="n">
        <f aca="false">IF(K23&lt;&gt;CONCATENATE("STAux",J23),1,0)</f>
        <v>1</v>
      </c>
      <c r="N23" s="2"/>
      <c r="O23" s="27" t="n">
        <v>22</v>
      </c>
      <c r="P23" s="29" t="s">
        <v>381</v>
      </c>
      <c r="Q23" s="30" t="s">
        <v>146</v>
      </c>
      <c r="R23" s="11" t="n">
        <f aca="false">IF(P23&lt;&gt;CONCATENATE("Grp",O23),1,0)</f>
        <v>0</v>
      </c>
      <c r="S23" s="11"/>
      <c r="V23" s="11"/>
      <c r="W23" s="2" t="n">
        <f aca="false">IF(U23&lt;&gt;CONCATENATE("StGrp",T23),1,0)</f>
        <v>1</v>
      </c>
      <c r="Y23" s="27" t="n">
        <v>22</v>
      </c>
      <c r="Z23" s="29" t="s">
        <v>382</v>
      </c>
      <c r="AA23" s="30" t="s">
        <v>146</v>
      </c>
      <c r="AB23" s="2" t="n">
        <f aca="false">IF(Z23&lt;&gt;CONCATENATE("Mtx",Y23),1,0)</f>
        <v>0</v>
      </c>
      <c r="AC23" s="2"/>
      <c r="AF23" s="11"/>
      <c r="AG23" s="2" t="n">
        <f aca="false">IF(AE23&lt;&gt;CONCATENATE("StMtx",AD23),1,0)</f>
        <v>1</v>
      </c>
      <c r="AI23" s="2"/>
      <c r="AJ23" s="3"/>
      <c r="AK23" s="11"/>
      <c r="AN23" s="2"/>
      <c r="AO23" s="3"/>
      <c r="AP23" s="11"/>
      <c r="AS23" s="2"/>
      <c r="AU23" s="11"/>
    </row>
    <row r="24" customFormat="false" ht="13.8" hidden="false" customHeight="false" outlineLevel="0" collapsed="false">
      <c r="E24" s="27" t="n">
        <v>23</v>
      </c>
      <c r="F24" s="29" t="s">
        <v>383</v>
      </c>
      <c r="G24" s="30" t="s">
        <v>272</v>
      </c>
      <c r="H24" s="2" t="n">
        <f aca="false">IF(F24&lt;&gt;CONCATENATE("Aux",E24),1,0)</f>
        <v>0</v>
      </c>
      <c r="L24" s="11"/>
      <c r="M24" s="2" t="n">
        <f aca="false">IF(K24&lt;&gt;CONCATENATE("STAux",J24),1,0)</f>
        <v>1</v>
      </c>
      <c r="N24" s="2"/>
      <c r="O24" s="27" t="n">
        <v>23</v>
      </c>
      <c r="P24" s="29" t="s">
        <v>384</v>
      </c>
      <c r="Q24" s="30" t="s">
        <v>272</v>
      </c>
      <c r="R24" s="11" t="n">
        <f aca="false">IF(P24&lt;&gt;CONCATENATE("Grp",O24),1,0)</f>
        <v>0</v>
      </c>
      <c r="S24" s="11"/>
      <c r="V24" s="11"/>
      <c r="W24" s="2" t="n">
        <f aca="false">IF(U24&lt;&gt;CONCATENATE("StGrp",T24),1,0)</f>
        <v>1</v>
      </c>
      <c r="Y24" s="27" t="n">
        <v>23</v>
      </c>
      <c r="Z24" s="29" t="s">
        <v>385</v>
      </c>
      <c r="AA24" s="30" t="s">
        <v>272</v>
      </c>
      <c r="AB24" s="2" t="n">
        <f aca="false">IF(Z24&lt;&gt;CONCATENATE("Mtx",Y24),1,0)</f>
        <v>0</v>
      </c>
      <c r="AC24" s="2"/>
      <c r="AF24" s="11"/>
      <c r="AG24" s="2" t="n">
        <f aca="false">IF(AE24&lt;&gt;CONCATENATE("StMtx",AD24),1,0)</f>
        <v>1</v>
      </c>
      <c r="AI24" s="2"/>
      <c r="AJ24" s="3"/>
      <c r="AN24" s="2"/>
      <c r="AO24" s="3"/>
      <c r="AS24" s="2"/>
    </row>
    <row r="25" customFormat="false" ht="13.8" hidden="false" customHeight="false" outlineLevel="0" collapsed="false">
      <c r="E25" s="27" t="n">
        <v>24</v>
      </c>
      <c r="F25" s="29" t="s">
        <v>386</v>
      </c>
      <c r="G25" s="30" t="s">
        <v>283</v>
      </c>
      <c r="H25" s="2" t="n">
        <f aca="false">IF(F25&lt;&gt;CONCATENATE("Aux",E25),1,0)</f>
        <v>0</v>
      </c>
      <c r="L25" s="11"/>
      <c r="M25" s="2" t="n">
        <f aca="false">IF(K25&lt;&gt;CONCATENATE("STAux",J25),1,0)</f>
        <v>1</v>
      </c>
      <c r="N25" s="2"/>
      <c r="O25" s="27" t="n">
        <v>24</v>
      </c>
      <c r="P25" s="29" t="s">
        <v>387</v>
      </c>
      <c r="Q25" s="30" t="s">
        <v>283</v>
      </c>
      <c r="R25" s="11" t="n">
        <f aca="false">IF(P25&lt;&gt;CONCATENATE("Grp",O25),1,0)</f>
        <v>0</v>
      </c>
      <c r="S25" s="11"/>
      <c r="V25" s="11"/>
      <c r="W25" s="2" t="n">
        <f aca="false">IF(U25&lt;&gt;CONCATENATE("StGrp",T25),1,0)</f>
        <v>1</v>
      </c>
      <c r="Y25" s="27" t="n">
        <v>24</v>
      </c>
      <c r="Z25" s="29" t="s">
        <v>388</v>
      </c>
      <c r="AA25" s="30" t="s">
        <v>283</v>
      </c>
      <c r="AB25" s="2" t="n">
        <f aca="false">IF(Z25&lt;&gt;CONCATENATE("Mtx",Y25),1,0)</f>
        <v>0</v>
      </c>
      <c r="AC25" s="2"/>
      <c r="AF25" s="11"/>
      <c r="AG25" s="2" t="n">
        <f aca="false">IF(AE25&lt;&gt;CONCATENATE("StMtx",AD25),1,0)</f>
        <v>1</v>
      </c>
      <c r="AI25" s="2"/>
      <c r="AJ25" s="3"/>
      <c r="AN25" s="2"/>
      <c r="AO25" s="3"/>
      <c r="AS25" s="2"/>
    </row>
    <row r="26" customFormat="false" ht="13.8" hidden="false" customHeight="false" outlineLevel="0" collapsed="false">
      <c r="E26" s="27" t="n">
        <v>25</v>
      </c>
      <c r="F26" s="29" t="s">
        <v>389</v>
      </c>
      <c r="G26" s="30" t="s">
        <v>75</v>
      </c>
      <c r="H26" s="2" t="n">
        <f aca="false">IF(F26&lt;&gt;CONCATENATE("Aux",E26),1,0)</f>
        <v>0</v>
      </c>
      <c r="L26" s="11"/>
      <c r="M26" s="2" t="n">
        <f aca="false">IF(K26&lt;&gt;CONCATENATE("STAux",J26),1,0)</f>
        <v>1</v>
      </c>
      <c r="N26" s="2"/>
      <c r="O26" s="27" t="n">
        <v>25</v>
      </c>
      <c r="P26" s="29" t="s">
        <v>390</v>
      </c>
      <c r="Q26" s="30" t="s">
        <v>75</v>
      </c>
      <c r="R26" s="11" t="n">
        <f aca="false">IF(P26&lt;&gt;CONCATENATE("Grp",O26),1,0)</f>
        <v>0</v>
      </c>
      <c r="S26" s="11"/>
      <c r="V26" s="11"/>
      <c r="W26" s="2" t="n">
        <f aca="false">IF(U26&lt;&gt;CONCATENATE("StGrp",T26),1,0)</f>
        <v>1</v>
      </c>
      <c r="Y26" s="27" t="n">
        <v>25</v>
      </c>
      <c r="Z26" s="29" t="s">
        <v>391</v>
      </c>
      <c r="AA26" s="30" t="s">
        <v>75</v>
      </c>
      <c r="AB26" s="2" t="n">
        <f aca="false">IF(Z26&lt;&gt;CONCATENATE("Mtx",Y26),1,0)</f>
        <v>0</v>
      </c>
      <c r="AC26" s="2"/>
      <c r="AF26" s="11"/>
      <c r="AG26" s="2" t="n">
        <f aca="false">IF(AE26&lt;&gt;CONCATENATE("StMtx",AD26),1,0)</f>
        <v>1</v>
      </c>
      <c r="AI26" s="2"/>
      <c r="AJ26" s="3"/>
      <c r="AN26" s="2"/>
      <c r="AO26" s="3"/>
      <c r="AS26" s="2"/>
    </row>
    <row r="27" customFormat="false" ht="13.8" hidden="false" customHeight="false" outlineLevel="0" collapsed="false">
      <c r="E27" s="27" t="n">
        <v>26</v>
      </c>
      <c r="F27" s="29" t="s">
        <v>392</v>
      </c>
      <c r="G27" s="30" t="s">
        <v>92</v>
      </c>
      <c r="H27" s="2" t="n">
        <f aca="false">IF(F27&lt;&gt;CONCATENATE("Aux",E27),1,0)</f>
        <v>0</v>
      </c>
      <c r="L27" s="11"/>
      <c r="M27" s="2" t="n">
        <f aca="false">IF(K27&lt;&gt;CONCATENATE("STAux",J27),1,0)</f>
        <v>1</v>
      </c>
      <c r="N27" s="2"/>
      <c r="O27" s="27" t="n">
        <v>26</v>
      </c>
      <c r="P27" s="29" t="s">
        <v>393</v>
      </c>
      <c r="Q27" s="30" t="s">
        <v>92</v>
      </c>
      <c r="R27" s="11" t="n">
        <f aca="false">IF(P27&lt;&gt;CONCATENATE("Grp",O27),1,0)</f>
        <v>0</v>
      </c>
      <c r="S27" s="11"/>
      <c r="V27" s="11"/>
      <c r="W27" s="2" t="n">
        <f aca="false">IF(U27&lt;&gt;CONCATENATE("StGrp",T27),1,0)</f>
        <v>1</v>
      </c>
      <c r="Y27" s="27" t="n">
        <v>26</v>
      </c>
      <c r="Z27" s="29" t="s">
        <v>394</v>
      </c>
      <c r="AA27" s="30" t="s">
        <v>92</v>
      </c>
      <c r="AB27" s="2" t="n">
        <f aca="false">IF(Z27&lt;&gt;CONCATENATE("Mtx",Y27),1,0)</f>
        <v>0</v>
      </c>
      <c r="AC27" s="2"/>
      <c r="AF27" s="11"/>
      <c r="AG27" s="2" t="n">
        <f aca="false">IF(AE27&lt;&gt;CONCATENATE("StMtx",AD27),1,0)</f>
        <v>1</v>
      </c>
      <c r="AI27" s="2"/>
      <c r="AJ27" s="3"/>
      <c r="AN27" s="2"/>
      <c r="AO27" s="3"/>
      <c r="AS27" s="2"/>
    </row>
    <row r="28" customFormat="false" ht="13.8" hidden="false" customHeight="false" outlineLevel="0" collapsed="false">
      <c r="E28" s="27" t="n">
        <v>27</v>
      </c>
      <c r="F28" s="29" t="s">
        <v>395</v>
      </c>
      <c r="G28" s="30" t="s">
        <v>105</v>
      </c>
      <c r="H28" s="2" t="n">
        <f aca="false">IF(F28&lt;&gt;CONCATENATE("Aux",E28),1,0)</f>
        <v>0</v>
      </c>
      <c r="L28" s="11"/>
      <c r="M28" s="2" t="n">
        <f aca="false">IF(K28&lt;&gt;CONCATENATE("STAux",J28),1,0)</f>
        <v>1</v>
      </c>
      <c r="N28" s="2"/>
      <c r="O28" s="27" t="n">
        <v>27</v>
      </c>
      <c r="P28" s="29" t="s">
        <v>396</v>
      </c>
      <c r="Q28" s="30" t="s">
        <v>105</v>
      </c>
      <c r="R28" s="11" t="n">
        <f aca="false">IF(P28&lt;&gt;CONCATENATE("Grp",O28),1,0)</f>
        <v>0</v>
      </c>
      <c r="S28" s="11"/>
      <c r="V28" s="11"/>
      <c r="W28" s="2" t="n">
        <f aca="false">IF(U28&lt;&gt;CONCATENATE("StGrp",T28),1,0)</f>
        <v>1</v>
      </c>
      <c r="Y28" s="27" t="n">
        <v>27</v>
      </c>
      <c r="Z28" s="29" t="s">
        <v>397</v>
      </c>
      <c r="AA28" s="30" t="s">
        <v>105</v>
      </c>
      <c r="AB28" s="2" t="n">
        <f aca="false">IF(Z28&lt;&gt;CONCATENATE("Mtx",Y28),1,0)</f>
        <v>0</v>
      </c>
      <c r="AC28" s="2"/>
      <c r="AF28" s="11"/>
      <c r="AG28" s="2" t="n">
        <f aca="false">IF(AE28&lt;&gt;CONCATENATE("StMtx",AD28),1,0)</f>
        <v>1</v>
      </c>
      <c r="AI28" s="2"/>
      <c r="AJ28" s="3"/>
      <c r="AN28" s="2"/>
      <c r="AO28" s="3"/>
      <c r="AS28" s="2"/>
    </row>
    <row r="29" customFormat="false" ht="13.8" hidden="false" customHeight="false" outlineLevel="0" collapsed="false">
      <c r="E29" s="27" t="n">
        <v>28</v>
      </c>
      <c r="F29" s="29" t="s">
        <v>398</v>
      </c>
      <c r="G29" s="30" t="s">
        <v>118</v>
      </c>
      <c r="H29" s="2" t="n">
        <f aca="false">IF(F29&lt;&gt;CONCATENATE("Aux",E29),1,0)</f>
        <v>0</v>
      </c>
      <c r="L29" s="11"/>
      <c r="M29" s="2" t="n">
        <f aca="false">IF(K29&lt;&gt;CONCATENATE("STAux",J29),1,0)</f>
        <v>1</v>
      </c>
      <c r="N29" s="2"/>
      <c r="O29" s="27" t="n">
        <v>28</v>
      </c>
      <c r="P29" s="29" t="s">
        <v>399</v>
      </c>
      <c r="Q29" s="30" t="s">
        <v>118</v>
      </c>
      <c r="R29" s="11" t="n">
        <f aca="false">IF(P29&lt;&gt;CONCATENATE("Grp",O29),1,0)</f>
        <v>0</v>
      </c>
      <c r="S29" s="11"/>
      <c r="V29" s="11"/>
      <c r="W29" s="2" t="n">
        <f aca="false">IF(U29&lt;&gt;CONCATENATE("StGrp",T29),1,0)</f>
        <v>1</v>
      </c>
      <c r="Y29" s="27" t="n">
        <v>28</v>
      </c>
      <c r="Z29" s="29" t="s">
        <v>400</v>
      </c>
      <c r="AA29" s="30" t="s">
        <v>118</v>
      </c>
      <c r="AB29" s="2" t="n">
        <f aca="false">IF(Z29&lt;&gt;CONCATENATE("Mtx",Y29),1,0)</f>
        <v>0</v>
      </c>
      <c r="AC29" s="2"/>
      <c r="AF29" s="11"/>
      <c r="AG29" s="2" t="n">
        <f aca="false">IF(AE29&lt;&gt;CONCATENATE("StMtx",AD29),1,0)</f>
        <v>1</v>
      </c>
      <c r="AI29" s="2"/>
      <c r="AJ29" s="3"/>
      <c r="AN29" s="2"/>
      <c r="AO29" s="3"/>
      <c r="AS29" s="2"/>
    </row>
    <row r="30" customFormat="false" ht="13.8" hidden="false" customHeight="false" outlineLevel="0" collapsed="false">
      <c r="E30" s="27" t="n">
        <v>29</v>
      </c>
      <c r="F30" s="29" t="s">
        <v>401</v>
      </c>
      <c r="G30" s="30" t="s">
        <v>131</v>
      </c>
      <c r="H30" s="2" t="n">
        <f aca="false">IF(F30&lt;&gt;CONCATENATE("Aux",E30),1,0)</f>
        <v>0</v>
      </c>
      <c r="L30" s="11"/>
      <c r="M30" s="2" t="n">
        <f aca="false">IF(K30&lt;&gt;CONCATENATE("STAux",J30),1,0)</f>
        <v>1</v>
      </c>
      <c r="N30" s="2"/>
      <c r="O30" s="27" t="n">
        <v>29</v>
      </c>
      <c r="P30" s="29" t="s">
        <v>402</v>
      </c>
      <c r="Q30" s="30" t="s">
        <v>131</v>
      </c>
      <c r="R30" s="11" t="n">
        <f aca="false">IF(P30&lt;&gt;CONCATENATE("Grp",O30),1,0)</f>
        <v>0</v>
      </c>
      <c r="S30" s="11"/>
      <c r="V30" s="11"/>
      <c r="W30" s="2" t="n">
        <f aca="false">IF(U30&lt;&gt;CONCATENATE("StGrp",T30),1,0)</f>
        <v>1</v>
      </c>
      <c r="Y30" s="27" t="n">
        <v>29</v>
      </c>
      <c r="Z30" s="29" t="s">
        <v>403</v>
      </c>
      <c r="AA30" s="30" t="s">
        <v>131</v>
      </c>
      <c r="AB30" s="2" t="n">
        <f aca="false">IF(Z30&lt;&gt;CONCATENATE("Mtx",Y30),1,0)</f>
        <v>0</v>
      </c>
      <c r="AC30" s="2"/>
      <c r="AF30" s="11"/>
      <c r="AG30" s="2" t="n">
        <f aca="false">IF(AE30&lt;&gt;CONCATENATE("StMtx",AD30),1,0)</f>
        <v>1</v>
      </c>
      <c r="AI30" s="2"/>
      <c r="AJ30" s="3"/>
      <c r="AN30" s="2"/>
      <c r="AO30" s="3"/>
      <c r="AS30" s="2"/>
    </row>
    <row r="31" customFormat="false" ht="13.8" hidden="false" customHeight="false" outlineLevel="0" collapsed="false">
      <c r="E31" s="27" t="n">
        <v>30</v>
      </c>
      <c r="F31" s="29" t="s">
        <v>404</v>
      </c>
      <c r="G31" s="30" t="s">
        <v>146</v>
      </c>
      <c r="H31" s="2" t="n">
        <f aca="false">IF(F31&lt;&gt;CONCATENATE("Aux",E31),1,0)</f>
        <v>0</v>
      </c>
      <c r="L31" s="11"/>
      <c r="M31" s="2" t="n">
        <f aca="false">IF(K31&lt;&gt;CONCATENATE("STAux",J31),1,0)</f>
        <v>1</v>
      </c>
      <c r="N31" s="2"/>
      <c r="O31" s="27" t="n">
        <v>30</v>
      </c>
      <c r="P31" s="29" t="s">
        <v>405</v>
      </c>
      <c r="Q31" s="30" t="s">
        <v>146</v>
      </c>
      <c r="R31" s="11" t="n">
        <f aca="false">IF(P31&lt;&gt;CONCATENATE("Grp",O31),1,0)</f>
        <v>0</v>
      </c>
      <c r="S31" s="11"/>
      <c r="V31" s="11"/>
      <c r="W31" s="2" t="n">
        <f aca="false">IF(U31&lt;&gt;CONCATENATE("StGrp",T31),1,0)</f>
        <v>1</v>
      </c>
      <c r="Y31" s="27" t="n">
        <v>30</v>
      </c>
      <c r="Z31" s="29" t="s">
        <v>406</v>
      </c>
      <c r="AA31" s="30" t="s">
        <v>146</v>
      </c>
      <c r="AB31" s="2" t="n">
        <f aca="false">IF(Z31&lt;&gt;CONCATENATE("Mtx",Y31),1,0)</f>
        <v>0</v>
      </c>
      <c r="AC31" s="2"/>
      <c r="AF31" s="11"/>
      <c r="AG31" s="2" t="n">
        <f aca="false">IF(AE31&lt;&gt;CONCATENATE("StMtx",AD31),1,0)</f>
        <v>1</v>
      </c>
      <c r="AI31" s="2"/>
      <c r="AJ31" s="3"/>
      <c r="AN31" s="2"/>
      <c r="AO31" s="3"/>
      <c r="AS31" s="2"/>
    </row>
    <row r="32" customFormat="false" ht="13.8" hidden="false" customHeight="false" outlineLevel="0" collapsed="false">
      <c r="E32" s="27" t="n">
        <v>31</v>
      </c>
      <c r="F32" s="29" t="s">
        <v>407</v>
      </c>
      <c r="G32" s="30" t="s">
        <v>272</v>
      </c>
      <c r="H32" s="2" t="n">
        <f aca="false">IF(F32&lt;&gt;CONCATENATE("Aux",E32),1,0)</f>
        <v>0</v>
      </c>
      <c r="M32" s="2" t="n">
        <f aca="false">IF(K32&lt;&gt;CONCATENATE("STAux",J32),1,0)</f>
        <v>1</v>
      </c>
      <c r="N32" s="2"/>
      <c r="O32" s="27" t="n">
        <v>31</v>
      </c>
      <c r="P32" s="29" t="s">
        <v>408</v>
      </c>
      <c r="Q32" s="30" t="s">
        <v>272</v>
      </c>
      <c r="R32" s="11" t="n">
        <f aca="false">IF(P32&lt;&gt;CONCATENATE("Grp",O32),1,0)</f>
        <v>0</v>
      </c>
      <c r="S32" s="11"/>
      <c r="W32" s="2" t="n">
        <f aca="false">IF(U32&lt;&gt;CONCATENATE("StGrp",T32),1,0)</f>
        <v>1</v>
      </c>
      <c r="Y32" s="27" t="n">
        <v>31</v>
      </c>
      <c r="Z32" s="29" t="s">
        <v>409</v>
      </c>
      <c r="AA32" s="30" t="s">
        <v>272</v>
      </c>
      <c r="AB32" s="2" t="n">
        <f aca="false">IF(Z32&lt;&gt;CONCATENATE("Mtx",Y32),1,0)</f>
        <v>0</v>
      </c>
      <c r="AC32" s="2"/>
      <c r="AG32" s="2" t="n">
        <f aca="false">IF(AE32&lt;&gt;CONCATENATE("StMtx",AD32),1,0)</f>
        <v>1</v>
      </c>
      <c r="AI32" s="2"/>
      <c r="AJ32" s="3"/>
      <c r="AN32" s="2"/>
      <c r="AO32" s="3"/>
      <c r="AS32" s="2"/>
    </row>
    <row r="33" customFormat="false" ht="13.8" hidden="false" customHeight="false" outlineLevel="0" collapsed="false">
      <c r="E33" s="27" t="n">
        <v>32</v>
      </c>
      <c r="F33" s="29" t="s">
        <v>410</v>
      </c>
      <c r="G33" s="30" t="s">
        <v>283</v>
      </c>
      <c r="H33" s="2" t="n">
        <f aca="false">IF(F33&lt;&gt;CONCATENATE("Aux",E33),1,0)</f>
        <v>0</v>
      </c>
      <c r="O33" s="27" t="n">
        <v>32</v>
      </c>
      <c r="P33" s="29" t="s">
        <v>411</v>
      </c>
      <c r="Q33" s="30" t="s">
        <v>283</v>
      </c>
      <c r="R33" s="11" t="n">
        <f aca="false">IF(P33&lt;&gt;CONCATENATE("Grp",O33),1,0)</f>
        <v>0</v>
      </c>
      <c r="S33" s="11"/>
      <c r="Y33" s="27" t="n">
        <v>32</v>
      </c>
      <c r="Z33" s="29" t="s">
        <v>412</v>
      </c>
      <c r="AA33" s="30" t="s">
        <v>283</v>
      </c>
      <c r="AB33" s="2" t="n">
        <f aca="false">IF(Z33&lt;&gt;CONCATENATE("Mtx",Y33),1,0)</f>
        <v>0</v>
      </c>
      <c r="AC33" s="2"/>
      <c r="AI33" s="2"/>
      <c r="AJ33" s="3"/>
      <c r="AN33" s="2"/>
      <c r="AO33" s="3"/>
      <c r="AS33" s="2"/>
    </row>
    <row r="34" customFormat="false" ht="13.8" hidden="false" customHeight="false" outlineLevel="0" collapsed="false">
      <c r="E34" s="27" t="n">
        <v>33</v>
      </c>
      <c r="F34" s="29" t="s">
        <v>413</v>
      </c>
      <c r="G34" s="30" t="s">
        <v>75</v>
      </c>
      <c r="H34" s="2" t="n">
        <f aca="false">IF(F34&lt;&gt;CONCATENATE("Aux",E34),1,0)</f>
        <v>0</v>
      </c>
      <c r="O34" s="27" t="n">
        <v>33</v>
      </c>
      <c r="P34" s="29" t="s">
        <v>414</v>
      </c>
      <c r="Q34" s="30" t="s">
        <v>75</v>
      </c>
      <c r="R34" s="11" t="n">
        <f aca="false">IF(P34&lt;&gt;CONCATENATE("Grp",O34),1,0)</f>
        <v>0</v>
      </c>
      <c r="S34" s="11"/>
      <c r="Y34" s="27" t="n">
        <v>33</v>
      </c>
      <c r="Z34" s="29" t="s">
        <v>415</v>
      </c>
      <c r="AA34" s="30" t="s">
        <v>75</v>
      </c>
      <c r="AB34" s="2" t="n">
        <f aca="false">IF(Z34&lt;&gt;CONCATENATE("Mtx",Y34),1,0)</f>
        <v>0</v>
      </c>
      <c r="AC34" s="2"/>
      <c r="AI34" s="2"/>
      <c r="AJ34" s="3"/>
      <c r="AN34" s="2"/>
      <c r="AO34" s="3"/>
      <c r="AS34" s="2"/>
    </row>
    <row r="35" customFormat="false" ht="13.8" hidden="false" customHeight="false" outlineLevel="0" collapsed="false">
      <c r="E35" s="27" t="n">
        <v>34</v>
      </c>
      <c r="F35" s="29" t="s">
        <v>416</v>
      </c>
      <c r="G35" s="30" t="s">
        <v>92</v>
      </c>
      <c r="H35" s="2" t="n">
        <f aca="false">IF(F35&lt;&gt;CONCATENATE("Aux",E35),1,0)</f>
        <v>0</v>
      </c>
      <c r="O35" s="27" t="n">
        <v>34</v>
      </c>
      <c r="P35" s="29" t="s">
        <v>417</v>
      </c>
      <c r="Q35" s="30" t="s">
        <v>92</v>
      </c>
      <c r="R35" s="11" t="n">
        <f aca="false">IF(P35&lt;&gt;CONCATENATE("Grp",O35),1,0)</f>
        <v>0</v>
      </c>
      <c r="S35" s="11"/>
      <c r="Y35" s="27" t="n">
        <v>34</v>
      </c>
      <c r="Z35" s="29" t="s">
        <v>418</v>
      </c>
      <c r="AA35" s="30" t="s">
        <v>92</v>
      </c>
      <c r="AB35" s="2" t="n">
        <f aca="false">IF(Z35&lt;&gt;CONCATENATE("Mtx",Y35),1,0)</f>
        <v>0</v>
      </c>
      <c r="AC35" s="2"/>
      <c r="AI35" s="2"/>
      <c r="AJ35" s="3"/>
      <c r="AN35" s="2"/>
      <c r="AO35" s="3"/>
      <c r="AS35" s="2"/>
    </row>
    <row r="36" customFormat="false" ht="13.8" hidden="false" customHeight="false" outlineLevel="0" collapsed="false">
      <c r="E36" s="27" t="n">
        <v>35</v>
      </c>
      <c r="F36" s="29" t="s">
        <v>419</v>
      </c>
      <c r="G36" s="30" t="s">
        <v>105</v>
      </c>
      <c r="H36" s="2" t="n">
        <f aca="false">IF(F36&lt;&gt;CONCATENATE("Aux",E36),1,0)</f>
        <v>0</v>
      </c>
      <c r="O36" s="27" t="n">
        <v>35</v>
      </c>
      <c r="P36" s="29" t="s">
        <v>420</v>
      </c>
      <c r="Q36" s="30" t="s">
        <v>105</v>
      </c>
      <c r="R36" s="11" t="n">
        <f aca="false">IF(P36&lt;&gt;CONCATENATE("Grp",O36),1,0)</f>
        <v>0</v>
      </c>
      <c r="S36" s="11"/>
      <c r="Y36" s="27" t="n">
        <v>35</v>
      </c>
      <c r="Z36" s="29" t="s">
        <v>421</v>
      </c>
      <c r="AA36" s="30" t="s">
        <v>105</v>
      </c>
      <c r="AB36" s="2" t="n">
        <f aca="false">IF(Z36&lt;&gt;CONCATENATE("Mtx",Y36),1,0)</f>
        <v>0</v>
      </c>
      <c r="AC36" s="2"/>
      <c r="AI36" s="2"/>
      <c r="AJ36" s="3"/>
      <c r="AN36" s="2"/>
      <c r="AO36" s="3"/>
      <c r="AS36" s="2"/>
    </row>
    <row r="37" customFormat="false" ht="13.8" hidden="false" customHeight="false" outlineLevel="0" collapsed="false">
      <c r="E37" s="27" t="n">
        <v>36</v>
      </c>
      <c r="F37" s="29" t="s">
        <v>422</v>
      </c>
      <c r="G37" s="30" t="s">
        <v>118</v>
      </c>
      <c r="H37" s="2" t="n">
        <f aca="false">IF(F37&lt;&gt;CONCATENATE("Aux",E37),1,0)</f>
        <v>0</v>
      </c>
      <c r="O37" s="27" t="n">
        <v>36</v>
      </c>
      <c r="P37" s="29" t="s">
        <v>423</v>
      </c>
      <c r="Q37" s="30" t="s">
        <v>118</v>
      </c>
      <c r="R37" s="11" t="n">
        <f aca="false">IF(P37&lt;&gt;CONCATENATE("Grp",O37),1,0)</f>
        <v>0</v>
      </c>
      <c r="S37" s="11"/>
      <c r="Y37" s="27" t="n">
        <v>36</v>
      </c>
      <c r="Z37" s="29" t="s">
        <v>424</v>
      </c>
      <c r="AA37" s="30" t="s">
        <v>118</v>
      </c>
      <c r="AB37" s="2" t="n">
        <f aca="false">IF(Z37&lt;&gt;CONCATENATE("Mtx",Y37),1,0)</f>
        <v>0</v>
      </c>
      <c r="AC37" s="2"/>
      <c r="AI37" s="2"/>
      <c r="AJ37" s="3"/>
      <c r="AN37" s="2"/>
      <c r="AO37" s="3"/>
      <c r="AS37" s="2"/>
    </row>
    <row r="38" customFormat="false" ht="13.8" hidden="false" customHeight="false" outlineLevel="0" collapsed="false">
      <c r="E38" s="27" t="n">
        <v>37</v>
      </c>
      <c r="F38" s="29" t="s">
        <v>425</v>
      </c>
      <c r="G38" s="30" t="s">
        <v>131</v>
      </c>
      <c r="H38" s="2" t="n">
        <f aca="false">IF(F38&lt;&gt;CONCATENATE("Aux",E38),1,0)</f>
        <v>0</v>
      </c>
      <c r="O38" s="27" t="n">
        <v>37</v>
      </c>
      <c r="P38" s="29" t="s">
        <v>426</v>
      </c>
      <c r="Q38" s="30" t="s">
        <v>131</v>
      </c>
      <c r="R38" s="11" t="n">
        <f aca="false">IF(P38&lt;&gt;CONCATENATE("Grp",O38),1,0)</f>
        <v>0</v>
      </c>
      <c r="S38" s="11"/>
      <c r="Y38" s="27" t="n">
        <v>37</v>
      </c>
      <c r="Z38" s="29" t="s">
        <v>427</v>
      </c>
      <c r="AA38" s="30" t="s">
        <v>131</v>
      </c>
      <c r="AB38" s="2" t="n">
        <f aca="false">IF(Z38&lt;&gt;CONCATENATE("Mtx",Y38),1,0)</f>
        <v>0</v>
      </c>
      <c r="AC38" s="2"/>
      <c r="AI38" s="2"/>
      <c r="AJ38" s="3"/>
      <c r="AN38" s="2"/>
      <c r="AO38" s="3"/>
      <c r="AS38" s="2"/>
    </row>
    <row r="39" customFormat="false" ht="13.8" hidden="false" customHeight="false" outlineLevel="0" collapsed="false">
      <c r="E39" s="27" t="n">
        <v>38</v>
      </c>
      <c r="F39" s="29" t="s">
        <v>428</v>
      </c>
      <c r="G39" s="30" t="s">
        <v>146</v>
      </c>
      <c r="H39" s="2" t="n">
        <f aca="false">IF(F39&lt;&gt;CONCATENATE("Aux",E39),1,0)</f>
        <v>0</v>
      </c>
      <c r="O39" s="27" t="n">
        <v>38</v>
      </c>
      <c r="P39" s="29" t="s">
        <v>429</v>
      </c>
      <c r="Q39" s="30" t="s">
        <v>146</v>
      </c>
      <c r="R39" s="11" t="n">
        <f aca="false">IF(P39&lt;&gt;CONCATENATE("Grp",O39),1,0)</f>
        <v>0</v>
      </c>
      <c r="S39" s="11"/>
      <c r="Y39" s="27" t="n">
        <v>38</v>
      </c>
      <c r="Z39" s="29" t="s">
        <v>430</v>
      </c>
      <c r="AA39" s="30" t="s">
        <v>146</v>
      </c>
      <c r="AB39" s="2" t="n">
        <f aca="false">IF(Z39&lt;&gt;CONCATENATE("Mtx",Y39),1,0)</f>
        <v>0</v>
      </c>
      <c r="AC39" s="2"/>
      <c r="AI39" s="2"/>
      <c r="AJ39" s="3"/>
      <c r="AN39" s="2"/>
      <c r="AO39" s="3"/>
      <c r="AS39" s="2"/>
    </row>
    <row r="40" customFormat="false" ht="13.8" hidden="false" customHeight="false" outlineLevel="0" collapsed="false">
      <c r="E40" s="27" t="n">
        <v>39</v>
      </c>
      <c r="F40" s="29" t="s">
        <v>431</v>
      </c>
      <c r="G40" s="30" t="s">
        <v>272</v>
      </c>
      <c r="H40" s="2" t="n">
        <f aca="false">IF(F40&lt;&gt;CONCATENATE("Aux",E40),1,0)</f>
        <v>0</v>
      </c>
      <c r="O40" s="27" t="n">
        <v>39</v>
      </c>
      <c r="P40" s="29" t="s">
        <v>432</v>
      </c>
      <c r="Q40" s="30" t="s">
        <v>272</v>
      </c>
      <c r="R40" s="11" t="n">
        <f aca="false">IF(P40&lt;&gt;CONCATENATE("Grp",O40),1,0)</f>
        <v>0</v>
      </c>
      <c r="S40" s="11"/>
      <c r="Y40" s="27" t="n">
        <v>39</v>
      </c>
      <c r="Z40" s="29" t="s">
        <v>433</v>
      </c>
      <c r="AA40" s="30" t="s">
        <v>272</v>
      </c>
      <c r="AB40" s="2" t="n">
        <f aca="false">IF(Z40&lt;&gt;CONCATENATE("Mtx",Y40),1,0)</f>
        <v>0</v>
      </c>
      <c r="AC40" s="2"/>
      <c r="AI40" s="2"/>
      <c r="AJ40" s="3"/>
      <c r="AN40" s="2"/>
      <c r="AO40" s="3"/>
      <c r="AS40" s="2"/>
    </row>
    <row r="41" customFormat="false" ht="13.8" hidden="false" customHeight="false" outlineLevel="0" collapsed="false">
      <c r="E41" s="27" t="n">
        <v>40</v>
      </c>
      <c r="F41" s="29" t="s">
        <v>434</v>
      </c>
      <c r="G41" s="30" t="s">
        <v>283</v>
      </c>
      <c r="H41" s="2" t="n">
        <f aca="false">IF(F41&lt;&gt;CONCATENATE("Aux",E41),1,0)</f>
        <v>0</v>
      </c>
      <c r="O41" s="27" t="n">
        <v>40</v>
      </c>
      <c r="P41" s="29" t="s">
        <v>435</v>
      </c>
      <c r="Q41" s="30" t="s">
        <v>283</v>
      </c>
      <c r="R41" s="11" t="n">
        <f aca="false">IF(P41&lt;&gt;CONCATENATE("Grp",O41),1,0)</f>
        <v>0</v>
      </c>
      <c r="S41" s="11"/>
      <c r="Y41" s="27" t="n">
        <v>40</v>
      </c>
      <c r="Z41" s="29" t="s">
        <v>436</v>
      </c>
      <c r="AA41" s="30" t="s">
        <v>283</v>
      </c>
      <c r="AB41" s="2" t="n">
        <f aca="false">IF(Z41&lt;&gt;CONCATENATE("Mtx",Y41),1,0)</f>
        <v>0</v>
      </c>
      <c r="AC41" s="2"/>
      <c r="AI41" s="2"/>
      <c r="AJ41" s="3"/>
      <c r="AN41" s="2"/>
      <c r="AO41" s="3"/>
      <c r="AS41" s="2"/>
    </row>
    <row r="42" customFormat="false" ht="13.8" hidden="false" customHeight="false" outlineLevel="0" collapsed="false">
      <c r="F42" s="31"/>
      <c r="G42" s="11"/>
      <c r="H42" s="2" t="n">
        <f aca="false">IF(F42&lt;&gt;CONCATENATE("Aux",E42),1,0)</f>
        <v>1</v>
      </c>
      <c r="P42" s="31"/>
      <c r="Q42" s="11"/>
      <c r="R42" s="11" t="n">
        <f aca="false">IF(P42&lt;&gt;CONCATENATE("Grp",O42),1,0)</f>
        <v>1</v>
      </c>
      <c r="S42" s="11"/>
      <c r="Z42" s="31"/>
      <c r="AA42" s="11"/>
      <c r="AB42" s="2" t="n">
        <f aca="false">IF(Z42&lt;&gt;CONCATENATE("Mtx",Y42),1,0)</f>
        <v>1</v>
      </c>
      <c r="AC42" s="2"/>
      <c r="AI42" s="2"/>
      <c r="AJ42" s="3"/>
      <c r="AN42" s="2"/>
      <c r="AO42" s="3"/>
      <c r="AS42" s="2"/>
    </row>
    <row r="43" customFormat="false" ht="13.8" hidden="false" customHeight="false" outlineLevel="0" collapsed="false">
      <c r="G43" s="11"/>
      <c r="H43" s="2" t="n">
        <f aca="false">IF(F43&lt;&gt;CONCATENATE("Aux",E43),1,0)</f>
        <v>1</v>
      </c>
      <c r="Q43" s="11"/>
      <c r="R43" s="11" t="n">
        <f aca="false">IF(P43&lt;&gt;CONCATENATE("Grp",O43),1,0)</f>
        <v>1</v>
      </c>
      <c r="S43" s="11"/>
      <c r="AA43" s="11"/>
      <c r="AB43" s="2" t="n">
        <f aca="false">IF(Z43&lt;&gt;CONCATENATE("Mtx",Y43),1,0)</f>
        <v>1</v>
      </c>
      <c r="AC43" s="2"/>
      <c r="AI43" s="2"/>
      <c r="AJ43" s="3"/>
      <c r="AN43" s="2"/>
      <c r="AO43" s="3"/>
      <c r="AS43" s="2"/>
    </row>
    <row r="44" customFormat="false" ht="13.8" hidden="false" customHeight="false" outlineLevel="0" collapsed="false">
      <c r="G44" s="11"/>
      <c r="H44" s="2" t="n">
        <f aca="false">IF(F44&lt;&gt;CONCATENATE("Aux",E44),1,0)</f>
        <v>1</v>
      </c>
      <c r="Q44" s="11"/>
      <c r="R44" s="11" t="n">
        <f aca="false">IF(P44&lt;&gt;CONCATENATE("Grp",O44),1,0)</f>
        <v>1</v>
      </c>
      <c r="S44" s="11"/>
      <c r="AA44" s="11"/>
      <c r="AB44" s="2" t="n">
        <f aca="false">IF(Z44&lt;&gt;CONCATENATE("Mtx",Y44),1,0)</f>
        <v>1</v>
      </c>
      <c r="AC44" s="2"/>
      <c r="AI44" s="2"/>
      <c r="AJ44" s="3"/>
      <c r="AN44" s="2"/>
      <c r="AO44" s="3"/>
      <c r="AS44" s="2"/>
    </row>
    <row r="45" customFormat="false" ht="13.8" hidden="false" customHeight="false" outlineLevel="0" collapsed="false">
      <c r="G45" s="11"/>
      <c r="H45" s="2" t="n">
        <f aca="false">IF(F45&lt;&gt;CONCATENATE("Aux",E45),1,0)</f>
        <v>1</v>
      </c>
      <c r="Q45" s="11"/>
      <c r="R45" s="11" t="n">
        <f aca="false">IF(P45&lt;&gt;CONCATENATE("Grp",O45),1,0)</f>
        <v>1</v>
      </c>
      <c r="S45" s="11"/>
      <c r="AA45" s="11"/>
      <c r="AB45" s="2" t="n">
        <f aca="false">IF(Z45&lt;&gt;CONCATENATE("Mtx",Y45),1,0)</f>
        <v>1</v>
      </c>
      <c r="AC45" s="2"/>
      <c r="AI45" s="2"/>
      <c r="AJ45" s="3"/>
      <c r="AN45" s="2"/>
      <c r="AO45" s="3"/>
      <c r="AS45" s="2"/>
    </row>
    <row r="46" customFormat="false" ht="13.8" hidden="false" customHeight="false" outlineLevel="0" collapsed="false">
      <c r="G46" s="11"/>
      <c r="H46" s="2" t="n">
        <f aca="false">IF(F46&lt;&gt;CONCATENATE("Aux",E46),1,0)</f>
        <v>1</v>
      </c>
      <c r="Q46" s="11"/>
      <c r="R46" s="11" t="n">
        <f aca="false">IF(P46&lt;&gt;CONCATENATE("Grp",O46),1,0)</f>
        <v>1</v>
      </c>
      <c r="S46" s="11"/>
      <c r="AA46" s="11"/>
      <c r="AB46" s="2" t="n">
        <f aca="false">IF(Z46&lt;&gt;CONCATENATE("Mtx",Y46),1,0)</f>
        <v>1</v>
      </c>
      <c r="AC46" s="2"/>
      <c r="AI46" s="2"/>
      <c r="AJ46" s="3"/>
      <c r="AN46" s="2"/>
      <c r="AO46" s="3"/>
      <c r="AS46" s="2"/>
    </row>
    <row r="47" customFormat="false" ht="13.8" hidden="false" customHeight="false" outlineLevel="0" collapsed="false">
      <c r="G47" s="11"/>
      <c r="H47" s="2" t="n">
        <f aca="false">IF(F47&lt;&gt;CONCATENATE("Aux",E47),1,0)</f>
        <v>1</v>
      </c>
      <c r="Q47" s="11"/>
      <c r="R47" s="11" t="n">
        <f aca="false">IF(P47&lt;&gt;CONCATENATE("Grp",O47),1,0)</f>
        <v>1</v>
      </c>
      <c r="S47" s="11"/>
      <c r="AA47" s="11"/>
      <c r="AB47" s="2" t="n">
        <f aca="false">IF(Z47&lt;&gt;CONCATENATE("Mtx",Y47),1,0)</f>
        <v>1</v>
      </c>
      <c r="AC47" s="2"/>
      <c r="AI47" s="2"/>
      <c r="AJ47" s="3"/>
      <c r="AN47" s="2"/>
      <c r="AO47" s="3"/>
      <c r="AS47" s="2"/>
    </row>
    <row r="48" customFormat="false" ht="13.8" hidden="false" customHeight="false" outlineLevel="0" collapsed="false">
      <c r="G48" s="11"/>
      <c r="H48" s="2" t="n">
        <f aca="false">IF(F48&lt;&gt;CONCATENATE("Aux",E48),1,0)</f>
        <v>1</v>
      </c>
      <c r="Q48" s="11"/>
      <c r="R48" s="11" t="n">
        <f aca="false">IF(P48&lt;&gt;CONCATENATE("Grp",O48),1,0)</f>
        <v>1</v>
      </c>
      <c r="S48" s="11"/>
      <c r="AA48" s="11"/>
      <c r="AB48" s="2" t="n">
        <f aca="false">IF(Z48&lt;&gt;CONCATENATE("Mtx",Y48),1,0)</f>
        <v>1</v>
      </c>
      <c r="AC48" s="2"/>
      <c r="AI48" s="2"/>
      <c r="AJ48" s="3"/>
      <c r="AN48" s="2"/>
      <c r="AO48" s="3"/>
      <c r="AS48" s="2"/>
    </row>
    <row r="49" customFormat="false" ht="13.8" hidden="false" customHeight="false" outlineLevel="0" collapsed="false">
      <c r="G49" s="11"/>
      <c r="H49" s="2" t="n">
        <f aca="false">IF(F49&lt;&gt;CONCATENATE("Aux",E49),1,0)</f>
        <v>1</v>
      </c>
      <c r="Q49" s="11"/>
      <c r="R49" s="11" t="n">
        <f aca="false">IF(P49&lt;&gt;CONCATENATE("Grp",O49),1,0)</f>
        <v>1</v>
      </c>
      <c r="S49" s="11"/>
      <c r="AA49" s="11"/>
      <c r="AB49" s="2" t="n">
        <f aca="false">IF(Z49&lt;&gt;CONCATENATE("Mtx",Y49),1,0)</f>
        <v>1</v>
      </c>
      <c r="AC49" s="2"/>
      <c r="AI49" s="2"/>
      <c r="AJ49" s="3"/>
      <c r="AN49" s="2"/>
      <c r="AO49" s="3"/>
      <c r="AS49" s="2"/>
    </row>
    <row r="50" customFormat="false" ht="13.8" hidden="false" customHeight="false" outlineLevel="0" collapsed="false">
      <c r="G50" s="11"/>
      <c r="H50" s="2" t="n">
        <f aca="false">IF(F50&lt;&gt;CONCATENATE("Aux",E50),1,0)</f>
        <v>1</v>
      </c>
      <c r="Q50" s="11"/>
      <c r="R50" s="11" t="n">
        <f aca="false">IF(P50&lt;&gt;CONCATENATE("Grp",O50),1,0)</f>
        <v>1</v>
      </c>
      <c r="S50" s="11"/>
      <c r="AA50" s="11"/>
      <c r="AB50" s="2" t="n">
        <f aca="false">IF(Z50&lt;&gt;CONCATENATE("Mtx",Y50),1,0)</f>
        <v>1</v>
      </c>
      <c r="AC50" s="2"/>
      <c r="AI50" s="2"/>
      <c r="AJ50" s="3"/>
      <c r="AN50" s="2"/>
      <c r="AO50" s="3"/>
      <c r="AS50" s="2"/>
    </row>
    <row r="51" customFormat="false" ht="13.8" hidden="false" customHeight="false" outlineLevel="0" collapsed="false">
      <c r="G51" s="11"/>
      <c r="H51" s="2" t="n">
        <f aca="false">IF(F51&lt;&gt;CONCATENATE("Aux",E51),1,0)</f>
        <v>1</v>
      </c>
      <c r="Q51" s="11"/>
      <c r="R51" s="11" t="n">
        <f aca="false">IF(P51&lt;&gt;CONCATENATE("Grp",O51),1,0)</f>
        <v>1</v>
      </c>
      <c r="S51" s="11"/>
      <c r="AA51" s="11"/>
      <c r="AB51" s="2" t="n">
        <f aca="false">IF(Z51&lt;&gt;CONCATENATE("Mtx",Y51),1,0)</f>
        <v>1</v>
      </c>
      <c r="AC51" s="2"/>
      <c r="AI51" s="2"/>
      <c r="AJ51" s="3"/>
      <c r="AN51" s="2"/>
      <c r="AO51" s="3"/>
      <c r="AS51" s="2"/>
    </row>
    <row r="52" customFormat="false" ht="13.8" hidden="false" customHeight="false" outlineLevel="0" collapsed="false">
      <c r="H52" s="2" t="n">
        <f aca="false">IF(F52&lt;&gt;CONCATENATE("Aux",E52),1,0)</f>
        <v>1</v>
      </c>
      <c r="R52" s="11" t="n">
        <f aca="false">IF(P52&lt;&gt;CONCATENATE("Grp",O52),1,0)</f>
        <v>1</v>
      </c>
      <c r="S52" s="11"/>
      <c r="AB52" s="2" t="n">
        <f aca="false">IF(Z52&lt;&gt;CONCATENATE("Mtx",Y52),1,0)</f>
        <v>1</v>
      </c>
      <c r="AC52" s="2"/>
      <c r="AI52" s="2"/>
      <c r="AJ52" s="3"/>
      <c r="AN52" s="2"/>
      <c r="AO52" s="3"/>
      <c r="AS52" s="2"/>
    </row>
    <row r="53" customFormat="false" ht="13.8" hidden="false" customHeight="false" outlineLevel="0" collapsed="false">
      <c r="H53" s="2" t="n">
        <f aca="false">IF(F53&lt;&gt;CONCATENATE("Aux",E53),1,0)</f>
        <v>1</v>
      </c>
      <c r="R53" s="11" t="n">
        <f aca="false">IF(P53&lt;&gt;CONCATENATE("Grp",O53),1,0)</f>
        <v>1</v>
      </c>
      <c r="S53" s="11"/>
      <c r="AB53" s="2" t="n">
        <f aca="false">IF(Z53&lt;&gt;CONCATENATE("Mtx",Y53),1,0)</f>
        <v>1</v>
      </c>
      <c r="AC53" s="2"/>
      <c r="AI53" s="2"/>
      <c r="AJ53" s="3"/>
      <c r="AN53" s="2"/>
      <c r="AO53" s="3"/>
      <c r="AS53" s="2"/>
    </row>
    <row r="54" customFormat="false" ht="13.8" hidden="false" customHeight="false" outlineLevel="0" collapsed="false">
      <c r="H54" s="2" t="n">
        <f aca="false">IF(F54&lt;&gt;CONCATENATE("Aux",E54),1,0)</f>
        <v>1</v>
      </c>
      <c r="R54" s="11" t="n">
        <f aca="false">IF(P54&lt;&gt;CONCATENATE("Grp",O54),1,0)</f>
        <v>1</v>
      </c>
      <c r="S54" s="11"/>
      <c r="AB54" s="2" t="n">
        <f aca="false">IF(Z54&lt;&gt;CONCATENATE("Mtx",Y54),1,0)</f>
        <v>1</v>
      </c>
      <c r="AC54" s="2"/>
      <c r="AI54" s="2"/>
      <c r="AJ54" s="3"/>
      <c r="AN54" s="2"/>
      <c r="AO54" s="3"/>
      <c r="AS54" s="2"/>
    </row>
    <row r="55" customFormat="false" ht="13.8" hidden="false" customHeight="false" outlineLevel="0" collapsed="false">
      <c r="H55" s="2" t="n">
        <f aca="false">IF(F55&lt;&gt;CONCATENATE("Aux",E55),1,0)</f>
        <v>1</v>
      </c>
      <c r="R55" s="11" t="n">
        <f aca="false">IF(P55&lt;&gt;CONCATENATE("Grp",O55),1,0)</f>
        <v>1</v>
      </c>
      <c r="S55" s="11"/>
      <c r="AB55" s="2" t="n">
        <f aca="false">IF(Z55&lt;&gt;CONCATENATE("Mtx",Y55),1,0)</f>
        <v>1</v>
      </c>
      <c r="AC55" s="2"/>
    </row>
    <row r="56" customFormat="false" ht="13.8" hidden="false" customHeight="false" outlineLevel="0" collapsed="false">
      <c r="H56" s="2" t="n">
        <f aca="false">IF(F56&lt;&gt;CONCATENATE("Aux",E56),1,0)</f>
        <v>1</v>
      </c>
      <c r="R56" s="11" t="n">
        <f aca="false">IF(P56&lt;&gt;CONCATENATE("Grp",O56),1,0)</f>
        <v>1</v>
      </c>
      <c r="S56" s="11"/>
      <c r="AB56" s="2" t="n">
        <f aca="false">IF(Z56&lt;&gt;CONCATENATE("Mtx",Y56),1,0)</f>
        <v>1</v>
      </c>
      <c r="AC56" s="2"/>
    </row>
    <row r="57" customFormat="false" ht="13.8" hidden="false" customHeight="false" outlineLevel="0" collapsed="false">
      <c r="H57" s="2" t="n">
        <f aca="false">IF(F57&lt;&gt;CONCATENATE("Aux",E57),1,0)</f>
        <v>1</v>
      </c>
      <c r="R57" s="11" t="n">
        <f aca="false">IF(P57&lt;&gt;CONCATENATE("Grp",O57),1,0)</f>
        <v>1</v>
      </c>
      <c r="S57" s="11"/>
      <c r="AB57" s="2" t="n">
        <f aca="false">IF(Z57&lt;&gt;CONCATENATE("Mtx",Y57),1,0)</f>
        <v>1</v>
      </c>
      <c r="AC57" s="2"/>
    </row>
    <row r="58" customFormat="false" ht="13.8" hidden="false" customHeight="false" outlineLevel="0" collapsed="false">
      <c r="H58" s="2" t="n">
        <f aca="false">IF(F58&lt;&gt;CONCATENATE("Aux",E58),1,0)</f>
        <v>1</v>
      </c>
      <c r="R58" s="11" t="n">
        <f aca="false">IF(P58&lt;&gt;CONCATENATE("Grp",O58),1,0)</f>
        <v>1</v>
      </c>
      <c r="S58" s="11"/>
      <c r="AB58" s="2" t="n">
        <f aca="false">IF(Z58&lt;&gt;CONCATENATE("Mtx",Y58),1,0)</f>
        <v>1</v>
      </c>
      <c r="AC58" s="2"/>
    </row>
    <row r="59" customFormat="false" ht="13.8" hidden="false" customHeight="false" outlineLevel="0" collapsed="false">
      <c r="H59" s="2" t="n">
        <f aca="false">IF(F59&lt;&gt;CONCATENATE("Aux",E59),1,0)</f>
        <v>1</v>
      </c>
      <c r="R59" s="11" t="n">
        <f aca="false">IF(P59&lt;&gt;CONCATENATE("Grp",O59),1,0)</f>
        <v>1</v>
      </c>
      <c r="S59" s="11"/>
      <c r="AB59" s="2" t="n">
        <f aca="false">IF(Z59&lt;&gt;CONCATENATE("Mtx",Y59),1,0)</f>
        <v>1</v>
      </c>
      <c r="AC59" s="2"/>
    </row>
    <row r="60" customFormat="false" ht="13.8" hidden="false" customHeight="false" outlineLevel="0" collapsed="false">
      <c r="H60" s="2" t="n">
        <f aca="false">IF(F60&lt;&gt;CONCATENATE("Aux",E60),1,0)</f>
        <v>1</v>
      </c>
      <c r="R60" s="11" t="n">
        <f aca="false">IF(P60&lt;&gt;CONCATENATE("Grp",O60),1,0)</f>
        <v>1</v>
      </c>
      <c r="S60" s="11"/>
      <c r="AB60" s="2" t="n">
        <f aca="false">IF(Z60&lt;&gt;CONCATENATE("Mtx",Y60),1,0)</f>
        <v>1</v>
      </c>
      <c r="AC60" s="2"/>
    </row>
    <row r="61" customFormat="false" ht="13.8" hidden="false" customHeight="false" outlineLevel="0" collapsed="false">
      <c r="H61" s="2" t="n">
        <f aca="false">IF(F61&lt;&gt;CONCATENATE("Aux",E61),1,0)</f>
        <v>1</v>
      </c>
      <c r="R61" s="11" t="n">
        <f aca="false">IF(P61&lt;&gt;CONCATENATE("Grp",O61),1,0)</f>
        <v>1</v>
      </c>
      <c r="S61" s="11"/>
      <c r="AB61" s="2" t="n">
        <f aca="false">IF(Z61&lt;&gt;CONCATENATE("Mtx",Y61),1,0)</f>
        <v>1</v>
      </c>
      <c r="AC61" s="2"/>
    </row>
    <row r="62" customFormat="false" ht="13.8" hidden="false" customHeight="false" outlineLevel="0" collapsed="false">
      <c r="H62" s="2" t="n">
        <f aca="false">IF(F62&lt;&gt;CONCATENATE("Aux",E62),1,0)</f>
        <v>1</v>
      </c>
      <c r="R62" s="11" t="n">
        <f aca="false">IF(P62&lt;&gt;CONCATENATE("Grp",O62),1,0)</f>
        <v>1</v>
      </c>
      <c r="S62" s="11"/>
      <c r="AB62" s="2" t="n">
        <f aca="false">IF(Z62&lt;&gt;CONCATENATE("Mtx",Y62),1,0)</f>
        <v>1</v>
      </c>
      <c r="AC62" s="2"/>
    </row>
    <row r="63" customFormat="false" ht="13.8" hidden="false" customHeight="false" outlineLevel="0" collapsed="false">
      <c r="H63" s="2" t="n">
        <f aca="false">IF(F63&lt;&gt;CONCATENATE("Aux",E63),1,0)</f>
        <v>1</v>
      </c>
      <c r="R63" s="11" t="n">
        <f aca="false">IF(P63&lt;&gt;CONCATENATE("Grp",O63),1,0)</f>
        <v>1</v>
      </c>
      <c r="S63" s="11"/>
      <c r="AB63" s="2" t="n">
        <f aca="false">IF(Z63&lt;&gt;CONCATENATE("Mtx",Y63),1,0)</f>
        <v>1</v>
      </c>
      <c r="AC63" s="2"/>
    </row>
    <row r="65" customFormat="false" ht="13.8" hidden="false" customHeight="false" outlineLevel="0" collapsed="false">
      <c r="H65" s="2" t="n">
        <f aca="false">COUNTIF(H2:H63,1)</f>
        <v>22</v>
      </c>
      <c r="M65" s="2" t="n">
        <f aca="false">COUNTIF(M2:M63,1)</f>
        <v>11</v>
      </c>
      <c r="N65" s="2"/>
      <c r="R65" s="2" t="n">
        <f aca="false">COUNTIF(R2:R63,1)</f>
        <v>22</v>
      </c>
      <c r="W65" s="2" t="n">
        <f aca="false">COUNTIF(W2:W63,1)</f>
        <v>11</v>
      </c>
      <c r="AB65" s="2" t="n">
        <f aca="false">COUNTIF(AB2:AB63,1)</f>
        <v>22</v>
      </c>
      <c r="AC65" s="2"/>
      <c r="AG65" s="2" t="n">
        <f aca="false">COUNTIF(AG2:AG63,1)</f>
        <v>11</v>
      </c>
      <c r="AL65" s="2" t="n">
        <f aca="false">COUNTIF(AL2:AL63,1)</f>
        <v>4</v>
      </c>
      <c r="AM65" s="2"/>
      <c r="AQ65" s="2" t="n">
        <f aca="false">COUNTIF(AQ2:AQ63,1)</f>
        <v>4</v>
      </c>
      <c r="AR65" s="2"/>
    </row>
  </sheetData>
  <conditionalFormatting sqref="G2:G51 AK2:AK23 AP2:AP23 AU2:AU23 L2:L31 Q2:Q51 V2:V31 AA2:AA51 AF2:AF31 AY2:AY9 BC2:BC9 C2:C17">
    <cfRule type="cellIs" priority="2" operator="equal" aboveAverage="0" equalAverage="0" bottom="0" percent="0" rank="0" text="" dxfId="7">
      <formula>"purple"</formula>
    </cfRule>
    <cfRule type="cellIs" priority="3" operator="equal" aboveAverage="0" equalAverage="0" bottom="0" percent="0" rank="0" text="" dxfId="8">
      <formula>"light blue"</formula>
    </cfRule>
    <cfRule type="cellIs" priority="4" operator="equal" aboveAverage="0" equalAverage="0" bottom="0" percent="0" rank="0" text="" dxfId="9">
      <formula>"green"</formula>
    </cfRule>
    <cfRule type="cellIs" priority="5" operator="equal" aboveAverage="0" equalAverage="0" bottom="0" percent="0" rank="0" text="" dxfId="10">
      <formula>"red"</formula>
    </cfRule>
    <cfRule type="cellIs" priority="6" operator="equal" aboveAverage="0" equalAverage="0" bottom="0" percent="0" rank="0" text="" dxfId="11">
      <formula>"black"</formula>
    </cfRule>
    <cfRule type="cellIs" priority="7" operator="equal" aboveAverage="0" equalAverage="0" bottom="0" percent="0" rank="0" text="" dxfId="12">
      <formula>"yellow"</formula>
    </cfRule>
    <cfRule type="cellIs" priority="8" operator="equal" aboveAverage="0" equalAverage="0" bottom="0" percent="0" rank="0" text="" dxfId="13">
      <formula>"blue"</formula>
    </cfRule>
  </conditionalFormatting>
  <dataValidations count="2">
    <dataValidation allowBlank="true" errorStyle="stop" operator="equal" showDropDown="false" showErrorMessage="true" showInputMessage="false" sqref="C2:C17 G2:G24 L2:L31 Q2:Q51 V2:V31 AA2:AA51 AF2:AF31 AK2:AK23 AP2:AP23 AU2:AU23 G25:G51" type="list">
      <formula1>"-,blue,red,yellow,green,light blue,white,purple,black"</formula1>
      <formula2>0</formula2>
    </dataValidation>
    <dataValidation allowBlank="true" errorStyle="stop" operator="equal" showDropDown="false" showErrorMessage="true" showInputMessage="false" sqref="AY2:AY9 BC2:BC9" type="list">
      <formula1>"-,blue,red,yellow,green,light blue,white,purple,black"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32"/>
      <c r="B1" s="33" t="s">
        <v>437</v>
      </c>
      <c r="C1" s="33" t="s">
        <v>438</v>
      </c>
    </row>
    <row r="2" customFormat="false" ht="13.8" hidden="false" customHeight="false" outlineLevel="0" collapsed="false">
      <c r="A2" s="34" t="s">
        <v>439</v>
      </c>
      <c r="B2" s="27" t="n">
        <f aca="false">Groups!R65</f>
        <v>22</v>
      </c>
      <c r="C2" s="27" t="n">
        <f aca="false">Groups!W65</f>
        <v>11</v>
      </c>
    </row>
    <row r="3" customFormat="false" ht="13.8" hidden="false" customHeight="false" outlineLevel="0" collapsed="false">
      <c r="A3" s="35" t="s">
        <v>440</v>
      </c>
      <c r="B3" s="27" t="n">
        <f aca="false">Groups!AL65</f>
        <v>4</v>
      </c>
      <c r="C3" s="27" t="n">
        <f aca="false">Groups!AQ65</f>
        <v>4</v>
      </c>
    </row>
    <row r="4" customFormat="false" ht="13.8" hidden="false" customHeight="false" outlineLevel="0" collapsed="false">
      <c r="A4" s="35" t="s">
        <v>441</v>
      </c>
      <c r="B4" s="27" t="n">
        <f aca="false">Groups!H65</f>
        <v>22</v>
      </c>
      <c r="C4" s="27" t="n">
        <f aca="false">Groups!M65</f>
        <v>11</v>
      </c>
    </row>
    <row r="5" customFormat="false" ht="13.8" hidden="false" customHeight="false" outlineLevel="0" collapsed="false">
      <c r="A5" s="36" t="s">
        <v>442</v>
      </c>
      <c r="B5" s="27" t="n">
        <f aca="false">Groups!AB65</f>
        <v>22</v>
      </c>
      <c r="C5" s="27" t="n">
        <f aca="false">Groups!AG65</f>
        <v>11</v>
      </c>
    </row>
    <row r="6" customFormat="false" ht="13.8" hidden="false" customHeight="false" outlineLevel="0" collapsed="false"/>
    <row r="7" customFormat="false" ht="99.2" hidden="false" customHeight="true" outlineLevel="0" collapsed="false">
      <c r="A7" s="37" t="s">
        <v>443</v>
      </c>
      <c r="B7" s="37"/>
      <c r="C7" s="37"/>
      <c r="D7" s="37"/>
      <c r="E7" s="37"/>
      <c r="F7" s="37"/>
    </row>
  </sheetData>
  <mergeCells count="1">
    <mergeCell ref="A7:F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3" width="13.29"/>
    <col collapsed="false" customWidth="true" hidden="false" outlineLevel="0" max="2" min="2" style="3" width="11.43"/>
    <col collapsed="false" customWidth="true" hidden="false" outlineLevel="0" max="3" min="3" style="3" width="57.42"/>
  </cols>
  <sheetData>
    <row r="1" customFormat="false" ht="15" hidden="false" customHeight="false" outlineLevel="0" collapsed="false">
      <c r="A1" s="22" t="s">
        <v>444</v>
      </c>
      <c r="B1" s="22" t="s">
        <v>445</v>
      </c>
      <c r="C1" s="38" t="s">
        <v>446</v>
      </c>
    </row>
    <row r="2" customFormat="false" ht="15" hidden="false" customHeight="false" outlineLevel="0" collapsed="false">
      <c r="A2" s="11" t="s">
        <v>447</v>
      </c>
      <c r="B2" s="11" t="n">
        <v>14</v>
      </c>
      <c r="C2" s="3" t="s">
        <v>448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1931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2022-10-26T13:29:36Z</dcterms:created>
  <dc:creator>togrupe</dc:creator>
  <dc:description/>
  <dc:language>de-DE</dc:language>
  <cp:lastModifiedBy/>
  <dcterms:modified xsi:type="dcterms:W3CDTF">2026-02-03T21:46:13Z</dcterms:modified>
  <cp:revision>305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