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s" sheetId="1" state="visible" r:id="rId3"/>
    <sheet name="Sockets" sheetId="2" state="visible" r:id="rId4"/>
    <sheet name="Groups" sheetId="3" state="visible" r:id="rId5"/>
    <sheet name="Mixer Config" sheetId="4" state="visible" r:id="rId6"/>
    <sheet name="Mis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" authorId="0">
      <text>
        <r>
          <rPr>
            <sz val="10"/>
            <rFont val="Arial"/>
            <family val="2"/>
          </rPr>
          <t xml:space="preserve">*) Only for CSV Director Import</t>
        </r>
      </text>
    </comment>
  </commentList>
</comments>
</file>

<file path=xl/sharedStrings.xml><?xml version="1.0" encoding="utf-8"?>
<sst xmlns="http://schemas.openxmlformats.org/spreadsheetml/2006/main" count="3507" uniqueCount="539">
  <si>
    <t xml:space="preserve">Enabled</t>
  </si>
  <si>
    <t xml:space="preserve">Channel</t>
  </si>
  <si>
    <t xml:space="preserve">Name</t>
  </si>
  <si>
    <t xml:space="preserve">Color</t>
  </si>
  <si>
    <t xml:space="preserve">Source*</t>
  </si>
  <si>
    <t xml:space="preserve">Socket*</t>
  </si>
  <si>
    <t xml:space="preserve">Gain*</t>
  </si>
  <si>
    <t xml:space="preserve">Pad*</t>
  </si>
  <si>
    <t xml:space="preserve">Phantom*</t>
  </si>
  <si>
    <t xml:space="preserve">Mute</t>
  </si>
  <si>
    <t xml:space="preserve">Fader Level</t>
  </si>
  <si>
    <t xml:space="preserve">HPF On</t>
  </si>
  <si>
    <t xml:space="preserve">HPF Value</t>
  </si>
  <si>
    <t xml:space="preserve">Main Mix</t>
  </si>
  <si>
    <t xml:space="preserve">Recording</t>
  </si>
  <si>
    <t xml:space="preserve">Record Arm</t>
  </si>
  <si>
    <t xml:space="preserve">Mute1</t>
  </si>
  <si>
    <t xml:space="preserve">Mute2</t>
  </si>
  <si>
    <t xml:space="preserve">Mute3</t>
  </si>
  <si>
    <t xml:space="preserve">Mute4</t>
  </si>
  <si>
    <t xml:space="preserve">Mute5</t>
  </si>
  <si>
    <t xml:space="preserve">Mute6</t>
  </si>
  <si>
    <t xml:space="preserve">Mute7</t>
  </si>
  <si>
    <t xml:space="preserve">Mute8</t>
  </si>
  <si>
    <t xml:space="preserve">DCA1</t>
  </si>
  <si>
    <t xml:space="preserve">DCA2</t>
  </si>
  <si>
    <t xml:space="preserve">DCA3</t>
  </si>
  <si>
    <t xml:space="preserve">DCA4</t>
  </si>
  <si>
    <t xml:space="preserve">DCA5</t>
  </si>
  <si>
    <t xml:space="preserve">DCA6</t>
  </si>
  <si>
    <t xml:space="preserve">DCA7</t>
  </si>
  <si>
    <t xml:space="preserve">DCA8</t>
  </si>
  <si>
    <t xml:space="preserve">DCA9</t>
  </si>
  <si>
    <t xml:space="preserve">DCA10</t>
  </si>
  <si>
    <t xml:space="preserve">DCA11</t>
  </si>
  <si>
    <t xml:space="preserve">DCA12</t>
  </si>
  <si>
    <t xml:space="preserve">DCA13</t>
  </si>
  <si>
    <t xml:space="preserve">DCA14</t>
  </si>
  <si>
    <t xml:space="preserve">DCA15</t>
  </si>
  <si>
    <t xml:space="preserve">DCA16</t>
  </si>
  <si>
    <t xml:space="preserve">DCA17</t>
  </si>
  <si>
    <t xml:space="preserve">DCA18</t>
  </si>
  <si>
    <t xml:space="preserve">DCA19</t>
  </si>
  <si>
    <t xml:space="preserve">DCA20</t>
  </si>
  <si>
    <t xml:space="preserve">DCA21</t>
  </si>
  <si>
    <t xml:space="preserve">DCA22</t>
  </si>
  <si>
    <t xml:space="preserve">DCA23</t>
  </si>
  <si>
    <t xml:space="preserve">DCA24</t>
  </si>
  <si>
    <t xml:space="preserve">Grp1</t>
  </si>
  <si>
    <t xml:space="preserve">Grp2</t>
  </si>
  <si>
    <t xml:space="preserve">Grp3</t>
  </si>
  <si>
    <t xml:space="preserve">Grp4</t>
  </si>
  <si>
    <t xml:space="preserve">Grp5</t>
  </si>
  <si>
    <t xml:space="preserve">Grp6</t>
  </si>
  <si>
    <t xml:space="preserve">Grp7</t>
  </si>
  <si>
    <t xml:space="preserve">Grp8</t>
  </si>
  <si>
    <t xml:space="preserve">Grp9</t>
  </si>
  <si>
    <t xml:space="preserve">Grp10</t>
  </si>
  <si>
    <t xml:space="preserve">Grp11</t>
  </si>
  <si>
    <t xml:space="preserve">Grp12</t>
  </si>
  <si>
    <t xml:space="preserve">StGrp1</t>
  </si>
  <si>
    <t xml:space="preserve">StGrp2</t>
  </si>
  <si>
    <t xml:space="preserve">StGrp3</t>
  </si>
  <si>
    <t xml:space="preserve">StGrp4</t>
  </si>
  <si>
    <t xml:space="preserve">StGrp5</t>
  </si>
  <si>
    <t xml:space="preserve">StGrp6</t>
  </si>
  <si>
    <t xml:space="preserve">StGrp7</t>
  </si>
  <si>
    <t xml:space="preserve">StGrp8</t>
  </si>
  <si>
    <t xml:space="preserve">StGrp9</t>
  </si>
  <si>
    <t xml:space="preserve">StGrp10</t>
  </si>
  <si>
    <t xml:space="preserve">StGrp11</t>
  </si>
  <si>
    <t xml:space="preserve">StGrp12</t>
  </si>
  <si>
    <t xml:space="preserve">Hidden Helper Cells – Please dont touch</t>
  </si>
  <si>
    <t xml:space="preserve">yes</t>
  </si>
  <si>
    <t xml:space="preserve">KickIn</t>
  </si>
  <si>
    <t xml:space="preserve">blue</t>
  </si>
  <si>
    <t xml:space="preserve">MixRack</t>
  </si>
  <si>
    <t xml:space="preserve">-</t>
  </si>
  <si>
    <t xml:space="preserve">x</t>
  </si>
  <si>
    <t xml:space="preserve">KickOut</t>
  </si>
  <si>
    <t xml:space="preserve">SnTop</t>
  </si>
  <si>
    <t xml:space="preserve">SnBot</t>
  </si>
  <si>
    <t xml:space="preserve">Hat</t>
  </si>
  <si>
    <t xml:space="preserve">Rack1</t>
  </si>
  <si>
    <t xml:space="preserve">Rack2</t>
  </si>
  <si>
    <t xml:space="preserve">Floor1</t>
  </si>
  <si>
    <t xml:space="preserve">Floor2</t>
  </si>
  <si>
    <t xml:space="preserve">Ride</t>
  </si>
  <si>
    <t xml:space="preserve">OH L</t>
  </si>
  <si>
    <t xml:space="preserve">OH R</t>
  </si>
  <si>
    <t xml:space="preserve">Cajon</t>
  </si>
  <si>
    <t xml:space="preserve">spare</t>
  </si>
  <si>
    <t xml:space="preserve">black</t>
  </si>
  <si>
    <t xml:space="preserve">BassDI</t>
  </si>
  <si>
    <t xml:space="preserve">red</t>
  </si>
  <si>
    <t xml:space="preserve">BassMi</t>
  </si>
  <si>
    <t xml:space="preserve">EGit1L</t>
  </si>
  <si>
    <t xml:space="preserve">yellow</t>
  </si>
  <si>
    <t xml:space="preserve">EGit1R</t>
  </si>
  <si>
    <t xml:space="preserve">EGit2L</t>
  </si>
  <si>
    <t xml:space="preserve">EGit2R</t>
  </si>
  <si>
    <t xml:space="preserve">EGit3L</t>
  </si>
  <si>
    <t xml:space="preserve">EGit3R</t>
  </si>
  <si>
    <t xml:space="preserve">AGit1L</t>
  </si>
  <si>
    <t xml:space="preserve">green</t>
  </si>
  <si>
    <t xml:space="preserve">AGit2R</t>
  </si>
  <si>
    <t xml:space="preserve">AGit2</t>
  </si>
  <si>
    <t xml:space="preserve">AGit3</t>
  </si>
  <si>
    <t xml:space="preserve">Key1L</t>
  </si>
  <si>
    <t xml:space="preserve">light blue</t>
  </si>
  <si>
    <t xml:space="preserve">Key1R</t>
  </si>
  <si>
    <t xml:space="preserve">Key2L</t>
  </si>
  <si>
    <t xml:space="preserve">Key2R</t>
  </si>
  <si>
    <t xml:space="preserve">Key3L</t>
  </si>
  <si>
    <t xml:space="preserve">Key3R</t>
  </si>
  <si>
    <t xml:space="preserve">Key4L</t>
  </si>
  <si>
    <t xml:space="preserve">Key4R</t>
  </si>
  <si>
    <t xml:space="preserve">Lead1</t>
  </si>
  <si>
    <t xml:space="preserve">white</t>
  </si>
  <si>
    <t xml:space="preserve">Lead2</t>
  </si>
  <si>
    <t xml:space="preserve">Lead3</t>
  </si>
  <si>
    <t xml:space="preserve">Lead4</t>
  </si>
  <si>
    <t xml:space="preserve">BV1</t>
  </si>
  <si>
    <t xml:space="preserve">purple</t>
  </si>
  <si>
    <t xml:space="preserve">BV2</t>
  </si>
  <si>
    <t xml:space="preserve">BV3</t>
  </si>
  <si>
    <t xml:space="preserve">BV4</t>
  </si>
  <si>
    <t xml:space="preserve">Indication Start/End Socket
For
Mixrack / Expanders
</t>
  </si>
  <si>
    <t xml:space="preserve">Socket Number</t>
  </si>
  <si>
    <t xml:space="preserve">Local Phantom</t>
  </si>
  <si>
    <t xml:space="preserve">Local Pad</t>
  </si>
  <si>
    <t xml:space="preserve">Local Gain</t>
  </si>
  <si>
    <t xml:space="preserve">DX1 Phantom</t>
  </si>
  <si>
    <t xml:space="preserve">DX1 Pad</t>
  </si>
  <si>
    <t xml:space="preserve">DX1 Gain</t>
  </si>
  <si>
    <t xml:space="preserve">DX3 Phantom</t>
  </si>
  <si>
    <t xml:space="preserve">DX3 Pad</t>
  </si>
  <si>
    <t xml:space="preserve">DX3 Gain</t>
  </si>
  <si>
    <t xml:space="preserve">Slink Phantom</t>
  </si>
  <si>
    <t xml:space="preserve">Slink Pad</t>
  </si>
  <si>
    <t xml:space="preserve">Slink Gain</t>
  </si>
  <si>
    <t xml:space="preserve">Avantis Local End</t>
  </si>
  <si>
    <t xml:space="preserve">(C)DM32 End +  DX1/3 End</t>
  </si>
  <si>
    <t xml:space="preserve">(C)DM48 End + GX4816</t>
  </si>
  <si>
    <t xml:space="preserve">(C)DM64 End</t>
  </si>
  <si>
    <t xml:space="preserve">Slink-DX1 Start</t>
  </si>
  <si>
    <t xml:space="preserve">Slink-DX1 End</t>
  </si>
  <si>
    <t xml:space="preserve">Slink-DX2 Start</t>
  </si>
  <si>
    <t xml:space="preserve">Slink-DX2 End</t>
  </si>
  <si>
    <t xml:space="preserve">DCA</t>
  </si>
  <si>
    <t xml:space="preserve">DCA Name</t>
  </si>
  <si>
    <t xml:space="preserve">DCA Color</t>
  </si>
  <si>
    <t xml:space="preserve">Mono Auxes</t>
  </si>
  <si>
    <t xml:space="preserve">Aux Name</t>
  </si>
  <si>
    <t xml:space="preserve">Aux Color</t>
  </si>
  <si>
    <t xml:space="preserve">Stereo Auxes</t>
  </si>
  <si>
    <t xml:space="preserve">StAux Name</t>
  </si>
  <si>
    <t xml:space="preserve">StAux Color</t>
  </si>
  <si>
    <t xml:space="preserve">Mono Group</t>
  </si>
  <si>
    <t xml:space="preserve">Group Name</t>
  </si>
  <si>
    <t xml:space="preserve">Group Color</t>
  </si>
  <si>
    <t xml:space="preserve">Stereo Group</t>
  </si>
  <si>
    <t xml:space="preserve">StGroup Name</t>
  </si>
  <si>
    <t xml:space="preserve">StGroup Color</t>
  </si>
  <si>
    <t xml:space="preserve">Mono Matrix</t>
  </si>
  <si>
    <t xml:space="preserve">Matrix Name</t>
  </si>
  <si>
    <t xml:space="preserve">Matrix Color</t>
  </si>
  <si>
    <t xml:space="preserve">Stereo Matrix</t>
  </si>
  <si>
    <t xml:space="preserve">StMatrix Name</t>
  </si>
  <si>
    <t xml:space="preserve">StMatrix Color</t>
  </si>
  <si>
    <t xml:space="preserve">Mono FX Send</t>
  </si>
  <si>
    <t xml:space="preserve">FX Name</t>
  </si>
  <si>
    <t xml:space="preserve">FX Color</t>
  </si>
  <si>
    <t xml:space="preserve">Stereo FX Send</t>
  </si>
  <si>
    <t xml:space="preserve">StFX Name</t>
  </si>
  <si>
    <t xml:space="preserve">StFX Color</t>
  </si>
  <si>
    <t xml:space="preserve">FX Return</t>
  </si>
  <si>
    <t xml:space="preserve">FX Return Name</t>
  </si>
  <si>
    <t xml:space="preserve">FX Return Color</t>
  </si>
  <si>
    <t xml:space="preserve">UFX Send</t>
  </si>
  <si>
    <t xml:space="preserve">UFX Name</t>
  </si>
  <si>
    <t xml:space="preserve">UFX Color</t>
  </si>
  <si>
    <t xml:space="preserve">UFX Return</t>
  </si>
  <si>
    <t xml:space="preserve">UFX Return Name</t>
  </si>
  <si>
    <t xml:space="preserve">UFX Return Color</t>
  </si>
  <si>
    <t xml:space="preserve">Drums</t>
  </si>
  <si>
    <t xml:space="preserve">Aux1</t>
  </si>
  <si>
    <t xml:space="preserve">StAux1</t>
  </si>
  <si>
    <t xml:space="preserve">Mtx1</t>
  </si>
  <si>
    <t xml:space="preserve">StMtx1</t>
  </si>
  <si>
    <t xml:space="preserve">Fx1</t>
  </si>
  <si>
    <t xml:space="preserve">StFx1</t>
  </si>
  <si>
    <t xml:space="preserve">FxRet1</t>
  </si>
  <si>
    <t xml:space="preserve">UFx1</t>
  </si>
  <si>
    <t xml:space="preserve">UFxRet1</t>
  </si>
  <si>
    <t xml:space="preserve">Perc</t>
  </si>
  <si>
    <t xml:space="preserve">Aux2</t>
  </si>
  <si>
    <t xml:space="preserve">StAux2</t>
  </si>
  <si>
    <t xml:space="preserve">Mtx2</t>
  </si>
  <si>
    <t xml:space="preserve">StMtx2</t>
  </si>
  <si>
    <t xml:space="preserve">Fx2</t>
  </si>
  <si>
    <t xml:space="preserve">StFx2</t>
  </si>
  <si>
    <t xml:space="preserve">FxRet2</t>
  </si>
  <si>
    <t xml:space="preserve">UFx2</t>
  </si>
  <si>
    <t xml:space="preserve">UFxRet2</t>
  </si>
  <si>
    <t xml:space="preserve">Bass</t>
  </si>
  <si>
    <t xml:space="preserve">Aux3</t>
  </si>
  <si>
    <t xml:space="preserve">StAux3</t>
  </si>
  <si>
    <t xml:space="preserve">Mtx3</t>
  </si>
  <si>
    <t xml:space="preserve">StMtx3</t>
  </si>
  <si>
    <t xml:space="preserve">Fx3</t>
  </si>
  <si>
    <t xml:space="preserve">StFx3</t>
  </si>
  <si>
    <t xml:space="preserve">FxRet3</t>
  </si>
  <si>
    <t xml:space="preserve">UFx3</t>
  </si>
  <si>
    <t xml:space="preserve">UFxRet3</t>
  </si>
  <si>
    <t xml:space="preserve">Egit</t>
  </si>
  <si>
    <t xml:space="preserve">Aux4</t>
  </si>
  <si>
    <t xml:space="preserve">StAux4</t>
  </si>
  <si>
    <t xml:space="preserve">Mtx4</t>
  </si>
  <si>
    <t xml:space="preserve">StMtx4</t>
  </si>
  <si>
    <t xml:space="preserve">Fx4</t>
  </si>
  <si>
    <t xml:space="preserve">StFx4</t>
  </si>
  <si>
    <t xml:space="preserve">FxRet4</t>
  </si>
  <si>
    <t xml:space="preserve">UFx4</t>
  </si>
  <si>
    <t xml:space="preserve">UFxRet4</t>
  </si>
  <si>
    <t xml:space="preserve">Accu</t>
  </si>
  <si>
    <t xml:space="preserve">Aux5</t>
  </si>
  <si>
    <t xml:space="preserve">StAux5</t>
  </si>
  <si>
    <t xml:space="preserve">Mtx5</t>
  </si>
  <si>
    <t xml:space="preserve">StMtx5</t>
  </si>
  <si>
    <t xml:space="preserve">Fx5</t>
  </si>
  <si>
    <t xml:space="preserve">StFx5</t>
  </si>
  <si>
    <t xml:space="preserve">FxRet5</t>
  </si>
  <si>
    <t xml:space="preserve">UFx5</t>
  </si>
  <si>
    <t xml:space="preserve">UFxRet5</t>
  </si>
  <si>
    <t xml:space="preserve">Keys</t>
  </si>
  <si>
    <t xml:space="preserve">Aux6</t>
  </si>
  <si>
    <t xml:space="preserve">StAux6</t>
  </si>
  <si>
    <t xml:space="preserve">Mtx6</t>
  </si>
  <si>
    <t xml:space="preserve">StMtx6</t>
  </si>
  <si>
    <t xml:space="preserve">Fx6</t>
  </si>
  <si>
    <t xml:space="preserve">StFx6</t>
  </si>
  <si>
    <t xml:space="preserve">FxRet6</t>
  </si>
  <si>
    <t xml:space="preserve">UFx6</t>
  </si>
  <si>
    <t xml:space="preserve">UFxRet6</t>
  </si>
  <si>
    <t xml:space="preserve">Lead</t>
  </si>
  <si>
    <t xml:space="preserve">Aux7</t>
  </si>
  <si>
    <t xml:space="preserve">StAux7</t>
  </si>
  <si>
    <t xml:space="preserve">Mtx7</t>
  </si>
  <si>
    <t xml:space="preserve">StMtx7</t>
  </si>
  <si>
    <t xml:space="preserve">Fx7</t>
  </si>
  <si>
    <t xml:space="preserve">StFx7</t>
  </si>
  <si>
    <t xml:space="preserve">FxRet7</t>
  </si>
  <si>
    <t xml:space="preserve">UFx7</t>
  </si>
  <si>
    <t xml:space="preserve">UFxRet7</t>
  </si>
  <si>
    <t xml:space="preserve">BV</t>
  </si>
  <si>
    <t xml:space="preserve">Aux8</t>
  </si>
  <si>
    <t xml:space="preserve">StAux8</t>
  </si>
  <si>
    <t xml:space="preserve">Mtx8</t>
  </si>
  <si>
    <t xml:space="preserve">StMtx8</t>
  </si>
  <si>
    <t xml:space="preserve">Fx8</t>
  </si>
  <si>
    <t xml:space="preserve">StFx8</t>
  </si>
  <si>
    <t xml:space="preserve">FxRet8</t>
  </si>
  <si>
    <t xml:space="preserve">UFx8</t>
  </si>
  <si>
    <t xml:space="preserve">UFxRet8</t>
  </si>
  <si>
    <t xml:space="preserve">FX</t>
  </si>
  <si>
    <t xml:space="preserve">Aux9</t>
  </si>
  <si>
    <t xml:space="preserve">StAux9</t>
  </si>
  <si>
    <t xml:space="preserve">Mtx9</t>
  </si>
  <si>
    <t xml:space="preserve">StMtx9</t>
  </si>
  <si>
    <t xml:space="preserve">Fx9</t>
  </si>
  <si>
    <t xml:space="preserve">StFx9</t>
  </si>
  <si>
    <t xml:space="preserve">FxRet9</t>
  </si>
  <si>
    <t xml:space="preserve">Dca10</t>
  </si>
  <si>
    <t xml:space="preserve">Aux10</t>
  </si>
  <si>
    <t xml:space="preserve">StAux10</t>
  </si>
  <si>
    <t xml:space="preserve">Mtx10</t>
  </si>
  <si>
    <t xml:space="preserve">StMtx10</t>
  </si>
  <si>
    <t xml:space="preserve">Fx10</t>
  </si>
  <si>
    <t xml:space="preserve">StFx10</t>
  </si>
  <si>
    <t xml:space="preserve">FxRet10</t>
  </si>
  <si>
    <t xml:space="preserve">Dca11</t>
  </si>
  <si>
    <t xml:space="preserve">Aux11</t>
  </si>
  <si>
    <t xml:space="preserve">StAux11</t>
  </si>
  <si>
    <t xml:space="preserve">Mtx11</t>
  </si>
  <si>
    <t xml:space="preserve">StMtx11</t>
  </si>
  <si>
    <t xml:space="preserve">Fx11</t>
  </si>
  <si>
    <t xml:space="preserve">StFx11</t>
  </si>
  <si>
    <t xml:space="preserve">FxRet11</t>
  </si>
  <si>
    <t xml:space="preserve">Dca12</t>
  </si>
  <si>
    <t xml:space="preserve">Aux12</t>
  </si>
  <si>
    <t xml:space="preserve">StAux12</t>
  </si>
  <si>
    <t xml:space="preserve">Mtx12</t>
  </si>
  <si>
    <t xml:space="preserve">StMtx12</t>
  </si>
  <si>
    <t xml:space="preserve">Fx12</t>
  </si>
  <si>
    <t xml:space="preserve">StFx12</t>
  </si>
  <si>
    <t xml:space="preserve">FxRet12</t>
  </si>
  <si>
    <t xml:space="preserve">Dca13</t>
  </si>
  <si>
    <t xml:space="preserve">Aux13</t>
  </si>
  <si>
    <t xml:space="preserve">StAux13</t>
  </si>
  <si>
    <t xml:space="preserve">Grp13</t>
  </si>
  <si>
    <t xml:space="preserve">StGrp13</t>
  </si>
  <si>
    <t xml:space="preserve">Mtx13</t>
  </si>
  <si>
    <t xml:space="preserve">StMtx13</t>
  </si>
  <si>
    <t xml:space="preserve">Fx13</t>
  </si>
  <si>
    <t xml:space="preserve">StFx13</t>
  </si>
  <si>
    <t xml:space="preserve">FxRet13</t>
  </si>
  <si>
    <t xml:space="preserve">Dca14</t>
  </si>
  <si>
    <t xml:space="preserve">Aux14</t>
  </si>
  <si>
    <t xml:space="preserve">StAux14</t>
  </si>
  <si>
    <t xml:space="preserve">Grp14</t>
  </si>
  <si>
    <t xml:space="preserve">StGrp14</t>
  </si>
  <si>
    <t xml:space="preserve">Mtx14</t>
  </si>
  <si>
    <t xml:space="preserve">StMtx14</t>
  </si>
  <si>
    <t xml:space="preserve">Fx14</t>
  </si>
  <si>
    <t xml:space="preserve">StFx14</t>
  </si>
  <si>
    <t xml:space="preserve">FxRet14</t>
  </si>
  <si>
    <t xml:space="preserve">Dca15</t>
  </si>
  <si>
    <t xml:space="preserve">Aux15</t>
  </si>
  <si>
    <t xml:space="preserve">StAux15</t>
  </si>
  <si>
    <t xml:space="preserve">Grp15</t>
  </si>
  <si>
    <t xml:space="preserve">StGrp15</t>
  </si>
  <si>
    <t xml:space="preserve">Mtx15</t>
  </si>
  <si>
    <t xml:space="preserve">StMtx15</t>
  </si>
  <si>
    <t xml:space="preserve">Fx15</t>
  </si>
  <si>
    <t xml:space="preserve">StFx15</t>
  </si>
  <si>
    <t xml:space="preserve">FxRet15</t>
  </si>
  <si>
    <t xml:space="preserve">Dca16</t>
  </si>
  <si>
    <t xml:space="preserve">Aux16</t>
  </si>
  <si>
    <t xml:space="preserve">StAux16</t>
  </si>
  <si>
    <t xml:space="preserve">Grp16</t>
  </si>
  <si>
    <t xml:space="preserve">StGrp16</t>
  </si>
  <si>
    <t xml:space="preserve">Mtx16</t>
  </si>
  <si>
    <t xml:space="preserve">StMtx16</t>
  </si>
  <si>
    <t xml:space="preserve">Fx16</t>
  </si>
  <si>
    <t xml:space="preserve">StFx16</t>
  </si>
  <si>
    <t xml:space="preserve">FxRet16</t>
  </si>
  <si>
    <t xml:space="preserve">Dca17</t>
  </si>
  <si>
    <t xml:space="preserve">Aux17</t>
  </si>
  <si>
    <t xml:space="preserve">StAux17</t>
  </si>
  <si>
    <t xml:space="preserve">Grp17</t>
  </si>
  <si>
    <t xml:space="preserve">StGrp17</t>
  </si>
  <si>
    <t xml:space="preserve">Mtx17</t>
  </si>
  <si>
    <t xml:space="preserve">StMtx17</t>
  </si>
  <si>
    <t xml:space="preserve">Dca18</t>
  </si>
  <si>
    <t xml:space="preserve">Aux18</t>
  </si>
  <si>
    <t xml:space="preserve">StAux18</t>
  </si>
  <si>
    <t xml:space="preserve">Grp18</t>
  </si>
  <si>
    <t xml:space="preserve">StGrp18</t>
  </si>
  <si>
    <t xml:space="preserve">Mtx18</t>
  </si>
  <si>
    <t xml:space="preserve">StMtx18</t>
  </si>
  <si>
    <t xml:space="preserve">Dca19</t>
  </si>
  <si>
    <t xml:space="preserve">Aux19</t>
  </si>
  <si>
    <t xml:space="preserve">StAux19</t>
  </si>
  <si>
    <t xml:space="preserve">Grp19</t>
  </si>
  <si>
    <t xml:space="preserve">StGrp19</t>
  </si>
  <si>
    <t xml:space="preserve">Mtx19</t>
  </si>
  <si>
    <t xml:space="preserve">StMtx19</t>
  </si>
  <si>
    <t xml:space="preserve">Dca20</t>
  </si>
  <si>
    <t xml:space="preserve">Aux20</t>
  </si>
  <si>
    <t xml:space="preserve">StAux20</t>
  </si>
  <si>
    <t xml:space="preserve">Grp20</t>
  </si>
  <si>
    <t xml:space="preserve">StGrp20</t>
  </si>
  <si>
    <t xml:space="preserve">Mtx20</t>
  </si>
  <si>
    <t xml:space="preserve">StMtx20</t>
  </si>
  <si>
    <t xml:space="preserve">Dca21</t>
  </si>
  <si>
    <t xml:space="preserve">Aux21</t>
  </si>
  <si>
    <t xml:space="preserve">StAux21</t>
  </si>
  <si>
    <t xml:space="preserve">Grp21</t>
  </si>
  <si>
    <t xml:space="preserve">StGrp21</t>
  </si>
  <si>
    <t xml:space="preserve">Mtx21</t>
  </si>
  <si>
    <t xml:space="preserve">StMtx21</t>
  </si>
  <si>
    <t xml:space="preserve">Dca22</t>
  </si>
  <si>
    <t xml:space="preserve">Aux22</t>
  </si>
  <si>
    <t xml:space="preserve">StAux22</t>
  </si>
  <si>
    <t xml:space="preserve">Grp22</t>
  </si>
  <si>
    <t xml:space="preserve">StGrp22</t>
  </si>
  <si>
    <t xml:space="preserve">Mtx22</t>
  </si>
  <si>
    <t xml:space="preserve">StMtx22</t>
  </si>
  <si>
    <t xml:space="preserve">Dca23</t>
  </si>
  <si>
    <t xml:space="preserve">Aux23</t>
  </si>
  <si>
    <t xml:space="preserve">StAux23</t>
  </si>
  <si>
    <t xml:space="preserve">Grp23</t>
  </si>
  <si>
    <t xml:space="preserve">StGrp23</t>
  </si>
  <si>
    <t xml:space="preserve">Mtx23</t>
  </si>
  <si>
    <t xml:space="preserve">StMtx23</t>
  </si>
  <si>
    <t xml:space="preserve">Dca24</t>
  </si>
  <si>
    <t xml:space="preserve">Aux24</t>
  </si>
  <si>
    <t xml:space="preserve">StAux24</t>
  </si>
  <si>
    <t xml:space="preserve">Grp24</t>
  </si>
  <si>
    <t xml:space="preserve">StGrp24</t>
  </si>
  <si>
    <t xml:space="preserve">Mtx24</t>
  </si>
  <si>
    <t xml:space="preserve">StMtx24</t>
  </si>
  <si>
    <t xml:space="preserve">Aux25</t>
  </si>
  <si>
    <t xml:space="preserve">StAux25</t>
  </si>
  <si>
    <t xml:space="preserve">Grp25</t>
  </si>
  <si>
    <t xml:space="preserve">StGrp25</t>
  </si>
  <si>
    <t xml:space="preserve">Mtx25</t>
  </si>
  <si>
    <t xml:space="preserve">StMtx25</t>
  </si>
  <si>
    <t xml:space="preserve">Aux26</t>
  </si>
  <si>
    <t xml:space="preserve">StAux26</t>
  </si>
  <si>
    <t xml:space="preserve">Grp26</t>
  </si>
  <si>
    <t xml:space="preserve">StGrp26</t>
  </si>
  <si>
    <t xml:space="preserve">Mtx26</t>
  </si>
  <si>
    <t xml:space="preserve">StMtx26</t>
  </si>
  <si>
    <t xml:space="preserve">Aux27</t>
  </si>
  <si>
    <t xml:space="preserve">StAux27</t>
  </si>
  <si>
    <t xml:space="preserve">Grp27</t>
  </si>
  <si>
    <t xml:space="preserve">StGrp27</t>
  </si>
  <si>
    <t xml:space="preserve">Mtx27</t>
  </si>
  <si>
    <t xml:space="preserve">StMtx27</t>
  </si>
  <si>
    <t xml:space="preserve">Aux28</t>
  </si>
  <si>
    <t xml:space="preserve">StAux28</t>
  </si>
  <si>
    <t xml:space="preserve">Grp28</t>
  </si>
  <si>
    <t xml:space="preserve">StGrp28</t>
  </si>
  <si>
    <t xml:space="preserve">Mtx28</t>
  </si>
  <si>
    <t xml:space="preserve">StMtx28</t>
  </si>
  <si>
    <t xml:space="preserve">Aux29</t>
  </si>
  <si>
    <t xml:space="preserve">StAux29</t>
  </si>
  <si>
    <t xml:space="preserve">Grp29</t>
  </si>
  <si>
    <t xml:space="preserve">StGrp29</t>
  </si>
  <si>
    <t xml:space="preserve">Mtx29</t>
  </si>
  <si>
    <t xml:space="preserve">StMtx29</t>
  </si>
  <si>
    <t xml:space="preserve">Aux30</t>
  </si>
  <si>
    <t xml:space="preserve">StAux30</t>
  </si>
  <si>
    <t xml:space="preserve">Grp30</t>
  </si>
  <si>
    <t xml:space="preserve">StGrp30</t>
  </si>
  <si>
    <t xml:space="preserve">Mtx30</t>
  </si>
  <si>
    <t xml:space="preserve">StMtx30</t>
  </si>
  <si>
    <t xml:space="preserve">Aux31</t>
  </si>
  <si>
    <t xml:space="preserve">StAux31</t>
  </si>
  <si>
    <t xml:space="preserve">Grp31</t>
  </si>
  <si>
    <t xml:space="preserve">StGrp31</t>
  </si>
  <si>
    <t xml:space="preserve">Mtx31</t>
  </si>
  <si>
    <t xml:space="preserve">StMtx31</t>
  </si>
  <si>
    <t xml:space="preserve">Aux32</t>
  </si>
  <si>
    <t xml:space="preserve">Grp32</t>
  </si>
  <si>
    <t xml:space="preserve">Mtx32</t>
  </si>
  <si>
    <t xml:space="preserve">Aux33</t>
  </si>
  <si>
    <t xml:space="preserve">Grp33</t>
  </si>
  <si>
    <t xml:space="preserve">Mtx33</t>
  </si>
  <si>
    <t xml:space="preserve">Aux34</t>
  </si>
  <si>
    <t xml:space="preserve">Grp34</t>
  </si>
  <si>
    <t xml:space="preserve">Mtx34</t>
  </si>
  <si>
    <t xml:space="preserve">Aux35</t>
  </si>
  <si>
    <t xml:space="preserve">Grp35</t>
  </si>
  <si>
    <t xml:space="preserve">Mtx35</t>
  </si>
  <si>
    <t xml:space="preserve">Aux36</t>
  </si>
  <si>
    <t xml:space="preserve">Grp36</t>
  </si>
  <si>
    <t xml:space="preserve">Mtx36</t>
  </si>
  <si>
    <t xml:space="preserve">Aux37</t>
  </si>
  <si>
    <t xml:space="preserve">Grp37</t>
  </si>
  <si>
    <t xml:space="preserve">Mtx37</t>
  </si>
  <si>
    <t xml:space="preserve">Aux38</t>
  </si>
  <si>
    <t xml:space="preserve">Grp38</t>
  </si>
  <si>
    <t xml:space="preserve">Mtx38</t>
  </si>
  <si>
    <t xml:space="preserve">Aux39</t>
  </si>
  <si>
    <t xml:space="preserve">Grp39</t>
  </si>
  <si>
    <t xml:space="preserve">Mtx39</t>
  </si>
  <si>
    <t xml:space="preserve">Aux40</t>
  </si>
  <si>
    <t xml:space="preserve">Grp40</t>
  </si>
  <si>
    <t xml:space="preserve">Mtx40</t>
  </si>
  <si>
    <t xml:space="preserve">Aux41</t>
  </si>
  <si>
    <t xml:space="preserve">Grp41</t>
  </si>
  <si>
    <t xml:space="preserve">Mtx41</t>
  </si>
  <si>
    <t xml:space="preserve">Aux42</t>
  </si>
  <si>
    <t xml:space="preserve">Grp42</t>
  </si>
  <si>
    <t xml:space="preserve">Mtx42</t>
  </si>
  <si>
    <t xml:space="preserve">Aux43</t>
  </si>
  <si>
    <t xml:space="preserve">Grp43</t>
  </si>
  <si>
    <t xml:space="preserve">Mtx43</t>
  </si>
  <si>
    <t xml:space="preserve">Aux44</t>
  </si>
  <si>
    <t xml:space="preserve">Grp44</t>
  </si>
  <si>
    <t xml:space="preserve">Mtx44</t>
  </si>
  <si>
    <t xml:space="preserve">Aux45</t>
  </si>
  <si>
    <t xml:space="preserve">Grp45</t>
  </si>
  <si>
    <t xml:space="preserve">Mtx45</t>
  </si>
  <si>
    <t xml:space="preserve">Aux46</t>
  </si>
  <si>
    <t xml:space="preserve">Grp46</t>
  </si>
  <si>
    <t xml:space="preserve">Mtx46</t>
  </si>
  <si>
    <t xml:space="preserve">Aux47</t>
  </si>
  <si>
    <t xml:space="preserve">Grp47</t>
  </si>
  <si>
    <t xml:space="preserve">Mtx47</t>
  </si>
  <si>
    <t xml:space="preserve">Aux48</t>
  </si>
  <si>
    <t xml:space="preserve">Grp48</t>
  </si>
  <si>
    <t xml:space="preserve">Mtx48</t>
  </si>
  <si>
    <t xml:space="preserve">Aux49</t>
  </si>
  <si>
    <t xml:space="preserve">Grp49</t>
  </si>
  <si>
    <t xml:space="preserve">Mtx49</t>
  </si>
  <si>
    <t xml:space="preserve">Aux50</t>
  </si>
  <si>
    <t xml:space="preserve">Grp50</t>
  </si>
  <si>
    <t xml:space="preserve">Mtx50</t>
  </si>
  <si>
    <t xml:space="preserve">Aux51</t>
  </si>
  <si>
    <t xml:space="preserve">Grp51</t>
  </si>
  <si>
    <t xml:space="preserve">Mtx51</t>
  </si>
  <si>
    <t xml:space="preserve">Aux52</t>
  </si>
  <si>
    <t xml:space="preserve">Grp52</t>
  </si>
  <si>
    <t xml:space="preserve">Mtx52</t>
  </si>
  <si>
    <t xml:space="preserve">Aux53</t>
  </si>
  <si>
    <t xml:space="preserve">Grp53</t>
  </si>
  <si>
    <t xml:space="preserve">Mtx53</t>
  </si>
  <si>
    <t xml:space="preserve">Aux54</t>
  </si>
  <si>
    <t xml:space="preserve">Grp54</t>
  </si>
  <si>
    <t xml:space="preserve">Mtx54</t>
  </si>
  <si>
    <t xml:space="preserve">Aux55</t>
  </si>
  <si>
    <t xml:space="preserve">Grp55</t>
  </si>
  <si>
    <t xml:space="preserve">Mtx55</t>
  </si>
  <si>
    <t xml:space="preserve">Aux56</t>
  </si>
  <si>
    <t xml:space="preserve">Grp56</t>
  </si>
  <si>
    <t xml:space="preserve">Mtx56</t>
  </si>
  <si>
    <t xml:space="preserve">Aux57</t>
  </si>
  <si>
    <t xml:space="preserve">Grp57</t>
  </si>
  <si>
    <t xml:space="preserve">Mtx57</t>
  </si>
  <si>
    <t xml:space="preserve">Aux58</t>
  </si>
  <si>
    <t xml:space="preserve">Grp58</t>
  </si>
  <si>
    <t xml:space="preserve">Mtx58</t>
  </si>
  <si>
    <t xml:space="preserve">Aux59</t>
  </si>
  <si>
    <t xml:space="preserve">Grp59</t>
  </si>
  <si>
    <t xml:space="preserve">Mtx59</t>
  </si>
  <si>
    <t xml:space="preserve">Aux60</t>
  </si>
  <si>
    <t xml:space="preserve">Grp60</t>
  </si>
  <si>
    <t xml:space="preserve">Mtx60</t>
  </si>
  <si>
    <t xml:space="preserve">Aux61</t>
  </si>
  <si>
    <t xml:space="preserve">Grp61</t>
  </si>
  <si>
    <t xml:space="preserve">Mtx61</t>
  </si>
  <si>
    <t xml:space="preserve">Aux62</t>
  </si>
  <si>
    <t xml:space="preserve">Grp62</t>
  </si>
  <si>
    <t xml:space="preserve">Mtx62</t>
  </si>
  <si>
    <t xml:space="preserve">Mono</t>
  </si>
  <si>
    <t xml:space="preserve">Stereo</t>
  </si>
  <si>
    <t xml:space="preserve">Group</t>
  </si>
  <si>
    <t xml:space="preserve">Aux</t>
  </si>
  <si>
    <t xml:space="preserve">Matrix</t>
  </si>
  <si>
    <t xml:space="preserve">This is a report from the „Groups“ sheet. It does not change the Mixer Config. 
When you change the default name in the „Groups“ sheet, 
the corresponding value is increased here.</t>
  </si>
  <si>
    <t xml:space="preserve">Property</t>
  </si>
  <si>
    <t xml:space="preserve">Value</t>
  </si>
  <si>
    <t xml:space="preserve">Description</t>
  </si>
  <si>
    <t xml:space="preserve">Version</t>
  </si>
  <si>
    <t xml:space="preserve">Version of the sheet, indicates how the cell/columns are arranged.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</si>
</sst>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C9211E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B3B3B3"/>
        <bgColor rgb="FFB7B3CA"/>
      </patternFill>
    </fill>
    <fill>
      <patternFill patternType="solid">
        <fgColor rgb="FFCCCCCC"/>
        <bgColor rgb="FFC6D9F1"/>
      </patternFill>
    </fill>
    <fill>
      <patternFill patternType="solid">
        <fgColor rgb="FFBF819E"/>
        <bgColor rgb="FF808080"/>
      </patternFill>
    </fill>
    <fill>
      <patternFill patternType="solid">
        <fgColor rgb="FFB7B3CA"/>
        <bgColor rgb="FFB3B3B3"/>
      </patternFill>
    </fill>
    <fill>
      <patternFill patternType="solid">
        <fgColor rgb="FFFFB66C"/>
        <bgColor rgb="FFFF99CC"/>
      </patternFill>
    </fill>
    <fill>
      <patternFill patternType="solid">
        <fgColor rgb="FFAFD095"/>
        <bgColor rgb="FFCCCCCC"/>
      </patternFill>
    </fill>
    <fill>
      <patternFill patternType="solid">
        <fgColor rgb="FFFF3838"/>
        <bgColor rgb="FFC9211E"/>
      </patternFill>
    </fill>
    <fill>
      <patternFill patternType="solid">
        <fgColor rgb="FF83CAFF"/>
        <bgColor rgb="FFB7B3CA"/>
      </patternFill>
    </fill>
    <fill>
      <patternFill patternType="solid">
        <fgColor rgb="FF004586"/>
        <bgColor rgb="FF333399"/>
      </patternFill>
    </fill>
    <fill>
      <patternFill patternType="solid">
        <fgColor rgb="FFA1467E"/>
        <bgColor rgb="FF7030A0"/>
      </patternFill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A1467E"/>
      <rgbColor rgb="FFFFF5CE"/>
      <rgbColor rgb="FFAFD095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CCCC"/>
      <rgbColor rgb="FFFFFF99"/>
      <rgbColor rgb="FF83CAFF"/>
      <rgbColor rgb="FFFF99CC"/>
      <rgbColor rgb="FFB3B3B3"/>
      <rgbColor rgb="FFFFB66C"/>
      <rgbColor rgb="FF3366FF"/>
      <rgbColor rgb="FF33CCCC"/>
      <rgbColor rgb="FF92D050"/>
      <rgbColor rgb="FFFFCC00"/>
      <rgbColor rgb="FFFF9900"/>
      <rgbColor rgb="FFFF3838"/>
      <rgbColor rgb="FF558ED5"/>
      <rgbColor rgb="FFBF819E"/>
      <rgbColor rgb="FF004586"/>
      <rgbColor rgb="FF00A933"/>
      <rgbColor rgb="FF003300"/>
      <rgbColor rgb="FF333300"/>
      <rgbColor rgb="FFC9211E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F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K15" activeCellId="0" sqref="K15"/>
    </sheetView>
  </sheetViews>
  <sheetFormatPr defaultColWidth="11.00390625" defaultRowHeight="13.8" customHeight="true" zeroHeight="false" outlineLevelRow="0" outlineLevelCol="0"/>
  <cols>
    <col collapsed="false" customWidth="true" hidden="false" outlineLevel="0" max="3" min="3" style="1" width="10.85"/>
    <col collapsed="false" customWidth="false" hidden="false" outlineLevel="0" max="4" min="4" style="2" width="11"/>
    <col collapsed="false" customWidth="true" hidden="true" outlineLevel="0" max="5" min="5" style="2" width="17.84"/>
    <col collapsed="false" customWidth="true" hidden="true" outlineLevel="0" max="9" min="6" style="2" width="13.8"/>
    <col collapsed="false" customWidth="true" hidden="false" outlineLevel="0" max="11" min="10" style="2" width="10.85"/>
    <col collapsed="false" customWidth="true" hidden="true" outlineLevel="0" max="12" min="12" style="2" width="10.85"/>
    <col collapsed="false" customWidth="true" hidden="true" outlineLevel="0" max="13" min="13" style="2" width="10"/>
    <col collapsed="false" customWidth="true" hidden="true" outlineLevel="0" max="15" min="14" style="2" width="10.42"/>
    <col collapsed="false" customWidth="true" hidden="true" outlineLevel="0" max="27" min="16" style="2" width="4.29"/>
    <col collapsed="false" customWidth="true" hidden="true" outlineLevel="0" max="28" min="28" style="2" width="10.42"/>
    <col collapsed="false" customWidth="true" hidden="true" outlineLevel="0" max="40" min="29" style="2" width="4.29"/>
    <col collapsed="false" customWidth="true" hidden="true" outlineLevel="0" max="41" min="41" style="3" width="10.42"/>
    <col collapsed="false" customWidth="true" hidden="false" outlineLevel="0" max="42" min="42" style="2" width="10.42"/>
    <col collapsed="false" customWidth="false" hidden="false" outlineLevel="0" max="43" min="43" style="2" width="11"/>
    <col collapsed="false" customWidth="true" hidden="true" outlineLevel="0" max="68" min="45" style="2" width="4.29"/>
    <col collapsed="false" customWidth="false" hidden="true" outlineLevel="0" max="69" min="69" style="0" width="11"/>
    <col collapsed="false" customWidth="true" hidden="true" outlineLevel="0" max="77" min="70" style="2" width="4.29"/>
    <col collapsed="false" customWidth="true" hidden="true" outlineLevel="0" max="102" min="79" style="2" width="4.29"/>
    <col collapsed="false" customWidth="false" hidden="true" outlineLevel="0" max="103" min="103" style="2" width="11"/>
    <col collapsed="false" customWidth="true" hidden="true" outlineLevel="0" max="115" min="104" style="2" width="4.29"/>
    <col collapsed="false" customWidth="true" hidden="true" outlineLevel="0" max="116" min="116" style="2" width="10.42"/>
    <col collapsed="false" customWidth="true" hidden="true" outlineLevel="0" max="128" min="117" style="2" width="4.29"/>
    <col collapsed="false" customWidth="true" hidden="false" outlineLevel="0" max="129" min="129" style="3" width="35.84"/>
  </cols>
  <sheetData>
    <row r="1" s="9" customFormat="true" ht="82.8" hidden="false" customHeight="false" outlineLevel="0" collapsed="false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/>
      <c r="P1" s="8" t="str">
        <f aca="false">CONCATENATE("Grp1 - ",Groups!P2)</f>
        <v>Grp1 - Grp1</v>
      </c>
      <c r="Q1" s="8" t="str">
        <f aca="false">CONCATENATE("Grp2 - ",Groups!P3)</f>
        <v>Grp2 - Grp2</v>
      </c>
      <c r="R1" s="8" t="str">
        <f aca="false">CONCATENATE("Grp3 - ",Groups!P4)</f>
        <v>Grp3 - Grp3</v>
      </c>
      <c r="S1" s="8" t="str">
        <f aca="false">CONCATENATE("Grp4 - ",Groups!P5)</f>
        <v>Grp4 - Grp4</v>
      </c>
      <c r="T1" s="8" t="str">
        <f aca="false">CONCATENATE("Grp5 - ",Groups!P6)</f>
        <v>Grp5 - Grp5</v>
      </c>
      <c r="U1" s="8" t="str">
        <f aca="false">CONCATENATE("Grp6 - ",Groups!P7)</f>
        <v>Grp6 - Grp6</v>
      </c>
      <c r="V1" s="8" t="str">
        <f aca="false">CONCATENATE("Grp7 - ",Groups!P8)</f>
        <v>Grp7 - Grp7</v>
      </c>
      <c r="W1" s="8" t="str">
        <f aca="false">CONCATENATE("Grp8 - ",Groups!$P9)</f>
        <v>Grp8 - Grp8</v>
      </c>
      <c r="X1" s="8" t="str">
        <f aca="false">CONCATENATE("Grp9 - ",Groups!$P10)</f>
        <v>Grp9 - Grp9</v>
      </c>
      <c r="Y1" s="8" t="str">
        <f aca="false">CONCATENATE("Grp10 - ",Groups!$P11)</f>
        <v>Grp10 - Grp10</v>
      </c>
      <c r="Z1" s="8" t="str">
        <f aca="false">CONCATENATE("Grp11 - ",Groups!$P12)</f>
        <v>Grp11 - Grp11</v>
      </c>
      <c r="AA1" s="8" t="str">
        <f aca="false">CONCATENATE("Grp12 - ",Groups!$P13)</f>
        <v>Grp12 - Grp12</v>
      </c>
      <c r="AB1" s="5"/>
      <c r="AC1" s="8" t="str">
        <f aca="false">CONCATENATE("StGrp1 - ",Groups!U2)</f>
        <v>StGrp1 - StGrp1</v>
      </c>
      <c r="AD1" s="8" t="str">
        <f aca="false">CONCATENATE("StGrp2 - ",Groups!U3)</f>
        <v>StGrp2 - StGrp2</v>
      </c>
      <c r="AE1" s="8" t="str">
        <f aca="false">CONCATENATE("StGrp3 - ",Groups!U4)</f>
        <v>StGrp3 - StGrp3</v>
      </c>
      <c r="AF1" s="8" t="str">
        <f aca="false">CONCATENATE("StGrp4 - ",Groups!U5)</f>
        <v>StGrp4 - StGrp4</v>
      </c>
      <c r="AG1" s="8" t="str">
        <f aca="false">CONCATENATE("StGrp5 - ",Groups!U6)</f>
        <v>StGrp5 - StGrp5</v>
      </c>
      <c r="AH1" s="8" t="str">
        <f aca="false">CONCATENATE("StGrp6 - ",Groups!U7)</f>
        <v>StGrp6 - StGrp6</v>
      </c>
      <c r="AI1" s="8" t="str">
        <f aca="false">CONCATENATE("StGrp7 - ",Groups!U8)</f>
        <v>StGrp7 - StGrp7</v>
      </c>
      <c r="AJ1" s="8" t="str">
        <f aca="false">CONCATENATE("StGrp8 - ",Groups!U9)</f>
        <v>StGrp8 - StGrp8</v>
      </c>
      <c r="AK1" s="8" t="str">
        <f aca="false">CONCATENATE("StGrp9 - ",Groups!U10)</f>
        <v>StGrp9 - StGrp9</v>
      </c>
      <c r="AL1" s="8" t="str">
        <f aca="false">CONCATENATE("StGrp10 - ",Groups!U11)</f>
        <v>StGrp10 - StGrp10</v>
      </c>
      <c r="AM1" s="8" t="str">
        <f aca="false">CONCATENATE("StGrp11 - ",Groups!U12)</f>
        <v>StGrp11 - StGrp11</v>
      </c>
      <c r="AN1" s="8" t="str">
        <f aca="false">CONCATENATE("StGrp12 - ",Groups!U13)</f>
        <v>StGrp12 - StGrp12</v>
      </c>
      <c r="AO1" s="5"/>
      <c r="AP1" s="5" t="s">
        <v>14</v>
      </c>
      <c r="AQ1" s="5" t="s">
        <v>15</v>
      </c>
      <c r="AS1" s="8" t="str">
        <f aca="false">CONCATENATE("DCA1 - ",Groups!B2)</f>
        <v>DCA1 - Drums</v>
      </c>
      <c r="AT1" s="8" t="str">
        <f aca="false">CONCATENATE("DCA2 - ",Groups!B3)</f>
        <v>DCA2 - Perc</v>
      </c>
      <c r="AU1" s="8" t="str">
        <f aca="false">CONCATENATE("DCA3 - ",Groups!B4)</f>
        <v>DCA3 - Bass</v>
      </c>
      <c r="AV1" s="8" t="str">
        <f aca="false">CONCATENATE("DCA4 - ",Groups!B5)</f>
        <v>DCA4 - Egit</v>
      </c>
      <c r="AW1" s="8" t="str">
        <f aca="false">CONCATENATE("DCA5 - ",Groups!B6)</f>
        <v>DCA5 - Accu</v>
      </c>
      <c r="AX1" s="8" t="str">
        <f aca="false">CONCATENATE("DCA6 - ",Groups!B7)</f>
        <v>DCA6 - Keys</v>
      </c>
      <c r="AY1" s="8" t="str">
        <f aca="false">CONCATENATE("DCA7 - ",Groups!B8)</f>
        <v>DCA7 - Lead</v>
      </c>
      <c r="AZ1" s="8" t="str">
        <f aca="false">CONCATENATE("DCA8 - ",Groups!B9)</f>
        <v>DCA8 - BV</v>
      </c>
      <c r="BA1" s="8" t="str">
        <f aca="false">CONCATENATE("DCA9 - ",Groups!B10)</f>
        <v>DCA9 - FX</v>
      </c>
      <c r="BB1" s="8" t="str">
        <f aca="false">CONCATENATE("DCA10 - ",Groups!B11)</f>
        <v>DCA10 - Dca10</v>
      </c>
      <c r="BC1" s="8" t="str">
        <f aca="false">CONCATENATE("DCA11 - ",Groups!B12)</f>
        <v>DCA11 - Dca11</v>
      </c>
      <c r="BD1" s="8" t="str">
        <f aca="false">CONCATENATE("DCA12 - ",Groups!B13)</f>
        <v>DCA12 - Dca12</v>
      </c>
      <c r="BE1" s="8" t="str">
        <f aca="false">CONCATENATE("DCA13 - ",Groups!B14)</f>
        <v>DCA13 - Dca13</v>
      </c>
      <c r="BF1" s="8" t="str">
        <f aca="false">CONCATENATE("DCA14 - ",Groups!B15)</f>
        <v>DCA14 - Dca14</v>
      </c>
      <c r="BG1" s="8" t="str">
        <f aca="false">CONCATENATE("DCA15 - ",Groups!B16)</f>
        <v>DCA15 - Dca15</v>
      </c>
      <c r="BH1" s="8" t="str">
        <f aca="false">CONCATENATE("DCA16 - ",Groups!B17)</f>
        <v>DCA16 - Dca16</v>
      </c>
      <c r="BI1" s="8" t="str">
        <f aca="false">CONCATENATE("DCA17 - ",Groups!B18)</f>
        <v>DCA17 - Dca17</v>
      </c>
      <c r="BJ1" s="8" t="str">
        <f aca="false">CONCATENATE("DCA18 - ",Groups!B19)</f>
        <v>DCA18 - Dca18</v>
      </c>
      <c r="BK1" s="8" t="str">
        <f aca="false">CONCATENATE("DCA19 - ",Groups!B20)</f>
        <v>DCA19 - Dca19</v>
      </c>
      <c r="BL1" s="8" t="str">
        <f aca="false">CONCATENATE("DCA20 - ",Groups!B21)</f>
        <v>DCA20 - Dca20</v>
      </c>
      <c r="BM1" s="8" t="str">
        <f aca="false">CONCATENATE("DCA21 - ",Groups!B22)</f>
        <v>DCA21 - Dca21</v>
      </c>
      <c r="BN1" s="8" t="str">
        <f aca="false">CONCATENATE("DCA22 - ",Groups!B23)</f>
        <v>DCA22 - Dca22</v>
      </c>
      <c r="BO1" s="8" t="str">
        <f aca="false">CONCATENATE("DCA23 - ",Groups!B24)</f>
        <v>DCA23 - Dca23</v>
      </c>
      <c r="BP1" s="8" t="str">
        <f aca="false">CONCATENATE("DCA24 - ",Groups!B25)</f>
        <v>DCA24 - Dca24</v>
      </c>
      <c r="BR1" s="8" t="s">
        <v>16</v>
      </c>
      <c r="BS1" s="8" t="s">
        <v>17</v>
      </c>
      <c r="BT1" s="8" t="s">
        <v>18</v>
      </c>
      <c r="BU1" s="8" t="s">
        <v>19</v>
      </c>
      <c r="BV1" s="8" t="s">
        <v>20</v>
      </c>
      <c r="BW1" s="8" t="s">
        <v>21</v>
      </c>
      <c r="BX1" s="8" t="s">
        <v>22</v>
      </c>
      <c r="BY1" s="8" t="s">
        <v>23</v>
      </c>
      <c r="CA1" s="8" t="s">
        <v>24</v>
      </c>
      <c r="CB1" s="8" t="s">
        <v>25</v>
      </c>
      <c r="CC1" s="8" t="s">
        <v>26</v>
      </c>
      <c r="CD1" s="8" t="s">
        <v>27</v>
      </c>
      <c r="CE1" s="8" t="s">
        <v>28</v>
      </c>
      <c r="CF1" s="8" t="s">
        <v>29</v>
      </c>
      <c r="CG1" s="8" t="s">
        <v>30</v>
      </c>
      <c r="CH1" s="8" t="s">
        <v>31</v>
      </c>
      <c r="CI1" s="8" t="s">
        <v>32</v>
      </c>
      <c r="CJ1" s="8" t="s">
        <v>33</v>
      </c>
      <c r="CK1" s="8" t="s">
        <v>34</v>
      </c>
      <c r="CL1" s="8" t="s">
        <v>35</v>
      </c>
      <c r="CM1" s="8" t="s">
        <v>36</v>
      </c>
      <c r="CN1" s="8" t="s">
        <v>37</v>
      </c>
      <c r="CO1" s="8" t="s">
        <v>38</v>
      </c>
      <c r="CP1" s="8" t="s">
        <v>39</v>
      </c>
      <c r="CQ1" s="8" t="s">
        <v>40</v>
      </c>
      <c r="CR1" s="8" t="s">
        <v>41</v>
      </c>
      <c r="CS1" s="8" t="s">
        <v>42</v>
      </c>
      <c r="CT1" s="8" t="s">
        <v>43</v>
      </c>
      <c r="CU1" s="8" t="s">
        <v>44</v>
      </c>
      <c r="CV1" s="8" t="s">
        <v>45</v>
      </c>
      <c r="CW1" s="8" t="s">
        <v>46</v>
      </c>
      <c r="CX1" s="8" t="s">
        <v>47</v>
      </c>
      <c r="CY1" s="8"/>
      <c r="CZ1" s="8" t="s">
        <v>48</v>
      </c>
      <c r="DA1" s="8" t="s">
        <v>49</v>
      </c>
      <c r="DB1" s="8" t="s">
        <v>50</v>
      </c>
      <c r="DC1" s="8" t="s">
        <v>51</v>
      </c>
      <c r="DD1" s="8" t="s">
        <v>52</v>
      </c>
      <c r="DE1" s="8" t="s">
        <v>53</v>
      </c>
      <c r="DF1" s="8" t="s">
        <v>54</v>
      </c>
      <c r="DG1" s="8" t="s">
        <v>55</v>
      </c>
      <c r="DH1" s="8" t="s">
        <v>56</v>
      </c>
      <c r="DI1" s="8" t="s">
        <v>57</v>
      </c>
      <c r="DJ1" s="8" t="s">
        <v>58</v>
      </c>
      <c r="DK1" s="8" t="s">
        <v>59</v>
      </c>
      <c r="DL1" s="5"/>
      <c r="DM1" s="8" t="s">
        <v>60</v>
      </c>
      <c r="DN1" s="8" t="s">
        <v>61</v>
      </c>
      <c r="DO1" s="8" t="s">
        <v>62</v>
      </c>
      <c r="DP1" s="8" t="s">
        <v>63</v>
      </c>
      <c r="DQ1" s="8" t="s">
        <v>64</v>
      </c>
      <c r="DR1" s="8" t="s">
        <v>65</v>
      </c>
      <c r="DS1" s="8" t="s">
        <v>66</v>
      </c>
      <c r="DT1" s="8" t="s">
        <v>67</v>
      </c>
      <c r="DU1" s="8" t="s">
        <v>68</v>
      </c>
      <c r="DV1" s="8" t="s">
        <v>69</v>
      </c>
      <c r="DW1" s="8" t="s">
        <v>70</v>
      </c>
      <c r="DX1" s="8" t="s">
        <v>71</v>
      </c>
      <c r="DY1" s="9" t="s">
        <v>72</v>
      </c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</row>
    <row r="2" customFormat="false" ht="13.8" hidden="false" customHeight="false" outlineLevel="0" collapsed="false">
      <c r="A2" s="10" t="s">
        <v>73</v>
      </c>
      <c r="B2" s="2" t="n">
        <v>1</v>
      </c>
      <c r="C2" s="11" t="s">
        <v>74</v>
      </c>
      <c r="D2" s="10" t="s">
        <v>75</v>
      </c>
      <c r="E2" s="10" t="s">
        <v>76</v>
      </c>
      <c r="F2" s="10" t="n">
        <v>1</v>
      </c>
      <c r="G2" s="10" t="s">
        <v>77</v>
      </c>
      <c r="H2" s="10" t="s">
        <v>77</v>
      </c>
      <c r="I2" s="10" t="s">
        <v>77</v>
      </c>
      <c r="J2" s="10" t="s">
        <v>77</v>
      </c>
      <c r="K2" s="10" t="s">
        <v>77</v>
      </c>
      <c r="L2" s="10" t="s">
        <v>77</v>
      </c>
      <c r="M2" s="2" t="n">
        <v>20</v>
      </c>
      <c r="N2" s="10" t="s">
        <v>77</v>
      </c>
      <c r="O2" s="10"/>
      <c r="P2" s="10" t="s">
        <v>77</v>
      </c>
      <c r="Q2" s="10" t="s">
        <v>77</v>
      </c>
      <c r="R2" s="10" t="s">
        <v>77</v>
      </c>
      <c r="S2" s="10" t="s">
        <v>77</v>
      </c>
      <c r="T2" s="10" t="s">
        <v>77</v>
      </c>
      <c r="U2" s="10" t="s">
        <v>77</v>
      </c>
      <c r="V2" s="10" t="s">
        <v>77</v>
      </c>
      <c r="W2" s="10" t="s">
        <v>77</v>
      </c>
      <c r="X2" s="10" t="s">
        <v>77</v>
      </c>
      <c r="Y2" s="10" t="s">
        <v>77</v>
      </c>
      <c r="Z2" s="10" t="s">
        <v>77</v>
      </c>
      <c r="AA2" s="10" t="s">
        <v>77</v>
      </c>
      <c r="AB2" s="10"/>
      <c r="AC2" s="10" t="s">
        <v>77</v>
      </c>
      <c r="AD2" s="10" t="s">
        <v>77</v>
      </c>
      <c r="AE2" s="10" t="s">
        <v>77</v>
      </c>
      <c r="AF2" s="10" t="s">
        <v>77</v>
      </c>
      <c r="AG2" s="10" t="s">
        <v>77</v>
      </c>
      <c r="AH2" s="10" t="s">
        <v>77</v>
      </c>
      <c r="AI2" s="10" t="s">
        <v>77</v>
      </c>
      <c r="AJ2" s="10" t="s">
        <v>77</v>
      </c>
      <c r="AK2" s="10" t="s">
        <v>77</v>
      </c>
      <c r="AL2" s="10" t="s">
        <v>77</v>
      </c>
      <c r="AM2" s="10" t="s">
        <v>77</v>
      </c>
      <c r="AN2" s="10" t="s">
        <v>77</v>
      </c>
      <c r="AO2" s="10"/>
      <c r="AP2" s="10" t="s">
        <v>73</v>
      </c>
      <c r="AQ2" s="10" t="s">
        <v>73</v>
      </c>
      <c r="AS2" s="10" t="s">
        <v>78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R2" s="10" t="s">
        <v>78</v>
      </c>
      <c r="BS2" s="10"/>
      <c r="BT2" s="10"/>
      <c r="BU2" s="10"/>
      <c r="BV2" s="10"/>
      <c r="BW2" s="10"/>
      <c r="BX2" s="10"/>
      <c r="BY2" s="10"/>
      <c r="CA2" s="2" t="str">
        <f aca="false">IF(AS2="x","x",IF(AS2="-","-",""))</f>
        <v>x</v>
      </c>
      <c r="CB2" s="2" t="str">
        <f aca="false">IF(AT2="x","x",IF(AT2="-","-",""))</f>
        <v/>
      </c>
      <c r="CC2" s="2" t="str">
        <f aca="false">IF(AU2="x","x",IF(AU2="-","-",""))</f>
        <v/>
      </c>
      <c r="CD2" s="2" t="str">
        <f aca="false">IF(AV2="x","x",IF(AV2="-","-",""))</f>
        <v/>
      </c>
      <c r="CE2" s="2" t="str">
        <f aca="false">IF(AW2="x","x",IF(AW2="-","-",""))</f>
        <v/>
      </c>
      <c r="CF2" s="2" t="str">
        <f aca="false">IF(AX2="x","x",IF(AX2="-","-",""))</f>
        <v/>
      </c>
      <c r="CG2" s="2" t="str">
        <f aca="false">IF(AY2="x","x",IF(AY2="-","-",""))</f>
        <v/>
      </c>
      <c r="CH2" s="2" t="str">
        <f aca="false">IF(AZ2="x","x",IF(AZ2="-","-",""))</f>
        <v/>
      </c>
      <c r="CI2" s="2" t="str">
        <f aca="false">IF(BA2="x","x",IF(BA2="-","-",""))</f>
        <v/>
      </c>
      <c r="CJ2" s="2" t="str">
        <f aca="false">IF(BB2="x","x",IF(BB2="-","-",""))</f>
        <v/>
      </c>
      <c r="CK2" s="2" t="str">
        <f aca="false">IF(BC2="x","x",IF(BC2="-","-",""))</f>
        <v/>
      </c>
      <c r="CL2" s="2" t="str">
        <f aca="false">IF(BD2="x","x",IF(BD2="-","-",""))</f>
        <v/>
      </c>
      <c r="CM2" s="2" t="str">
        <f aca="false">IF(BE2="x","x",IF(BE2="-","-",""))</f>
        <v/>
      </c>
      <c r="CN2" s="2" t="str">
        <f aca="false">IF(BF2="x","x",IF(BF2="-","-",""))</f>
        <v/>
      </c>
      <c r="CO2" s="2" t="str">
        <f aca="false">IF(BG2="x","x",IF(BG2="-","-",""))</f>
        <v/>
      </c>
      <c r="CP2" s="2" t="str">
        <f aca="false">IF(BH2="x","x",IF(BH2="-","-",""))</f>
        <v/>
      </c>
      <c r="CQ2" s="2" t="str">
        <f aca="false">IF(BI2="x","x",IF(BI2="-","-",""))</f>
        <v/>
      </c>
      <c r="CR2" s="2" t="str">
        <f aca="false">IF(BJ2="x","x",IF(BJ2="-","-",""))</f>
        <v/>
      </c>
      <c r="CS2" s="2" t="str">
        <f aca="false">IF(BK2="x","x",IF(BK2="-","-",""))</f>
        <v/>
      </c>
      <c r="CT2" s="2" t="str">
        <f aca="false">IF(BL2="x","x",IF(BL2="-","-",""))</f>
        <v/>
      </c>
      <c r="CU2" s="2" t="str">
        <f aca="false">IF(BM2="x","x",IF(BM2="-","-",""))</f>
        <v/>
      </c>
      <c r="CV2" s="2" t="str">
        <f aca="false">IF(BN2="x","x",IF(BN2="-","-",""))</f>
        <v/>
      </c>
      <c r="CW2" s="2" t="str">
        <f aca="false">IF(BO2="x","x",IF(BO2="-","-",""))</f>
        <v/>
      </c>
      <c r="CX2" s="2" t="str">
        <f aca="false">IF(BP2="x","x",IF(BP2="-","-",""))</f>
        <v/>
      </c>
      <c r="CZ2" s="2" t="str">
        <f aca="false">IF(P2="x","x",IF(P2="-","-",""))</f>
        <v>-</v>
      </c>
      <c r="DA2" s="2" t="str">
        <f aca="false">IF(Q2="x","x",IF(Q2="-","-",""))</f>
        <v>-</v>
      </c>
      <c r="DB2" s="2" t="str">
        <f aca="false">IF(R2="x","x",IF(R2="-","-",""))</f>
        <v>-</v>
      </c>
      <c r="DC2" s="2" t="str">
        <f aca="false">IF(S2="x","x",IF(S2="-","-",""))</f>
        <v>-</v>
      </c>
      <c r="DD2" s="2" t="str">
        <f aca="false">IF(T2="x","x",IF(T2="-","-",""))</f>
        <v>-</v>
      </c>
      <c r="DE2" s="2" t="str">
        <f aca="false">IF(U2="x","x",IF(U2="-","-",""))</f>
        <v>-</v>
      </c>
      <c r="DF2" s="2" t="str">
        <f aca="false">IF(V2="x","x",IF(V2="-","-",""))</f>
        <v>-</v>
      </c>
      <c r="DG2" s="2" t="str">
        <f aca="false">IF(W2="x","x",IF(W2="-","-",""))</f>
        <v>-</v>
      </c>
      <c r="DH2" s="2" t="str">
        <f aca="false">IF(X2="x","x",IF(X2="-","-",""))</f>
        <v>-</v>
      </c>
      <c r="DI2" s="2" t="str">
        <f aca="false">IF(Y2="x","x",IF(Y2="-","-",""))</f>
        <v>-</v>
      </c>
      <c r="DJ2" s="2" t="str">
        <f aca="false">IF(Z2="x","x",IF(Z2="-","-",""))</f>
        <v>-</v>
      </c>
      <c r="DK2" s="2" t="str">
        <f aca="false">IF(AA2="x","x",IF(AA2="-","-",""))</f>
        <v>-</v>
      </c>
      <c r="DL2" s="10"/>
      <c r="DM2" s="2" t="str">
        <f aca="false">IF(AC2="x","x",IF(AC2="-","-",""))</f>
        <v>-</v>
      </c>
      <c r="DN2" s="2" t="str">
        <f aca="false">IF(AD2="x","x",IF(AD2="-","-",""))</f>
        <v>-</v>
      </c>
      <c r="DO2" s="2" t="str">
        <f aca="false">IF(AE2="x","x",IF(AE2="-","-",""))</f>
        <v>-</v>
      </c>
      <c r="DP2" s="2" t="str">
        <f aca="false">IF(AF2="x","x",IF(AF2="-","-",""))</f>
        <v>-</v>
      </c>
      <c r="DQ2" s="2" t="str">
        <f aca="false">IF(AG2="x","x",IF(AG2="-","-",""))</f>
        <v>-</v>
      </c>
      <c r="DR2" s="2" t="str">
        <f aca="false">IF(AH2="x","x",IF(AH2="-","-",""))</f>
        <v>-</v>
      </c>
      <c r="DS2" s="2" t="str">
        <f aca="false">IF(AI2="x","x",IF(AI2="-","-",""))</f>
        <v>-</v>
      </c>
      <c r="DT2" s="2" t="str">
        <f aca="false">IF(AJ2="x","x",IF(AJ2="-","-",""))</f>
        <v>-</v>
      </c>
      <c r="DU2" s="2" t="str">
        <f aca="false">IF(AK2="x","x",IF(AK2="-","-",""))</f>
        <v>-</v>
      </c>
      <c r="DV2" s="2" t="str">
        <f aca="false">IF(AL2="x","x",IF(AL2="-","-",""))</f>
        <v>-</v>
      </c>
      <c r="DW2" s="2" t="str">
        <f aca="false">IF(AM2="x","x",IF(AM2="-","-",""))</f>
        <v>-</v>
      </c>
      <c r="DX2" s="2" t="str">
        <f aca="false">IF(AN2="x","x",IF(AN2="-","-",""))</f>
        <v>-</v>
      </c>
    </row>
    <row r="3" customFormat="false" ht="13.8" hidden="false" customHeight="false" outlineLevel="0" collapsed="false">
      <c r="A3" s="10" t="s">
        <v>73</v>
      </c>
      <c r="B3" s="2" t="n">
        <v>2</v>
      </c>
      <c r="C3" s="11" t="s">
        <v>79</v>
      </c>
      <c r="D3" s="10" t="s">
        <v>75</v>
      </c>
      <c r="E3" s="10" t="s">
        <v>76</v>
      </c>
      <c r="F3" s="10" t="n">
        <v>2</v>
      </c>
      <c r="G3" s="10" t="s">
        <v>77</v>
      </c>
      <c r="H3" s="10" t="s">
        <v>77</v>
      </c>
      <c r="I3" s="10" t="s">
        <v>77</v>
      </c>
      <c r="J3" s="10" t="s">
        <v>77</v>
      </c>
      <c r="K3" s="10" t="s">
        <v>77</v>
      </c>
      <c r="L3" s="10" t="s">
        <v>77</v>
      </c>
      <c r="M3" s="2" t="n">
        <v>20</v>
      </c>
      <c r="N3" s="10" t="s">
        <v>77</v>
      </c>
      <c r="O3" s="10"/>
      <c r="P3" s="10" t="s">
        <v>77</v>
      </c>
      <c r="Q3" s="10" t="s">
        <v>77</v>
      </c>
      <c r="R3" s="10" t="s">
        <v>77</v>
      </c>
      <c r="S3" s="10" t="s">
        <v>77</v>
      </c>
      <c r="T3" s="10" t="s">
        <v>77</v>
      </c>
      <c r="U3" s="10" t="s">
        <v>77</v>
      </c>
      <c r="V3" s="10" t="s">
        <v>77</v>
      </c>
      <c r="W3" s="10" t="s">
        <v>77</v>
      </c>
      <c r="X3" s="10" t="s">
        <v>77</v>
      </c>
      <c r="Y3" s="10" t="s">
        <v>77</v>
      </c>
      <c r="Z3" s="10" t="s">
        <v>77</v>
      </c>
      <c r="AA3" s="10" t="s">
        <v>77</v>
      </c>
      <c r="AB3" s="10"/>
      <c r="AC3" s="10" t="s">
        <v>77</v>
      </c>
      <c r="AD3" s="10" t="s">
        <v>77</v>
      </c>
      <c r="AE3" s="10" t="s">
        <v>77</v>
      </c>
      <c r="AF3" s="10" t="s">
        <v>77</v>
      </c>
      <c r="AG3" s="10" t="s">
        <v>77</v>
      </c>
      <c r="AH3" s="10" t="s">
        <v>77</v>
      </c>
      <c r="AI3" s="10" t="s">
        <v>77</v>
      </c>
      <c r="AJ3" s="10" t="s">
        <v>77</v>
      </c>
      <c r="AK3" s="10" t="s">
        <v>77</v>
      </c>
      <c r="AL3" s="10" t="s">
        <v>77</v>
      </c>
      <c r="AM3" s="10" t="s">
        <v>77</v>
      </c>
      <c r="AN3" s="10" t="s">
        <v>77</v>
      </c>
      <c r="AO3" s="10"/>
      <c r="AP3" s="10" t="s">
        <v>73</v>
      </c>
      <c r="AQ3" s="10" t="s">
        <v>73</v>
      </c>
      <c r="AS3" s="10" t="s">
        <v>78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R3" s="10" t="s">
        <v>78</v>
      </c>
      <c r="BS3" s="10"/>
      <c r="BT3" s="10"/>
      <c r="BU3" s="10"/>
      <c r="BV3" s="10"/>
      <c r="BW3" s="10"/>
      <c r="BX3" s="10"/>
      <c r="BY3" s="10"/>
      <c r="CA3" s="2" t="str">
        <f aca="false">IF(AS3="x","x",IF(AS3="-","-",""))</f>
        <v>x</v>
      </c>
      <c r="CB3" s="2" t="str">
        <f aca="false">IF(AT3="x","x",IF(AT3="-","-",""))</f>
        <v/>
      </c>
      <c r="CC3" s="2" t="str">
        <f aca="false">IF(AU3="x","x",IF(AU3="-","-",""))</f>
        <v/>
      </c>
      <c r="CD3" s="2" t="str">
        <f aca="false">IF(AV3="x","x",IF(AV3="-","-",""))</f>
        <v/>
      </c>
      <c r="CE3" s="2" t="str">
        <f aca="false">IF(AW3="x","x",IF(AW3="-","-",""))</f>
        <v/>
      </c>
      <c r="CF3" s="2" t="str">
        <f aca="false">IF(AX3="x","x",IF(AX3="-","-",""))</f>
        <v/>
      </c>
      <c r="CG3" s="2" t="str">
        <f aca="false">IF(AY3="x","x",IF(AY3="-","-",""))</f>
        <v/>
      </c>
      <c r="CH3" s="2" t="str">
        <f aca="false">IF(AZ3="x","x",IF(AZ3="-","-",""))</f>
        <v/>
      </c>
      <c r="CI3" s="2" t="str">
        <f aca="false">IF(BA3="x","x",IF(BA3="-","-",""))</f>
        <v/>
      </c>
      <c r="CJ3" s="2" t="str">
        <f aca="false">IF(BB3="x","x",IF(BB3="-","-",""))</f>
        <v/>
      </c>
      <c r="CK3" s="2" t="str">
        <f aca="false">IF(BC3="x","x",IF(BC3="-","-",""))</f>
        <v/>
      </c>
      <c r="CL3" s="2" t="str">
        <f aca="false">IF(BD3="x","x",IF(BD3="-","-",""))</f>
        <v/>
      </c>
      <c r="CM3" s="2" t="str">
        <f aca="false">IF(BE3="x","x",IF(BE3="-","-",""))</f>
        <v/>
      </c>
      <c r="CN3" s="2" t="str">
        <f aca="false">IF(BF3="x","x",IF(BF3="-","-",""))</f>
        <v/>
      </c>
      <c r="CO3" s="2" t="str">
        <f aca="false">IF(BG3="x","x",IF(BG3="-","-",""))</f>
        <v/>
      </c>
      <c r="CP3" s="2" t="str">
        <f aca="false">IF(BH3="x","x",IF(BH3="-","-",""))</f>
        <v/>
      </c>
      <c r="CQ3" s="2" t="str">
        <f aca="false">IF(BI3="x","x",IF(BI3="-","-",""))</f>
        <v/>
      </c>
      <c r="CR3" s="2" t="str">
        <f aca="false">IF(BJ3="x","x",IF(BJ3="-","-",""))</f>
        <v/>
      </c>
      <c r="CS3" s="2" t="str">
        <f aca="false">IF(BK3="x","x",IF(BK3="-","-",""))</f>
        <v/>
      </c>
      <c r="CT3" s="2" t="str">
        <f aca="false">IF(BL3="x","x",IF(BL3="-","-",""))</f>
        <v/>
      </c>
      <c r="CU3" s="2" t="str">
        <f aca="false">IF(BM3="x","x",IF(BM3="-","-",""))</f>
        <v/>
      </c>
      <c r="CV3" s="2" t="str">
        <f aca="false">IF(BN3="x","x",IF(BN3="-","-",""))</f>
        <v/>
      </c>
      <c r="CW3" s="2" t="str">
        <f aca="false">IF(BO3="x","x",IF(BO3="-","-",""))</f>
        <v/>
      </c>
      <c r="CX3" s="2" t="str">
        <f aca="false">IF(BP3="x","x",IF(BP3="-","-",""))</f>
        <v/>
      </c>
      <c r="CZ3" s="2" t="str">
        <f aca="false">IF(P3="x","x",IF(P3="-","-",""))</f>
        <v>-</v>
      </c>
      <c r="DA3" s="2" t="str">
        <f aca="false">IF(Q3="x","x",IF(Q3="-","-",""))</f>
        <v>-</v>
      </c>
      <c r="DB3" s="2" t="str">
        <f aca="false">IF(R3="x","x",IF(R3="-","-",""))</f>
        <v>-</v>
      </c>
      <c r="DC3" s="2" t="str">
        <f aca="false">IF(S3="x","x",IF(S3="-","-",""))</f>
        <v>-</v>
      </c>
      <c r="DD3" s="2" t="str">
        <f aca="false">IF(T3="x","x",IF(T3="-","-",""))</f>
        <v>-</v>
      </c>
      <c r="DE3" s="2" t="str">
        <f aca="false">IF(U3="x","x",IF(U3="-","-",""))</f>
        <v>-</v>
      </c>
      <c r="DF3" s="2" t="str">
        <f aca="false">IF(V3="x","x",IF(V3="-","-",""))</f>
        <v>-</v>
      </c>
      <c r="DG3" s="2" t="str">
        <f aca="false">IF(W3="x","x",IF(W3="-","-",""))</f>
        <v>-</v>
      </c>
      <c r="DH3" s="2" t="str">
        <f aca="false">IF(X3="x","x",IF(X3="-","-",""))</f>
        <v>-</v>
      </c>
      <c r="DI3" s="2" t="str">
        <f aca="false">IF(Y3="x","x",IF(Y3="-","-",""))</f>
        <v>-</v>
      </c>
      <c r="DJ3" s="2" t="str">
        <f aca="false">IF(Z3="x","x",IF(Z3="-","-",""))</f>
        <v>-</v>
      </c>
      <c r="DK3" s="2" t="str">
        <f aca="false">IF(AA3="x","x",IF(AA3="-","-",""))</f>
        <v>-</v>
      </c>
      <c r="DL3" s="10"/>
      <c r="DM3" s="2" t="str">
        <f aca="false">IF(AC3="x","x",IF(AC3="-","-",""))</f>
        <v>-</v>
      </c>
      <c r="DN3" s="2" t="str">
        <f aca="false">IF(AD3="x","x",IF(AD3="-","-",""))</f>
        <v>-</v>
      </c>
      <c r="DO3" s="2" t="str">
        <f aca="false">IF(AE3="x","x",IF(AE3="-","-",""))</f>
        <v>-</v>
      </c>
      <c r="DP3" s="2" t="str">
        <f aca="false">IF(AF3="x","x",IF(AF3="-","-",""))</f>
        <v>-</v>
      </c>
      <c r="DQ3" s="2" t="str">
        <f aca="false">IF(AG3="x","x",IF(AG3="-","-",""))</f>
        <v>-</v>
      </c>
      <c r="DR3" s="2" t="str">
        <f aca="false">IF(AH3="x","x",IF(AH3="-","-",""))</f>
        <v>-</v>
      </c>
      <c r="DS3" s="2" t="str">
        <f aca="false">IF(AI3="x","x",IF(AI3="-","-",""))</f>
        <v>-</v>
      </c>
      <c r="DT3" s="2" t="str">
        <f aca="false">IF(AJ3="x","x",IF(AJ3="-","-",""))</f>
        <v>-</v>
      </c>
      <c r="DU3" s="2" t="str">
        <f aca="false">IF(AK3="x","x",IF(AK3="-","-",""))</f>
        <v>-</v>
      </c>
      <c r="DV3" s="2" t="str">
        <f aca="false">IF(AL3="x","x",IF(AL3="-","-",""))</f>
        <v>-</v>
      </c>
      <c r="DW3" s="2" t="str">
        <f aca="false">IF(AM3="x","x",IF(AM3="-","-",""))</f>
        <v>-</v>
      </c>
      <c r="DX3" s="2" t="str">
        <f aca="false">IF(AN3="x","x",IF(AN3="-","-",""))</f>
        <v>-</v>
      </c>
    </row>
    <row r="4" customFormat="false" ht="13.8" hidden="false" customHeight="false" outlineLevel="0" collapsed="false">
      <c r="A4" s="10" t="s">
        <v>73</v>
      </c>
      <c r="B4" s="2" t="n">
        <v>3</v>
      </c>
      <c r="C4" s="11" t="s">
        <v>80</v>
      </c>
      <c r="D4" s="10" t="s">
        <v>75</v>
      </c>
      <c r="E4" s="10" t="s">
        <v>76</v>
      </c>
      <c r="F4" s="10" t="n">
        <v>3</v>
      </c>
      <c r="G4" s="10" t="s">
        <v>77</v>
      </c>
      <c r="H4" s="10" t="s">
        <v>77</v>
      </c>
      <c r="I4" s="10" t="s">
        <v>77</v>
      </c>
      <c r="J4" s="10" t="s">
        <v>77</v>
      </c>
      <c r="K4" s="10" t="s">
        <v>77</v>
      </c>
      <c r="L4" s="10" t="s">
        <v>77</v>
      </c>
      <c r="M4" s="2" t="n">
        <v>20</v>
      </c>
      <c r="N4" s="10" t="s">
        <v>77</v>
      </c>
      <c r="O4" s="10"/>
      <c r="P4" s="10" t="s">
        <v>77</v>
      </c>
      <c r="Q4" s="10" t="s">
        <v>77</v>
      </c>
      <c r="R4" s="10" t="s">
        <v>77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  <c r="X4" s="10" t="s">
        <v>77</v>
      </c>
      <c r="Y4" s="10" t="s">
        <v>77</v>
      </c>
      <c r="Z4" s="10" t="s">
        <v>77</v>
      </c>
      <c r="AA4" s="10" t="s">
        <v>77</v>
      </c>
      <c r="AB4" s="10"/>
      <c r="AC4" s="10" t="s">
        <v>77</v>
      </c>
      <c r="AD4" s="10" t="s">
        <v>77</v>
      </c>
      <c r="AE4" s="10" t="s">
        <v>77</v>
      </c>
      <c r="AF4" s="10" t="s">
        <v>77</v>
      </c>
      <c r="AG4" s="10" t="s">
        <v>77</v>
      </c>
      <c r="AH4" s="10" t="s">
        <v>77</v>
      </c>
      <c r="AI4" s="10" t="s">
        <v>77</v>
      </c>
      <c r="AJ4" s="10" t="s">
        <v>77</v>
      </c>
      <c r="AK4" s="10" t="s">
        <v>77</v>
      </c>
      <c r="AL4" s="10" t="s">
        <v>77</v>
      </c>
      <c r="AM4" s="10" t="s">
        <v>77</v>
      </c>
      <c r="AN4" s="10" t="s">
        <v>77</v>
      </c>
      <c r="AO4" s="10"/>
      <c r="AP4" s="10" t="s">
        <v>73</v>
      </c>
      <c r="AQ4" s="10" t="s">
        <v>73</v>
      </c>
      <c r="AS4" s="10" t="s">
        <v>78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R4" s="10" t="s">
        <v>78</v>
      </c>
      <c r="BS4" s="10"/>
      <c r="BT4" s="10"/>
      <c r="BU4" s="10"/>
      <c r="BV4" s="10"/>
      <c r="BW4" s="10"/>
      <c r="BX4" s="10"/>
      <c r="BY4" s="10"/>
      <c r="CA4" s="2" t="str">
        <f aca="false">IF(AS4="x","x",IF(AS4="-","-",""))</f>
        <v>x</v>
      </c>
      <c r="CB4" s="2" t="str">
        <f aca="false">IF(AT4="x","x",IF(AT4="-","-",""))</f>
        <v/>
      </c>
      <c r="CC4" s="2" t="str">
        <f aca="false">IF(AU4="x","x",IF(AU4="-","-",""))</f>
        <v/>
      </c>
      <c r="CD4" s="2" t="str">
        <f aca="false">IF(AV4="x","x",IF(AV4="-","-",""))</f>
        <v/>
      </c>
      <c r="CE4" s="2" t="str">
        <f aca="false">IF(AW4="x","x",IF(AW4="-","-",""))</f>
        <v/>
      </c>
      <c r="CF4" s="2" t="str">
        <f aca="false">IF(AX4="x","x",IF(AX4="-","-",""))</f>
        <v/>
      </c>
      <c r="CG4" s="2" t="str">
        <f aca="false">IF(AY4="x","x",IF(AY4="-","-",""))</f>
        <v/>
      </c>
      <c r="CH4" s="2" t="str">
        <f aca="false">IF(AZ4="x","x",IF(AZ4="-","-",""))</f>
        <v/>
      </c>
      <c r="CI4" s="2" t="str">
        <f aca="false">IF(BA4="x","x",IF(BA4="-","-",""))</f>
        <v/>
      </c>
      <c r="CJ4" s="2" t="str">
        <f aca="false">IF(BB4="x","x",IF(BB4="-","-",""))</f>
        <v/>
      </c>
      <c r="CK4" s="2" t="str">
        <f aca="false">IF(BC4="x","x",IF(BC4="-","-",""))</f>
        <v/>
      </c>
      <c r="CL4" s="2" t="str">
        <f aca="false">IF(BD4="x","x",IF(BD4="-","-",""))</f>
        <v/>
      </c>
      <c r="CM4" s="2" t="str">
        <f aca="false">IF(BE4="x","x",IF(BE4="-","-",""))</f>
        <v/>
      </c>
      <c r="CN4" s="2" t="str">
        <f aca="false">IF(BF4="x","x",IF(BF4="-","-",""))</f>
        <v/>
      </c>
      <c r="CO4" s="2" t="str">
        <f aca="false">IF(BG4="x","x",IF(BG4="-","-",""))</f>
        <v/>
      </c>
      <c r="CP4" s="2" t="str">
        <f aca="false">IF(BH4="x","x",IF(BH4="-","-",""))</f>
        <v/>
      </c>
      <c r="CQ4" s="2" t="str">
        <f aca="false">IF(BI4="x","x",IF(BI4="-","-",""))</f>
        <v/>
      </c>
      <c r="CR4" s="2" t="str">
        <f aca="false">IF(BJ4="x","x",IF(BJ4="-","-",""))</f>
        <v/>
      </c>
      <c r="CS4" s="2" t="str">
        <f aca="false">IF(BK4="x","x",IF(BK4="-","-",""))</f>
        <v/>
      </c>
      <c r="CT4" s="2" t="str">
        <f aca="false">IF(BL4="x","x",IF(BL4="-","-",""))</f>
        <v/>
      </c>
      <c r="CU4" s="2" t="str">
        <f aca="false">IF(BM4="x","x",IF(BM4="-","-",""))</f>
        <v/>
      </c>
      <c r="CV4" s="2" t="str">
        <f aca="false">IF(BN4="x","x",IF(BN4="-","-",""))</f>
        <v/>
      </c>
      <c r="CW4" s="2" t="str">
        <f aca="false">IF(BO4="x","x",IF(BO4="-","-",""))</f>
        <v/>
      </c>
      <c r="CX4" s="2" t="str">
        <f aca="false">IF(BP4="x","x",IF(BP4="-","-",""))</f>
        <v/>
      </c>
      <c r="CZ4" s="2" t="str">
        <f aca="false">IF(P4="x","x",IF(P4="-","-",""))</f>
        <v>-</v>
      </c>
      <c r="DA4" s="2" t="str">
        <f aca="false">IF(Q4="x","x",IF(Q4="-","-",""))</f>
        <v>-</v>
      </c>
      <c r="DB4" s="2" t="str">
        <f aca="false">IF(R4="x","x",IF(R4="-","-",""))</f>
        <v>-</v>
      </c>
      <c r="DC4" s="2" t="str">
        <f aca="false">IF(S4="x","x",IF(S4="-","-",""))</f>
        <v>-</v>
      </c>
      <c r="DD4" s="2" t="str">
        <f aca="false">IF(T4="x","x",IF(T4="-","-",""))</f>
        <v>-</v>
      </c>
      <c r="DE4" s="2" t="str">
        <f aca="false">IF(U4="x","x",IF(U4="-","-",""))</f>
        <v>-</v>
      </c>
      <c r="DF4" s="2" t="str">
        <f aca="false">IF(V4="x","x",IF(V4="-","-",""))</f>
        <v>-</v>
      </c>
      <c r="DG4" s="2" t="str">
        <f aca="false">IF(W4="x","x",IF(W4="-","-",""))</f>
        <v>-</v>
      </c>
      <c r="DH4" s="2" t="str">
        <f aca="false">IF(X4="x","x",IF(X4="-","-",""))</f>
        <v>-</v>
      </c>
      <c r="DI4" s="2" t="str">
        <f aca="false">IF(Y4="x","x",IF(Y4="-","-",""))</f>
        <v>-</v>
      </c>
      <c r="DJ4" s="2" t="str">
        <f aca="false">IF(Z4="x","x",IF(Z4="-","-",""))</f>
        <v>-</v>
      </c>
      <c r="DK4" s="2" t="str">
        <f aca="false">IF(AA4="x","x",IF(AA4="-","-",""))</f>
        <v>-</v>
      </c>
      <c r="DL4" s="10"/>
      <c r="DM4" s="2" t="str">
        <f aca="false">IF(AC4="x","x",IF(AC4="-","-",""))</f>
        <v>-</v>
      </c>
      <c r="DN4" s="2" t="str">
        <f aca="false">IF(AD4="x","x",IF(AD4="-","-",""))</f>
        <v>-</v>
      </c>
      <c r="DO4" s="2" t="str">
        <f aca="false">IF(AE4="x","x",IF(AE4="-","-",""))</f>
        <v>-</v>
      </c>
      <c r="DP4" s="2" t="str">
        <f aca="false">IF(AF4="x","x",IF(AF4="-","-",""))</f>
        <v>-</v>
      </c>
      <c r="DQ4" s="2" t="str">
        <f aca="false">IF(AG4="x","x",IF(AG4="-","-",""))</f>
        <v>-</v>
      </c>
      <c r="DR4" s="2" t="str">
        <f aca="false">IF(AH4="x","x",IF(AH4="-","-",""))</f>
        <v>-</v>
      </c>
      <c r="DS4" s="2" t="str">
        <f aca="false">IF(AI4="x","x",IF(AI4="-","-",""))</f>
        <v>-</v>
      </c>
      <c r="DT4" s="2" t="str">
        <f aca="false">IF(AJ4="x","x",IF(AJ4="-","-",""))</f>
        <v>-</v>
      </c>
      <c r="DU4" s="2" t="str">
        <f aca="false">IF(AK4="x","x",IF(AK4="-","-",""))</f>
        <v>-</v>
      </c>
      <c r="DV4" s="2" t="str">
        <f aca="false">IF(AL4="x","x",IF(AL4="-","-",""))</f>
        <v>-</v>
      </c>
      <c r="DW4" s="2" t="str">
        <f aca="false">IF(AM4="x","x",IF(AM4="-","-",""))</f>
        <v>-</v>
      </c>
      <c r="DX4" s="2" t="str">
        <f aca="false">IF(AN4="x","x",IF(AN4="-","-",""))</f>
        <v>-</v>
      </c>
    </row>
    <row r="5" customFormat="false" ht="13.8" hidden="false" customHeight="false" outlineLevel="0" collapsed="false">
      <c r="A5" s="10" t="s">
        <v>73</v>
      </c>
      <c r="B5" s="2" t="n">
        <v>4</v>
      </c>
      <c r="C5" s="11" t="s">
        <v>81</v>
      </c>
      <c r="D5" s="10" t="s">
        <v>75</v>
      </c>
      <c r="E5" s="10" t="s">
        <v>76</v>
      </c>
      <c r="F5" s="10" t="n">
        <v>4</v>
      </c>
      <c r="G5" s="10" t="s">
        <v>77</v>
      </c>
      <c r="H5" s="10" t="s">
        <v>77</v>
      </c>
      <c r="I5" s="10" t="s">
        <v>77</v>
      </c>
      <c r="J5" s="10" t="s">
        <v>77</v>
      </c>
      <c r="K5" s="10" t="s">
        <v>77</v>
      </c>
      <c r="L5" s="10" t="s">
        <v>77</v>
      </c>
      <c r="M5" s="2" t="n">
        <v>20</v>
      </c>
      <c r="N5" s="10" t="s">
        <v>77</v>
      </c>
      <c r="O5" s="10"/>
      <c r="P5" s="10" t="s">
        <v>77</v>
      </c>
      <c r="Q5" s="10" t="s">
        <v>77</v>
      </c>
      <c r="R5" s="10" t="s">
        <v>77</v>
      </c>
      <c r="S5" s="10" t="s">
        <v>77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77</v>
      </c>
      <c r="Y5" s="10" t="s">
        <v>77</v>
      </c>
      <c r="Z5" s="10" t="s">
        <v>77</v>
      </c>
      <c r="AA5" s="10" t="s">
        <v>77</v>
      </c>
      <c r="AB5" s="10"/>
      <c r="AC5" s="10" t="s">
        <v>77</v>
      </c>
      <c r="AD5" s="10" t="s">
        <v>77</v>
      </c>
      <c r="AE5" s="10" t="s">
        <v>77</v>
      </c>
      <c r="AF5" s="10" t="s">
        <v>77</v>
      </c>
      <c r="AG5" s="10" t="s">
        <v>77</v>
      </c>
      <c r="AH5" s="10" t="s">
        <v>77</v>
      </c>
      <c r="AI5" s="10" t="s">
        <v>77</v>
      </c>
      <c r="AJ5" s="10" t="s">
        <v>77</v>
      </c>
      <c r="AK5" s="10" t="s">
        <v>77</v>
      </c>
      <c r="AL5" s="10" t="s">
        <v>77</v>
      </c>
      <c r="AM5" s="10" t="s">
        <v>77</v>
      </c>
      <c r="AN5" s="10" t="s">
        <v>77</v>
      </c>
      <c r="AO5" s="10"/>
      <c r="AP5" s="10" t="s">
        <v>73</v>
      </c>
      <c r="AQ5" s="10" t="s">
        <v>73</v>
      </c>
      <c r="AS5" s="10" t="s">
        <v>78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R5" s="10" t="s">
        <v>78</v>
      </c>
      <c r="BS5" s="10"/>
      <c r="BT5" s="10"/>
      <c r="BU5" s="10"/>
      <c r="BV5" s="10"/>
      <c r="BW5" s="10"/>
      <c r="BX5" s="10"/>
      <c r="BY5" s="10"/>
      <c r="CA5" s="2" t="str">
        <f aca="false">IF(AS5="x","x",IF(AS5="-","-",""))</f>
        <v>x</v>
      </c>
      <c r="CB5" s="2" t="str">
        <f aca="false">IF(AT5="x","x",IF(AT5="-","-",""))</f>
        <v/>
      </c>
      <c r="CC5" s="2" t="str">
        <f aca="false">IF(AU5="x","x",IF(AU5="-","-",""))</f>
        <v/>
      </c>
      <c r="CD5" s="2" t="str">
        <f aca="false">IF(AV5="x","x",IF(AV5="-","-",""))</f>
        <v/>
      </c>
      <c r="CE5" s="2" t="str">
        <f aca="false">IF(AW5="x","x",IF(AW5="-","-",""))</f>
        <v/>
      </c>
      <c r="CF5" s="2" t="str">
        <f aca="false">IF(AX5="x","x",IF(AX5="-","-",""))</f>
        <v/>
      </c>
      <c r="CG5" s="2" t="str">
        <f aca="false">IF(AY5="x","x",IF(AY5="-","-",""))</f>
        <v/>
      </c>
      <c r="CH5" s="2" t="str">
        <f aca="false">IF(AZ5="x","x",IF(AZ5="-","-",""))</f>
        <v/>
      </c>
      <c r="CI5" s="2" t="str">
        <f aca="false">IF(BA5="x","x",IF(BA5="-","-",""))</f>
        <v/>
      </c>
      <c r="CJ5" s="2" t="str">
        <f aca="false">IF(BB5="x","x",IF(BB5="-","-",""))</f>
        <v/>
      </c>
      <c r="CK5" s="2" t="str">
        <f aca="false">IF(BC5="x","x",IF(BC5="-","-",""))</f>
        <v/>
      </c>
      <c r="CL5" s="2" t="str">
        <f aca="false">IF(BD5="x","x",IF(BD5="-","-",""))</f>
        <v/>
      </c>
      <c r="CM5" s="2" t="str">
        <f aca="false">IF(BE5="x","x",IF(BE5="-","-",""))</f>
        <v/>
      </c>
      <c r="CN5" s="2" t="str">
        <f aca="false">IF(BF5="x","x",IF(BF5="-","-",""))</f>
        <v/>
      </c>
      <c r="CO5" s="2" t="str">
        <f aca="false">IF(BG5="x","x",IF(BG5="-","-",""))</f>
        <v/>
      </c>
      <c r="CP5" s="2" t="str">
        <f aca="false">IF(BH5="x","x",IF(BH5="-","-",""))</f>
        <v/>
      </c>
      <c r="CQ5" s="2" t="str">
        <f aca="false">IF(BI5="x","x",IF(BI5="-","-",""))</f>
        <v/>
      </c>
      <c r="CR5" s="2" t="str">
        <f aca="false">IF(BJ5="x","x",IF(BJ5="-","-",""))</f>
        <v/>
      </c>
      <c r="CS5" s="2" t="str">
        <f aca="false">IF(BK5="x","x",IF(BK5="-","-",""))</f>
        <v/>
      </c>
      <c r="CT5" s="2" t="str">
        <f aca="false">IF(BL5="x","x",IF(BL5="-","-",""))</f>
        <v/>
      </c>
      <c r="CU5" s="2" t="str">
        <f aca="false">IF(BM5="x","x",IF(BM5="-","-",""))</f>
        <v/>
      </c>
      <c r="CV5" s="2" t="str">
        <f aca="false">IF(BN5="x","x",IF(BN5="-","-",""))</f>
        <v/>
      </c>
      <c r="CW5" s="2" t="str">
        <f aca="false">IF(BO5="x","x",IF(BO5="-","-",""))</f>
        <v/>
      </c>
      <c r="CX5" s="2" t="str">
        <f aca="false">IF(BP5="x","x",IF(BP5="-","-",""))</f>
        <v/>
      </c>
      <c r="CZ5" s="2" t="str">
        <f aca="false">IF(P5="x","x",IF(P5="-","-",""))</f>
        <v>-</v>
      </c>
      <c r="DA5" s="2" t="str">
        <f aca="false">IF(Q5="x","x",IF(Q5="-","-",""))</f>
        <v>-</v>
      </c>
      <c r="DB5" s="2" t="str">
        <f aca="false">IF(R5="x","x",IF(R5="-","-",""))</f>
        <v>-</v>
      </c>
      <c r="DC5" s="2" t="str">
        <f aca="false">IF(S5="x","x",IF(S5="-","-",""))</f>
        <v>-</v>
      </c>
      <c r="DD5" s="2" t="str">
        <f aca="false">IF(T5="x","x",IF(T5="-","-",""))</f>
        <v>-</v>
      </c>
      <c r="DE5" s="2" t="str">
        <f aca="false">IF(U5="x","x",IF(U5="-","-",""))</f>
        <v>-</v>
      </c>
      <c r="DF5" s="2" t="str">
        <f aca="false">IF(V5="x","x",IF(V5="-","-",""))</f>
        <v>-</v>
      </c>
      <c r="DG5" s="2" t="str">
        <f aca="false">IF(W5="x","x",IF(W5="-","-",""))</f>
        <v>-</v>
      </c>
      <c r="DH5" s="2" t="str">
        <f aca="false">IF(X5="x","x",IF(X5="-","-",""))</f>
        <v>-</v>
      </c>
      <c r="DI5" s="2" t="str">
        <f aca="false">IF(Y5="x","x",IF(Y5="-","-",""))</f>
        <v>-</v>
      </c>
      <c r="DJ5" s="2" t="str">
        <f aca="false">IF(Z5="x","x",IF(Z5="-","-",""))</f>
        <v>-</v>
      </c>
      <c r="DK5" s="2" t="str">
        <f aca="false">IF(AA5="x","x",IF(AA5="-","-",""))</f>
        <v>-</v>
      </c>
      <c r="DL5" s="10"/>
      <c r="DM5" s="2" t="str">
        <f aca="false">IF(AC5="x","x",IF(AC5="-","-",""))</f>
        <v>-</v>
      </c>
      <c r="DN5" s="2" t="str">
        <f aca="false">IF(AD5="x","x",IF(AD5="-","-",""))</f>
        <v>-</v>
      </c>
      <c r="DO5" s="2" t="str">
        <f aca="false">IF(AE5="x","x",IF(AE5="-","-",""))</f>
        <v>-</v>
      </c>
      <c r="DP5" s="2" t="str">
        <f aca="false">IF(AF5="x","x",IF(AF5="-","-",""))</f>
        <v>-</v>
      </c>
      <c r="DQ5" s="2" t="str">
        <f aca="false">IF(AG5="x","x",IF(AG5="-","-",""))</f>
        <v>-</v>
      </c>
      <c r="DR5" s="2" t="str">
        <f aca="false">IF(AH5="x","x",IF(AH5="-","-",""))</f>
        <v>-</v>
      </c>
      <c r="DS5" s="2" t="str">
        <f aca="false">IF(AI5="x","x",IF(AI5="-","-",""))</f>
        <v>-</v>
      </c>
      <c r="DT5" s="2" t="str">
        <f aca="false">IF(AJ5="x","x",IF(AJ5="-","-",""))</f>
        <v>-</v>
      </c>
      <c r="DU5" s="2" t="str">
        <f aca="false">IF(AK5="x","x",IF(AK5="-","-",""))</f>
        <v>-</v>
      </c>
      <c r="DV5" s="2" t="str">
        <f aca="false">IF(AL5="x","x",IF(AL5="-","-",""))</f>
        <v>-</v>
      </c>
      <c r="DW5" s="2" t="str">
        <f aca="false">IF(AM5="x","x",IF(AM5="-","-",""))</f>
        <v>-</v>
      </c>
      <c r="DX5" s="2" t="str">
        <f aca="false">IF(AN5="x","x",IF(AN5="-","-",""))</f>
        <v>-</v>
      </c>
    </row>
    <row r="6" customFormat="false" ht="13.8" hidden="false" customHeight="false" outlineLevel="0" collapsed="false">
      <c r="A6" s="10" t="s">
        <v>73</v>
      </c>
      <c r="B6" s="2" t="n">
        <v>5</v>
      </c>
      <c r="C6" s="11" t="s">
        <v>82</v>
      </c>
      <c r="D6" s="10" t="s">
        <v>75</v>
      </c>
      <c r="E6" s="10" t="s">
        <v>76</v>
      </c>
      <c r="F6" s="10" t="n">
        <v>5</v>
      </c>
      <c r="G6" s="10" t="s">
        <v>77</v>
      </c>
      <c r="H6" s="10" t="s">
        <v>77</v>
      </c>
      <c r="I6" s="10" t="s">
        <v>77</v>
      </c>
      <c r="J6" s="10" t="s">
        <v>77</v>
      </c>
      <c r="K6" s="10" t="s">
        <v>77</v>
      </c>
      <c r="L6" s="10" t="s">
        <v>77</v>
      </c>
      <c r="M6" s="2" t="n">
        <v>20</v>
      </c>
      <c r="N6" s="10" t="s">
        <v>77</v>
      </c>
      <c r="O6" s="10"/>
      <c r="P6" s="10" t="s">
        <v>77</v>
      </c>
      <c r="Q6" s="10" t="s">
        <v>77</v>
      </c>
      <c r="R6" s="10" t="s">
        <v>77</v>
      </c>
      <c r="S6" s="10" t="s">
        <v>77</v>
      </c>
      <c r="T6" s="10" t="s">
        <v>77</v>
      </c>
      <c r="U6" s="10" t="s">
        <v>77</v>
      </c>
      <c r="V6" s="10" t="s">
        <v>77</v>
      </c>
      <c r="W6" s="10" t="s">
        <v>77</v>
      </c>
      <c r="X6" s="10" t="s">
        <v>77</v>
      </c>
      <c r="Y6" s="10" t="s">
        <v>77</v>
      </c>
      <c r="Z6" s="10" t="s">
        <v>77</v>
      </c>
      <c r="AA6" s="10" t="s">
        <v>77</v>
      </c>
      <c r="AB6" s="10"/>
      <c r="AC6" s="10" t="s">
        <v>77</v>
      </c>
      <c r="AD6" s="10" t="s">
        <v>77</v>
      </c>
      <c r="AE6" s="10" t="s">
        <v>77</v>
      </c>
      <c r="AF6" s="10" t="s">
        <v>77</v>
      </c>
      <c r="AG6" s="10" t="s">
        <v>77</v>
      </c>
      <c r="AH6" s="10" t="s">
        <v>77</v>
      </c>
      <c r="AI6" s="10" t="s">
        <v>77</v>
      </c>
      <c r="AJ6" s="10" t="s">
        <v>77</v>
      </c>
      <c r="AK6" s="10" t="s">
        <v>77</v>
      </c>
      <c r="AL6" s="10" t="s">
        <v>77</v>
      </c>
      <c r="AM6" s="10" t="s">
        <v>77</v>
      </c>
      <c r="AN6" s="10" t="s">
        <v>77</v>
      </c>
      <c r="AO6" s="10"/>
      <c r="AP6" s="10" t="s">
        <v>73</v>
      </c>
      <c r="AQ6" s="10" t="s">
        <v>73</v>
      </c>
      <c r="AS6" s="10" t="s">
        <v>78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R6" s="10" t="s">
        <v>78</v>
      </c>
      <c r="BS6" s="10"/>
      <c r="BT6" s="10"/>
      <c r="BU6" s="10"/>
      <c r="BV6" s="10"/>
      <c r="BW6" s="10"/>
      <c r="BX6" s="10"/>
      <c r="BY6" s="10"/>
      <c r="CA6" s="2" t="str">
        <f aca="false">IF(AS6="x","x",IF(AS6="-","-",""))</f>
        <v>x</v>
      </c>
      <c r="CB6" s="2" t="str">
        <f aca="false">IF(AT6="x","x",IF(AT6="-","-",""))</f>
        <v/>
      </c>
      <c r="CC6" s="2" t="str">
        <f aca="false">IF(AU6="x","x",IF(AU6="-","-",""))</f>
        <v/>
      </c>
      <c r="CD6" s="2" t="str">
        <f aca="false">IF(AV6="x","x",IF(AV6="-","-",""))</f>
        <v/>
      </c>
      <c r="CE6" s="2" t="str">
        <f aca="false">IF(AW6="x","x",IF(AW6="-","-",""))</f>
        <v/>
      </c>
      <c r="CF6" s="2" t="str">
        <f aca="false">IF(AX6="x","x",IF(AX6="-","-",""))</f>
        <v/>
      </c>
      <c r="CG6" s="2" t="str">
        <f aca="false">IF(AY6="x","x",IF(AY6="-","-",""))</f>
        <v/>
      </c>
      <c r="CH6" s="2" t="str">
        <f aca="false">IF(AZ6="x","x",IF(AZ6="-","-",""))</f>
        <v/>
      </c>
      <c r="CI6" s="2" t="str">
        <f aca="false">IF(BA6="x","x",IF(BA6="-","-",""))</f>
        <v/>
      </c>
      <c r="CJ6" s="2" t="str">
        <f aca="false">IF(BB6="x","x",IF(BB6="-","-",""))</f>
        <v/>
      </c>
      <c r="CK6" s="2" t="str">
        <f aca="false">IF(BC6="x","x",IF(BC6="-","-",""))</f>
        <v/>
      </c>
      <c r="CL6" s="2" t="str">
        <f aca="false">IF(BD6="x","x",IF(BD6="-","-",""))</f>
        <v/>
      </c>
      <c r="CM6" s="2" t="str">
        <f aca="false">IF(BE6="x","x",IF(BE6="-","-",""))</f>
        <v/>
      </c>
      <c r="CN6" s="2" t="str">
        <f aca="false">IF(BF6="x","x",IF(BF6="-","-",""))</f>
        <v/>
      </c>
      <c r="CO6" s="2" t="str">
        <f aca="false">IF(BG6="x","x",IF(BG6="-","-",""))</f>
        <v/>
      </c>
      <c r="CP6" s="2" t="str">
        <f aca="false">IF(BH6="x","x",IF(BH6="-","-",""))</f>
        <v/>
      </c>
      <c r="CQ6" s="2" t="str">
        <f aca="false">IF(BI6="x","x",IF(BI6="-","-",""))</f>
        <v/>
      </c>
      <c r="CR6" s="2" t="str">
        <f aca="false">IF(BJ6="x","x",IF(BJ6="-","-",""))</f>
        <v/>
      </c>
      <c r="CS6" s="2" t="str">
        <f aca="false">IF(BK6="x","x",IF(BK6="-","-",""))</f>
        <v/>
      </c>
      <c r="CT6" s="2" t="str">
        <f aca="false">IF(BL6="x","x",IF(BL6="-","-",""))</f>
        <v/>
      </c>
      <c r="CU6" s="2" t="str">
        <f aca="false">IF(BM6="x","x",IF(BM6="-","-",""))</f>
        <v/>
      </c>
      <c r="CV6" s="2" t="str">
        <f aca="false">IF(BN6="x","x",IF(BN6="-","-",""))</f>
        <v/>
      </c>
      <c r="CW6" s="2" t="str">
        <f aca="false">IF(BO6="x","x",IF(BO6="-","-",""))</f>
        <v/>
      </c>
      <c r="CX6" s="2" t="str">
        <f aca="false">IF(BP6="x","x",IF(BP6="-","-",""))</f>
        <v/>
      </c>
      <c r="CZ6" s="2" t="str">
        <f aca="false">IF(P6="x","x",IF(P6="-","-",""))</f>
        <v>-</v>
      </c>
      <c r="DA6" s="2" t="str">
        <f aca="false">IF(Q6="x","x",IF(Q6="-","-",""))</f>
        <v>-</v>
      </c>
      <c r="DB6" s="2" t="str">
        <f aca="false">IF(R6="x","x",IF(R6="-","-",""))</f>
        <v>-</v>
      </c>
      <c r="DC6" s="2" t="str">
        <f aca="false">IF(S6="x","x",IF(S6="-","-",""))</f>
        <v>-</v>
      </c>
      <c r="DD6" s="2" t="str">
        <f aca="false">IF(T6="x","x",IF(T6="-","-",""))</f>
        <v>-</v>
      </c>
      <c r="DE6" s="2" t="str">
        <f aca="false">IF(U6="x","x",IF(U6="-","-",""))</f>
        <v>-</v>
      </c>
      <c r="DF6" s="2" t="str">
        <f aca="false">IF(V6="x","x",IF(V6="-","-",""))</f>
        <v>-</v>
      </c>
      <c r="DG6" s="2" t="str">
        <f aca="false">IF(W6="x","x",IF(W6="-","-",""))</f>
        <v>-</v>
      </c>
      <c r="DH6" s="2" t="str">
        <f aca="false">IF(X6="x","x",IF(X6="-","-",""))</f>
        <v>-</v>
      </c>
      <c r="DI6" s="2" t="str">
        <f aca="false">IF(Y6="x","x",IF(Y6="-","-",""))</f>
        <v>-</v>
      </c>
      <c r="DJ6" s="2" t="str">
        <f aca="false">IF(Z6="x","x",IF(Z6="-","-",""))</f>
        <v>-</v>
      </c>
      <c r="DK6" s="2" t="str">
        <f aca="false">IF(AA6="x","x",IF(AA6="-","-",""))</f>
        <v>-</v>
      </c>
      <c r="DL6" s="10"/>
      <c r="DM6" s="2" t="str">
        <f aca="false">IF(AC6="x","x",IF(AC6="-","-",""))</f>
        <v>-</v>
      </c>
      <c r="DN6" s="2" t="str">
        <f aca="false">IF(AD6="x","x",IF(AD6="-","-",""))</f>
        <v>-</v>
      </c>
      <c r="DO6" s="2" t="str">
        <f aca="false">IF(AE6="x","x",IF(AE6="-","-",""))</f>
        <v>-</v>
      </c>
      <c r="DP6" s="2" t="str">
        <f aca="false">IF(AF6="x","x",IF(AF6="-","-",""))</f>
        <v>-</v>
      </c>
      <c r="DQ6" s="2" t="str">
        <f aca="false">IF(AG6="x","x",IF(AG6="-","-",""))</f>
        <v>-</v>
      </c>
      <c r="DR6" s="2" t="str">
        <f aca="false">IF(AH6="x","x",IF(AH6="-","-",""))</f>
        <v>-</v>
      </c>
      <c r="DS6" s="2" t="str">
        <f aca="false">IF(AI6="x","x",IF(AI6="-","-",""))</f>
        <v>-</v>
      </c>
      <c r="DT6" s="2" t="str">
        <f aca="false">IF(AJ6="x","x",IF(AJ6="-","-",""))</f>
        <v>-</v>
      </c>
      <c r="DU6" s="2" t="str">
        <f aca="false">IF(AK6="x","x",IF(AK6="-","-",""))</f>
        <v>-</v>
      </c>
      <c r="DV6" s="2" t="str">
        <f aca="false">IF(AL6="x","x",IF(AL6="-","-",""))</f>
        <v>-</v>
      </c>
      <c r="DW6" s="2" t="str">
        <f aca="false">IF(AM6="x","x",IF(AM6="-","-",""))</f>
        <v>-</v>
      </c>
      <c r="DX6" s="2" t="str">
        <f aca="false">IF(AN6="x","x",IF(AN6="-","-",""))</f>
        <v>-</v>
      </c>
    </row>
    <row r="7" customFormat="false" ht="13.8" hidden="false" customHeight="false" outlineLevel="0" collapsed="false">
      <c r="A7" s="10" t="s">
        <v>73</v>
      </c>
      <c r="B7" s="2" t="n">
        <v>6</v>
      </c>
      <c r="C7" s="11" t="s">
        <v>83</v>
      </c>
      <c r="D7" s="10" t="s">
        <v>75</v>
      </c>
      <c r="E7" s="10" t="s">
        <v>76</v>
      </c>
      <c r="F7" s="10" t="n">
        <v>6</v>
      </c>
      <c r="G7" s="10" t="s">
        <v>77</v>
      </c>
      <c r="H7" s="10" t="s">
        <v>77</v>
      </c>
      <c r="I7" s="10" t="s">
        <v>77</v>
      </c>
      <c r="J7" s="10" t="s">
        <v>77</v>
      </c>
      <c r="K7" s="10" t="s">
        <v>77</v>
      </c>
      <c r="L7" s="10" t="s">
        <v>77</v>
      </c>
      <c r="M7" s="2" t="n">
        <v>20</v>
      </c>
      <c r="N7" s="10" t="s">
        <v>77</v>
      </c>
      <c r="O7" s="10"/>
      <c r="P7" s="10" t="s">
        <v>77</v>
      </c>
      <c r="Q7" s="10" t="s">
        <v>77</v>
      </c>
      <c r="R7" s="10" t="s">
        <v>77</v>
      </c>
      <c r="S7" s="10" t="s">
        <v>77</v>
      </c>
      <c r="T7" s="10" t="s">
        <v>77</v>
      </c>
      <c r="U7" s="10" t="s">
        <v>77</v>
      </c>
      <c r="V7" s="10" t="s">
        <v>77</v>
      </c>
      <c r="W7" s="10" t="s">
        <v>77</v>
      </c>
      <c r="X7" s="10" t="s">
        <v>77</v>
      </c>
      <c r="Y7" s="10" t="s">
        <v>77</v>
      </c>
      <c r="Z7" s="10" t="s">
        <v>77</v>
      </c>
      <c r="AA7" s="10" t="s">
        <v>77</v>
      </c>
      <c r="AB7" s="10"/>
      <c r="AC7" s="10" t="s">
        <v>77</v>
      </c>
      <c r="AD7" s="10" t="s">
        <v>77</v>
      </c>
      <c r="AE7" s="10" t="s">
        <v>77</v>
      </c>
      <c r="AF7" s="10" t="s">
        <v>77</v>
      </c>
      <c r="AG7" s="10" t="s">
        <v>77</v>
      </c>
      <c r="AH7" s="10" t="s">
        <v>77</v>
      </c>
      <c r="AI7" s="10" t="s">
        <v>77</v>
      </c>
      <c r="AJ7" s="10" t="s">
        <v>77</v>
      </c>
      <c r="AK7" s="10" t="s">
        <v>77</v>
      </c>
      <c r="AL7" s="10" t="s">
        <v>77</v>
      </c>
      <c r="AM7" s="10" t="s">
        <v>77</v>
      </c>
      <c r="AN7" s="10" t="s">
        <v>77</v>
      </c>
      <c r="AO7" s="10"/>
      <c r="AP7" s="10" t="s">
        <v>73</v>
      </c>
      <c r="AQ7" s="10" t="s">
        <v>73</v>
      </c>
      <c r="AS7" s="10" t="s">
        <v>78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R7" s="10" t="s">
        <v>78</v>
      </c>
      <c r="BS7" s="10"/>
      <c r="BT7" s="10"/>
      <c r="BU7" s="10"/>
      <c r="BV7" s="10"/>
      <c r="BW7" s="10"/>
      <c r="BX7" s="10"/>
      <c r="BY7" s="10"/>
      <c r="CA7" s="2" t="str">
        <f aca="false">IF(AS7="x","x",IF(AS7="-","-",""))</f>
        <v>x</v>
      </c>
      <c r="CB7" s="2" t="str">
        <f aca="false">IF(AT7="x","x",IF(AT7="-","-",""))</f>
        <v/>
      </c>
      <c r="CC7" s="2" t="str">
        <f aca="false">IF(AU7="x","x",IF(AU7="-","-",""))</f>
        <v/>
      </c>
      <c r="CD7" s="2" t="str">
        <f aca="false">IF(AV7="x","x",IF(AV7="-","-",""))</f>
        <v/>
      </c>
      <c r="CE7" s="2" t="str">
        <f aca="false">IF(AW7="x","x",IF(AW7="-","-",""))</f>
        <v/>
      </c>
      <c r="CF7" s="2" t="str">
        <f aca="false">IF(AX7="x","x",IF(AX7="-","-",""))</f>
        <v/>
      </c>
      <c r="CG7" s="2" t="str">
        <f aca="false">IF(AY7="x","x",IF(AY7="-","-",""))</f>
        <v/>
      </c>
      <c r="CH7" s="2" t="str">
        <f aca="false">IF(AZ7="x","x",IF(AZ7="-","-",""))</f>
        <v/>
      </c>
      <c r="CI7" s="2" t="str">
        <f aca="false">IF(BA7="x","x",IF(BA7="-","-",""))</f>
        <v/>
      </c>
      <c r="CJ7" s="2" t="str">
        <f aca="false">IF(BB7="x","x",IF(BB7="-","-",""))</f>
        <v/>
      </c>
      <c r="CK7" s="2" t="str">
        <f aca="false">IF(BC7="x","x",IF(BC7="-","-",""))</f>
        <v/>
      </c>
      <c r="CL7" s="2" t="str">
        <f aca="false">IF(BD7="x","x",IF(BD7="-","-",""))</f>
        <v/>
      </c>
      <c r="CM7" s="2" t="str">
        <f aca="false">IF(BE7="x","x",IF(BE7="-","-",""))</f>
        <v/>
      </c>
      <c r="CN7" s="2" t="str">
        <f aca="false">IF(BF7="x","x",IF(BF7="-","-",""))</f>
        <v/>
      </c>
      <c r="CO7" s="2" t="str">
        <f aca="false">IF(BG7="x","x",IF(BG7="-","-",""))</f>
        <v/>
      </c>
      <c r="CP7" s="2" t="str">
        <f aca="false">IF(BH7="x","x",IF(BH7="-","-",""))</f>
        <v/>
      </c>
      <c r="CQ7" s="2" t="str">
        <f aca="false">IF(BI7="x","x",IF(BI7="-","-",""))</f>
        <v/>
      </c>
      <c r="CR7" s="2" t="str">
        <f aca="false">IF(BJ7="x","x",IF(BJ7="-","-",""))</f>
        <v/>
      </c>
      <c r="CS7" s="2" t="str">
        <f aca="false">IF(BK7="x","x",IF(BK7="-","-",""))</f>
        <v/>
      </c>
      <c r="CT7" s="2" t="str">
        <f aca="false">IF(BL7="x","x",IF(BL7="-","-",""))</f>
        <v/>
      </c>
      <c r="CU7" s="2" t="str">
        <f aca="false">IF(BM7="x","x",IF(BM7="-","-",""))</f>
        <v/>
      </c>
      <c r="CV7" s="2" t="str">
        <f aca="false">IF(BN7="x","x",IF(BN7="-","-",""))</f>
        <v/>
      </c>
      <c r="CW7" s="2" t="str">
        <f aca="false">IF(BO7="x","x",IF(BO7="-","-",""))</f>
        <v/>
      </c>
      <c r="CX7" s="2" t="str">
        <f aca="false">IF(BP7="x","x",IF(BP7="-","-",""))</f>
        <v/>
      </c>
      <c r="CZ7" s="2" t="str">
        <f aca="false">IF(P7="x","x",IF(P7="-","-",""))</f>
        <v>-</v>
      </c>
      <c r="DA7" s="2" t="str">
        <f aca="false">IF(Q7="x","x",IF(Q7="-","-",""))</f>
        <v>-</v>
      </c>
      <c r="DB7" s="2" t="str">
        <f aca="false">IF(R7="x","x",IF(R7="-","-",""))</f>
        <v>-</v>
      </c>
      <c r="DC7" s="2" t="str">
        <f aca="false">IF(S7="x","x",IF(S7="-","-",""))</f>
        <v>-</v>
      </c>
      <c r="DD7" s="2" t="str">
        <f aca="false">IF(T7="x","x",IF(T7="-","-",""))</f>
        <v>-</v>
      </c>
      <c r="DE7" s="2" t="str">
        <f aca="false">IF(U7="x","x",IF(U7="-","-",""))</f>
        <v>-</v>
      </c>
      <c r="DF7" s="2" t="str">
        <f aca="false">IF(V7="x","x",IF(V7="-","-",""))</f>
        <v>-</v>
      </c>
      <c r="DG7" s="2" t="str">
        <f aca="false">IF(W7="x","x",IF(W7="-","-",""))</f>
        <v>-</v>
      </c>
      <c r="DH7" s="2" t="str">
        <f aca="false">IF(X7="x","x",IF(X7="-","-",""))</f>
        <v>-</v>
      </c>
      <c r="DI7" s="2" t="str">
        <f aca="false">IF(Y7="x","x",IF(Y7="-","-",""))</f>
        <v>-</v>
      </c>
      <c r="DJ7" s="2" t="str">
        <f aca="false">IF(Z7="x","x",IF(Z7="-","-",""))</f>
        <v>-</v>
      </c>
      <c r="DK7" s="2" t="str">
        <f aca="false">IF(AA7="x","x",IF(AA7="-","-",""))</f>
        <v>-</v>
      </c>
      <c r="DL7" s="10"/>
      <c r="DM7" s="2" t="str">
        <f aca="false">IF(AC7="x","x",IF(AC7="-","-",""))</f>
        <v>-</v>
      </c>
      <c r="DN7" s="2" t="str">
        <f aca="false">IF(AD7="x","x",IF(AD7="-","-",""))</f>
        <v>-</v>
      </c>
      <c r="DO7" s="2" t="str">
        <f aca="false">IF(AE7="x","x",IF(AE7="-","-",""))</f>
        <v>-</v>
      </c>
      <c r="DP7" s="2" t="str">
        <f aca="false">IF(AF7="x","x",IF(AF7="-","-",""))</f>
        <v>-</v>
      </c>
      <c r="DQ7" s="2" t="str">
        <f aca="false">IF(AG7="x","x",IF(AG7="-","-",""))</f>
        <v>-</v>
      </c>
      <c r="DR7" s="2" t="str">
        <f aca="false">IF(AH7="x","x",IF(AH7="-","-",""))</f>
        <v>-</v>
      </c>
      <c r="DS7" s="2" t="str">
        <f aca="false">IF(AI7="x","x",IF(AI7="-","-",""))</f>
        <v>-</v>
      </c>
      <c r="DT7" s="2" t="str">
        <f aca="false">IF(AJ7="x","x",IF(AJ7="-","-",""))</f>
        <v>-</v>
      </c>
      <c r="DU7" s="2" t="str">
        <f aca="false">IF(AK7="x","x",IF(AK7="-","-",""))</f>
        <v>-</v>
      </c>
      <c r="DV7" s="2" t="str">
        <f aca="false">IF(AL7="x","x",IF(AL7="-","-",""))</f>
        <v>-</v>
      </c>
      <c r="DW7" s="2" t="str">
        <f aca="false">IF(AM7="x","x",IF(AM7="-","-",""))</f>
        <v>-</v>
      </c>
      <c r="DX7" s="2" t="str">
        <f aca="false">IF(AN7="x","x",IF(AN7="-","-",""))</f>
        <v>-</v>
      </c>
    </row>
    <row r="8" customFormat="false" ht="13.8" hidden="false" customHeight="false" outlineLevel="0" collapsed="false">
      <c r="A8" s="10" t="s">
        <v>73</v>
      </c>
      <c r="B8" s="2" t="n">
        <v>7</v>
      </c>
      <c r="C8" s="11" t="s">
        <v>84</v>
      </c>
      <c r="D8" s="10" t="s">
        <v>75</v>
      </c>
      <c r="E8" s="10" t="s">
        <v>76</v>
      </c>
      <c r="F8" s="10" t="n">
        <v>7</v>
      </c>
      <c r="G8" s="10" t="s">
        <v>77</v>
      </c>
      <c r="H8" s="10" t="s">
        <v>77</v>
      </c>
      <c r="I8" s="10" t="s">
        <v>77</v>
      </c>
      <c r="J8" s="10" t="s">
        <v>77</v>
      </c>
      <c r="K8" s="10" t="s">
        <v>77</v>
      </c>
      <c r="L8" s="10" t="s">
        <v>77</v>
      </c>
      <c r="M8" s="2" t="n">
        <v>20</v>
      </c>
      <c r="N8" s="10" t="s">
        <v>77</v>
      </c>
      <c r="O8" s="10"/>
      <c r="P8" s="10" t="s">
        <v>77</v>
      </c>
      <c r="Q8" s="10" t="s">
        <v>77</v>
      </c>
      <c r="R8" s="10" t="s">
        <v>77</v>
      </c>
      <c r="S8" s="10" t="s">
        <v>77</v>
      </c>
      <c r="T8" s="10" t="s">
        <v>77</v>
      </c>
      <c r="U8" s="10" t="s">
        <v>77</v>
      </c>
      <c r="V8" s="10" t="s">
        <v>77</v>
      </c>
      <c r="W8" s="10" t="s">
        <v>77</v>
      </c>
      <c r="X8" s="10" t="s">
        <v>77</v>
      </c>
      <c r="Y8" s="10" t="s">
        <v>77</v>
      </c>
      <c r="Z8" s="10" t="s">
        <v>77</v>
      </c>
      <c r="AA8" s="10" t="s">
        <v>77</v>
      </c>
      <c r="AB8" s="10"/>
      <c r="AC8" s="10" t="s">
        <v>77</v>
      </c>
      <c r="AD8" s="10" t="s">
        <v>77</v>
      </c>
      <c r="AE8" s="10" t="s">
        <v>77</v>
      </c>
      <c r="AF8" s="10" t="s">
        <v>77</v>
      </c>
      <c r="AG8" s="10" t="s">
        <v>77</v>
      </c>
      <c r="AH8" s="10" t="s">
        <v>77</v>
      </c>
      <c r="AI8" s="10" t="s">
        <v>77</v>
      </c>
      <c r="AJ8" s="10" t="s">
        <v>77</v>
      </c>
      <c r="AK8" s="10" t="s">
        <v>77</v>
      </c>
      <c r="AL8" s="10" t="s">
        <v>77</v>
      </c>
      <c r="AM8" s="10" t="s">
        <v>77</v>
      </c>
      <c r="AN8" s="10" t="s">
        <v>77</v>
      </c>
      <c r="AO8" s="10"/>
      <c r="AP8" s="10" t="s">
        <v>73</v>
      </c>
      <c r="AQ8" s="10" t="s">
        <v>73</v>
      </c>
      <c r="AS8" s="10" t="s">
        <v>78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R8" s="10" t="s">
        <v>78</v>
      </c>
      <c r="BS8" s="10"/>
      <c r="BT8" s="10"/>
      <c r="BU8" s="10"/>
      <c r="BV8" s="10"/>
      <c r="BW8" s="10"/>
      <c r="BX8" s="10"/>
      <c r="BY8" s="10"/>
      <c r="CA8" s="2" t="str">
        <f aca="false">IF(AS8="x","x",IF(AS8="-","-",""))</f>
        <v>x</v>
      </c>
      <c r="CB8" s="2" t="str">
        <f aca="false">IF(AT8="x","x",IF(AT8="-","-",""))</f>
        <v/>
      </c>
      <c r="CC8" s="2" t="str">
        <f aca="false">IF(AU8="x","x",IF(AU8="-","-",""))</f>
        <v/>
      </c>
      <c r="CD8" s="2" t="str">
        <f aca="false">IF(AV8="x","x",IF(AV8="-","-",""))</f>
        <v/>
      </c>
      <c r="CE8" s="2" t="str">
        <f aca="false">IF(AW8="x","x",IF(AW8="-","-",""))</f>
        <v/>
      </c>
      <c r="CF8" s="2" t="str">
        <f aca="false">IF(AX8="x","x",IF(AX8="-","-",""))</f>
        <v/>
      </c>
      <c r="CG8" s="2" t="str">
        <f aca="false">IF(AY8="x","x",IF(AY8="-","-",""))</f>
        <v/>
      </c>
      <c r="CH8" s="2" t="str">
        <f aca="false">IF(AZ8="x","x",IF(AZ8="-","-",""))</f>
        <v/>
      </c>
      <c r="CI8" s="2" t="str">
        <f aca="false">IF(BA8="x","x",IF(BA8="-","-",""))</f>
        <v/>
      </c>
      <c r="CJ8" s="2" t="str">
        <f aca="false">IF(BB8="x","x",IF(BB8="-","-",""))</f>
        <v/>
      </c>
      <c r="CK8" s="2" t="str">
        <f aca="false">IF(BC8="x","x",IF(BC8="-","-",""))</f>
        <v/>
      </c>
      <c r="CL8" s="2" t="str">
        <f aca="false">IF(BD8="x","x",IF(BD8="-","-",""))</f>
        <v/>
      </c>
      <c r="CM8" s="2" t="str">
        <f aca="false">IF(BE8="x","x",IF(BE8="-","-",""))</f>
        <v/>
      </c>
      <c r="CN8" s="2" t="str">
        <f aca="false">IF(BF8="x","x",IF(BF8="-","-",""))</f>
        <v/>
      </c>
      <c r="CO8" s="2" t="str">
        <f aca="false">IF(BG8="x","x",IF(BG8="-","-",""))</f>
        <v/>
      </c>
      <c r="CP8" s="2" t="str">
        <f aca="false">IF(BH8="x","x",IF(BH8="-","-",""))</f>
        <v/>
      </c>
      <c r="CQ8" s="2" t="str">
        <f aca="false">IF(BI8="x","x",IF(BI8="-","-",""))</f>
        <v/>
      </c>
      <c r="CR8" s="2" t="str">
        <f aca="false">IF(BJ8="x","x",IF(BJ8="-","-",""))</f>
        <v/>
      </c>
      <c r="CS8" s="2" t="str">
        <f aca="false">IF(BK8="x","x",IF(BK8="-","-",""))</f>
        <v/>
      </c>
      <c r="CT8" s="2" t="str">
        <f aca="false">IF(BL8="x","x",IF(BL8="-","-",""))</f>
        <v/>
      </c>
      <c r="CU8" s="2" t="str">
        <f aca="false">IF(BM8="x","x",IF(BM8="-","-",""))</f>
        <v/>
      </c>
      <c r="CV8" s="2" t="str">
        <f aca="false">IF(BN8="x","x",IF(BN8="-","-",""))</f>
        <v/>
      </c>
      <c r="CW8" s="2" t="str">
        <f aca="false">IF(BO8="x","x",IF(BO8="-","-",""))</f>
        <v/>
      </c>
      <c r="CX8" s="2" t="str">
        <f aca="false">IF(BP8="x","x",IF(BP8="-","-",""))</f>
        <v/>
      </c>
      <c r="CZ8" s="2" t="str">
        <f aca="false">IF(P8="x","x",IF(P8="-","-",""))</f>
        <v>-</v>
      </c>
      <c r="DA8" s="2" t="str">
        <f aca="false">IF(Q8="x","x",IF(Q8="-","-",""))</f>
        <v>-</v>
      </c>
      <c r="DB8" s="2" t="str">
        <f aca="false">IF(R8="x","x",IF(R8="-","-",""))</f>
        <v>-</v>
      </c>
      <c r="DC8" s="2" t="str">
        <f aca="false">IF(S8="x","x",IF(S8="-","-",""))</f>
        <v>-</v>
      </c>
      <c r="DD8" s="2" t="str">
        <f aca="false">IF(T8="x","x",IF(T8="-","-",""))</f>
        <v>-</v>
      </c>
      <c r="DE8" s="2" t="str">
        <f aca="false">IF(U8="x","x",IF(U8="-","-",""))</f>
        <v>-</v>
      </c>
      <c r="DF8" s="2" t="str">
        <f aca="false">IF(V8="x","x",IF(V8="-","-",""))</f>
        <v>-</v>
      </c>
      <c r="DG8" s="2" t="str">
        <f aca="false">IF(W8="x","x",IF(W8="-","-",""))</f>
        <v>-</v>
      </c>
      <c r="DH8" s="2" t="str">
        <f aca="false">IF(X8="x","x",IF(X8="-","-",""))</f>
        <v>-</v>
      </c>
      <c r="DI8" s="2" t="str">
        <f aca="false">IF(Y8="x","x",IF(Y8="-","-",""))</f>
        <v>-</v>
      </c>
      <c r="DJ8" s="2" t="str">
        <f aca="false">IF(Z8="x","x",IF(Z8="-","-",""))</f>
        <v>-</v>
      </c>
      <c r="DK8" s="2" t="str">
        <f aca="false">IF(AA8="x","x",IF(AA8="-","-",""))</f>
        <v>-</v>
      </c>
      <c r="DL8" s="10"/>
      <c r="DM8" s="2" t="str">
        <f aca="false">IF(AC8="x","x",IF(AC8="-","-",""))</f>
        <v>-</v>
      </c>
      <c r="DN8" s="2" t="str">
        <f aca="false">IF(AD8="x","x",IF(AD8="-","-",""))</f>
        <v>-</v>
      </c>
      <c r="DO8" s="2" t="str">
        <f aca="false">IF(AE8="x","x",IF(AE8="-","-",""))</f>
        <v>-</v>
      </c>
      <c r="DP8" s="2" t="str">
        <f aca="false">IF(AF8="x","x",IF(AF8="-","-",""))</f>
        <v>-</v>
      </c>
      <c r="DQ8" s="2" t="str">
        <f aca="false">IF(AG8="x","x",IF(AG8="-","-",""))</f>
        <v>-</v>
      </c>
      <c r="DR8" s="2" t="str">
        <f aca="false">IF(AH8="x","x",IF(AH8="-","-",""))</f>
        <v>-</v>
      </c>
      <c r="DS8" s="2" t="str">
        <f aca="false">IF(AI8="x","x",IF(AI8="-","-",""))</f>
        <v>-</v>
      </c>
      <c r="DT8" s="2" t="str">
        <f aca="false">IF(AJ8="x","x",IF(AJ8="-","-",""))</f>
        <v>-</v>
      </c>
      <c r="DU8" s="2" t="str">
        <f aca="false">IF(AK8="x","x",IF(AK8="-","-",""))</f>
        <v>-</v>
      </c>
      <c r="DV8" s="2" t="str">
        <f aca="false">IF(AL8="x","x",IF(AL8="-","-",""))</f>
        <v>-</v>
      </c>
      <c r="DW8" s="2" t="str">
        <f aca="false">IF(AM8="x","x",IF(AM8="-","-",""))</f>
        <v>-</v>
      </c>
      <c r="DX8" s="2" t="str">
        <f aca="false">IF(AN8="x","x",IF(AN8="-","-",""))</f>
        <v>-</v>
      </c>
    </row>
    <row r="9" customFormat="false" ht="13.8" hidden="false" customHeight="false" outlineLevel="0" collapsed="false">
      <c r="A9" s="10" t="s">
        <v>73</v>
      </c>
      <c r="B9" s="2" t="n">
        <v>8</v>
      </c>
      <c r="C9" s="11" t="s">
        <v>85</v>
      </c>
      <c r="D9" s="10" t="s">
        <v>75</v>
      </c>
      <c r="E9" s="10" t="s">
        <v>76</v>
      </c>
      <c r="F9" s="10" t="n">
        <v>8</v>
      </c>
      <c r="G9" s="10" t="s">
        <v>77</v>
      </c>
      <c r="H9" s="10" t="s">
        <v>77</v>
      </c>
      <c r="I9" s="10" t="s">
        <v>77</v>
      </c>
      <c r="J9" s="10" t="s">
        <v>77</v>
      </c>
      <c r="K9" s="10" t="s">
        <v>77</v>
      </c>
      <c r="L9" s="10" t="s">
        <v>77</v>
      </c>
      <c r="M9" s="2" t="n">
        <v>20</v>
      </c>
      <c r="N9" s="10" t="s">
        <v>77</v>
      </c>
      <c r="O9" s="10"/>
      <c r="P9" s="10" t="s">
        <v>77</v>
      </c>
      <c r="Q9" s="10" t="s">
        <v>77</v>
      </c>
      <c r="R9" s="10" t="s">
        <v>77</v>
      </c>
      <c r="S9" s="10" t="s">
        <v>77</v>
      </c>
      <c r="T9" s="10" t="s">
        <v>77</v>
      </c>
      <c r="U9" s="10" t="s">
        <v>77</v>
      </c>
      <c r="V9" s="10" t="s">
        <v>77</v>
      </c>
      <c r="W9" s="10" t="s">
        <v>77</v>
      </c>
      <c r="X9" s="10" t="s">
        <v>77</v>
      </c>
      <c r="Y9" s="10" t="s">
        <v>77</v>
      </c>
      <c r="Z9" s="10" t="s">
        <v>77</v>
      </c>
      <c r="AA9" s="10" t="s">
        <v>77</v>
      </c>
      <c r="AB9" s="10"/>
      <c r="AC9" s="10" t="s">
        <v>77</v>
      </c>
      <c r="AD9" s="10" t="s">
        <v>77</v>
      </c>
      <c r="AE9" s="10" t="s">
        <v>77</v>
      </c>
      <c r="AF9" s="10" t="s">
        <v>77</v>
      </c>
      <c r="AG9" s="10" t="s">
        <v>77</v>
      </c>
      <c r="AH9" s="10" t="s">
        <v>77</v>
      </c>
      <c r="AI9" s="10" t="s">
        <v>77</v>
      </c>
      <c r="AJ9" s="10" t="s">
        <v>77</v>
      </c>
      <c r="AK9" s="10" t="s">
        <v>77</v>
      </c>
      <c r="AL9" s="10" t="s">
        <v>77</v>
      </c>
      <c r="AM9" s="10" t="s">
        <v>77</v>
      </c>
      <c r="AN9" s="10" t="s">
        <v>77</v>
      </c>
      <c r="AO9" s="10"/>
      <c r="AP9" s="10" t="s">
        <v>73</v>
      </c>
      <c r="AQ9" s="10" t="s">
        <v>73</v>
      </c>
      <c r="AS9" s="10" t="s">
        <v>78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R9" s="10" t="s">
        <v>78</v>
      </c>
      <c r="BS9" s="10"/>
      <c r="BT9" s="10"/>
      <c r="BU9" s="10"/>
      <c r="BV9" s="10"/>
      <c r="BW9" s="10"/>
      <c r="BX9" s="10"/>
      <c r="BY9" s="10"/>
      <c r="CA9" s="2" t="str">
        <f aca="false">IF(AS9="x","x",IF(AS9="-","-",""))</f>
        <v>x</v>
      </c>
      <c r="CB9" s="2" t="str">
        <f aca="false">IF(AT9="x","x",IF(AT9="-","-",""))</f>
        <v/>
      </c>
      <c r="CC9" s="2" t="str">
        <f aca="false">IF(AU9="x","x",IF(AU9="-","-",""))</f>
        <v/>
      </c>
      <c r="CD9" s="2" t="str">
        <f aca="false">IF(AV9="x","x",IF(AV9="-","-",""))</f>
        <v/>
      </c>
      <c r="CE9" s="2" t="str">
        <f aca="false">IF(AW9="x","x",IF(AW9="-","-",""))</f>
        <v/>
      </c>
      <c r="CF9" s="2" t="str">
        <f aca="false">IF(AX9="x","x",IF(AX9="-","-",""))</f>
        <v/>
      </c>
      <c r="CG9" s="2" t="str">
        <f aca="false">IF(AY9="x","x",IF(AY9="-","-",""))</f>
        <v/>
      </c>
      <c r="CH9" s="2" t="str">
        <f aca="false">IF(AZ9="x","x",IF(AZ9="-","-",""))</f>
        <v/>
      </c>
      <c r="CI9" s="2" t="str">
        <f aca="false">IF(BA9="x","x",IF(BA9="-","-",""))</f>
        <v/>
      </c>
      <c r="CJ9" s="2" t="str">
        <f aca="false">IF(BB9="x","x",IF(BB9="-","-",""))</f>
        <v/>
      </c>
      <c r="CK9" s="2" t="str">
        <f aca="false">IF(BC9="x","x",IF(BC9="-","-",""))</f>
        <v/>
      </c>
      <c r="CL9" s="2" t="str">
        <f aca="false">IF(BD9="x","x",IF(BD9="-","-",""))</f>
        <v/>
      </c>
      <c r="CM9" s="2" t="str">
        <f aca="false">IF(BE9="x","x",IF(BE9="-","-",""))</f>
        <v/>
      </c>
      <c r="CN9" s="2" t="str">
        <f aca="false">IF(BF9="x","x",IF(BF9="-","-",""))</f>
        <v/>
      </c>
      <c r="CO9" s="2" t="str">
        <f aca="false">IF(BG9="x","x",IF(BG9="-","-",""))</f>
        <v/>
      </c>
      <c r="CP9" s="2" t="str">
        <f aca="false">IF(BH9="x","x",IF(BH9="-","-",""))</f>
        <v/>
      </c>
      <c r="CQ9" s="2" t="str">
        <f aca="false">IF(BI9="x","x",IF(BI9="-","-",""))</f>
        <v/>
      </c>
      <c r="CR9" s="2" t="str">
        <f aca="false">IF(BJ9="x","x",IF(BJ9="-","-",""))</f>
        <v/>
      </c>
      <c r="CS9" s="2" t="str">
        <f aca="false">IF(BK9="x","x",IF(BK9="-","-",""))</f>
        <v/>
      </c>
      <c r="CT9" s="2" t="str">
        <f aca="false">IF(BL9="x","x",IF(BL9="-","-",""))</f>
        <v/>
      </c>
      <c r="CU9" s="2" t="str">
        <f aca="false">IF(BM9="x","x",IF(BM9="-","-",""))</f>
        <v/>
      </c>
      <c r="CV9" s="2" t="str">
        <f aca="false">IF(BN9="x","x",IF(BN9="-","-",""))</f>
        <v/>
      </c>
      <c r="CW9" s="2" t="str">
        <f aca="false">IF(BO9="x","x",IF(BO9="-","-",""))</f>
        <v/>
      </c>
      <c r="CX9" s="2" t="str">
        <f aca="false">IF(BP9="x","x",IF(BP9="-","-",""))</f>
        <v/>
      </c>
      <c r="CZ9" s="2" t="str">
        <f aca="false">IF(P9="x","x",IF(P9="-","-",""))</f>
        <v>-</v>
      </c>
      <c r="DA9" s="2" t="str">
        <f aca="false">IF(Q9="x","x",IF(Q9="-","-",""))</f>
        <v>-</v>
      </c>
      <c r="DB9" s="2" t="str">
        <f aca="false">IF(R9="x","x",IF(R9="-","-",""))</f>
        <v>-</v>
      </c>
      <c r="DC9" s="2" t="str">
        <f aca="false">IF(S9="x","x",IF(S9="-","-",""))</f>
        <v>-</v>
      </c>
      <c r="DD9" s="2" t="str">
        <f aca="false">IF(T9="x","x",IF(T9="-","-",""))</f>
        <v>-</v>
      </c>
      <c r="DE9" s="2" t="str">
        <f aca="false">IF(U9="x","x",IF(U9="-","-",""))</f>
        <v>-</v>
      </c>
      <c r="DF9" s="2" t="str">
        <f aca="false">IF(V9="x","x",IF(V9="-","-",""))</f>
        <v>-</v>
      </c>
      <c r="DG9" s="2" t="str">
        <f aca="false">IF(W9="x","x",IF(W9="-","-",""))</f>
        <v>-</v>
      </c>
      <c r="DH9" s="2" t="str">
        <f aca="false">IF(X9="x","x",IF(X9="-","-",""))</f>
        <v>-</v>
      </c>
      <c r="DI9" s="2" t="str">
        <f aca="false">IF(Y9="x","x",IF(Y9="-","-",""))</f>
        <v>-</v>
      </c>
      <c r="DJ9" s="2" t="str">
        <f aca="false">IF(Z9="x","x",IF(Z9="-","-",""))</f>
        <v>-</v>
      </c>
      <c r="DK9" s="2" t="str">
        <f aca="false">IF(AA9="x","x",IF(AA9="-","-",""))</f>
        <v>-</v>
      </c>
      <c r="DL9" s="10"/>
      <c r="DM9" s="2" t="str">
        <f aca="false">IF(AC9="x","x",IF(AC9="-","-",""))</f>
        <v>-</v>
      </c>
      <c r="DN9" s="2" t="str">
        <f aca="false">IF(AD9="x","x",IF(AD9="-","-",""))</f>
        <v>-</v>
      </c>
      <c r="DO9" s="2" t="str">
        <f aca="false">IF(AE9="x","x",IF(AE9="-","-",""))</f>
        <v>-</v>
      </c>
      <c r="DP9" s="2" t="str">
        <f aca="false">IF(AF9="x","x",IF(AF9="-","-",""))</f>
        <v>-</v>
      </c>
      <c r="DQ9" s="2" t="str">
        <f aca="false">IF(AG9="x","x",IF(AG9="-","-",""))</f>
        <v>-</v>
      </c>
      <c r="DR9" s="2" t="str">
        <f aca="false">IF(AH9="x","x",IF(AH9="-","-",""))</f>
        <v>-</v>
      </c>
      <c r="DS9" s="2" t="str">
        <f aca="false">IF(AI9="x","x",IF(AI9="-","-",""))</f>
        <v>-</v>
      </c>
      <c r="DT9" s="2" t="str">
        <f aca="false">IF(AJ9="x","x",IF(AJ9="-","-",""))</f>
        <v>-</v>
      </c>
      <c r="DU9" s="2" t="str">
        <f aca="false">IF(AK9="x","x",IF(AK9="-","-",""))</f>
        <v>-</v>
      </c>
      <c r="DV9" s="2" t="str">
        <f aca="false">IF(AL9="x","x",IF(AL9="-","-",""))</f>
        <v>-</v>
      </c>
      <c r="DW9" s="2" t="str">
        <f aca="false">IF(AM9="x","x",IF(AM9="-","-",""))</f>
        <v>-</v>
      </c>
      <c r="DX9" s="2" t="str">
        <f aca="false">IF(AN9="x","x",IF(AN9="-","-",""))</f>
        <v>-</v>
      </c>
    </row>
    <row r="10" customFormat="false" ht="13.8" hidden="false" customHeight="false" outlineLevel="0" collapsed="false">
      <c r="A10" s="10" t="s">
        <v>73</v>
      </c>
      <c r="B10" s="2" t="n">
        <v>9</v>
      </c>
      <c r="C10" s="11" t="s">
        <v>86</v>
      </c>
      <c r="D10" s="10" t="s">
        <v>75</v>
      </c>
      <c r="E10" s="10" t="s">
        <v>76</v>
      </c>
      <c r="F10" s="10" t="n">
        <v>9</v>
      </c>
      <c r="G10" s="10" t="s">
        <v>77</v>
      </c>
      <c r="H10" s="10" t="s">
        <v>77</v>
      </c>
      <c r="I10" s="10" t="s">
        <v>77</v>
      </c>
      <c r="J10" s="10" t="s">
        <v>77</v>
      </c>
      <c r="K10" s="10" t="s">
        <v>77</v>
      </c>
      <c r="L10" s="10" t="s">
        <v>77</v>
      </c>
      <c r="M10" s="2" t="n">
        <v>20</v>
      </c>
      <c r="N10" s="10" t="s">
        <v>77</v>
      </c>
      <c r="O10" s="10"/>
      <c r="P10" s="10" t="s">
        <v>77</v>
      </c>
      <c r="Q10" s="10" t="s">
        <v>77</v>
      </c>
      <c r="R10" s="10" t="s">
        <v>77</v>
      </c>
      <c r="S10" s="10" t="s">
        <v>77</v>
      </c>
      <c r="T10" s="10" t="s">
        <v>77</v>
      </c>
      <c r="U10" s="10" t="s">
        <v>77</v>
      </c>
      <c r="V10" s="10" t="s">
        <v>77</v>
      </c>
      <c r="W10" s="10" t="s">
        <v>77</v>
      </c>
      <c r="X10" s="10" t="s">
        <v>77</v>
      </c>
      <c r="Y10" s="10" t="s">
        <v>77</v>
      </c>
      <c r="Z10" s="10" t="s">
        <v>77</v>
      </c>
      <c r="AA10" s="10" t="s">
        <v>77</v>
      </c>
      <c r="AB10" s="10"/>
      <c r="AC10" s="10" t="s">
        <v>77</v>
      </c>
      <c r="AD10" s="10" t="s">
        <v>77</v>
      </c>
      <c r="AE10" s="10" t="s">
        <v>77</v>
      </c>
      <c r="AF10" s="10" t="s">
        <v>77</v>
      </c>
      <c r="AG10" s="10" t="s">
        <v>77</v>
      </c>
      <c r="AH10" s="10" t="s">
        <v>77</v>
      </c>
      <c r="AI10" s="10" t="s">
        <v>77</v>
      </c>
      <c r="AJ10" s="10" t="s">
        <v>77</v>
      </c>
      <c r="AK10" s="10" t="s">
        <v>77</v>
      </c>
      <c r="AL10" s="10" t="s">
        <v>77</v>
      </c>
      <c r="AM10" s="10" t="s">
        <v>77</v>
      </c>
      <c r="AN10" s="10" t="s">
        <v>77</v>
      </c>
      <c r="AO10" s="10"/>
      <c r="AP10" s="10" t="s">
        <v>73</v>
      </c>
      <c r="AQ10" s="10" t="s">
        <v>73</v>
      </c>
      <c r="AS10" s="10" t="s">
        <v>78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R10" s="10" t="s">
        <v>78</v>
      </c>
      <c r="BS10" s="10"/>
      <c r="BT10" s="10"/>
      <c r="BU10" s="10"/>
      <c r="BV10" s="10"/>
      <c r="BW10" s="10"/>
      <c r="BX10" s="10"/>
      <c r="BY10" s="10"/>
      <c r="CA10" s="2" t="str">
        <f aca="false">IF(AS10="x","x",IF(AS10="-","-",""))</f>
        <v>x</v>
      </c>
      <c r="CB10" s="2" t="str">
        <f aca="false">IF(AT10="x","x",IF(AT10="-","-",""))</f>
        <v/>
      </c>
      <c r="CC10" s="2" t="str">
        <f aca="false">IF(AU10="x","x",IF(AU10="-","-",""))</f>
        <v/>
      </c>
      <c r="CD10" s="2" t="str">
        <f aca="false">IF(AV10="x","x",IF(AV10="-","-",""))</f>
        <v/>
      </c>
      <c r="CE10" s="2" t="str">
        <f aca="false">IF(AW10="x","x",IF(AW10="-","-",""))</f>
        <v/>
      </c>
      <c r="CF10" s="2" t="str">
        <f aca="false">IF(AX10="x","x",IF(AX10="-","-",""))</f>
        <v/>
      </c>
      <c r="CG10" s="2" t="str">
        <f aca="false">IF(AY10="x","x",IF(AY10="-","-",""))</f>
        <v/>
      </c>
      <c r="CH10" s="2" t="str">
        <f aca="false">IF(AZ10="x","x",IF(AZ10="-","-",""))</f>
        <v/>
      </c>
      <c r="CI10" s="2" t="str">
        <f aca="false">IF(BA10="x","x",IF(BA10="-","-",""))</f>
        <v/>
      </c>
      <c r="CJ10" s="2" t="str">
        <f aca="false">IF(BB10="x","x",IF(BB10="-","-",""))</f>
        <v/>
      </c>
      <c r="CK10" s="2" t="str">
        <f aca="false">IF(BC10="x","x",IF(BC10="-","-",""))</f>
        <v/>
      </c>
      <c r="CL10" s="2" t="str">
        <f aca="false">IF(BD10="x","x",IF(BD10="-","-",""))</f>
        <v/>
      </c>
      <c r="CM10" s="2" t="str">
        <f aca="false">IF(BE10="x","x",IF(BE10="-","-",""))</f>
        <v/>
      </c>
      <c r="CN10" s="2" t="str">
        <f aca="false">IF(BF10="x","x",IF(BF10="-","-",""))</f>
        <v/>
      </c>
      <c r="CO10" s="2" t="str">
        <f aca="false">IF(BG10="x","x",IF(BG10="-","-",""))</f>
        <v/>
      </c>
      <c r="CP10" s="2" t="str">
        <f aca="false">IF(BH10="x","x",IF(BH10="-","-",""))</f>
        <v/>
      </c>
      <c r="CQ10" s="2" t="str">
        <f aca="false">IF(BI10="x","x",IF(BI10="-","-",""))</f>
        <v/>
      </c>
      <c r="CR10" s="2" t="str">
        <f aca="false">IF(BJ10="x","x",IF(BJ10="-","-",""))</f>
        <v/>
      </c>
      <c r="CS10" s="2" t="str">
        <f aca="false">IF(BK10="x","x",IF(BK10="-","-",""))</f>
        <v/>
      </c>
      <c r="CT10" s="2" t="str">
        <f aca="false">IF(BL10="x","x",IF(BL10="-","-",""))</f>
        <v/>
      </c>
      <c r="CU10" s="2" t="str">
        <f aca="false">IF(BM10="x","x",IF(BM10="-","-",""))</f>
        <v/>
      </c>
      <c r="CV10" s="2" t="str">
        <f aca="false">IF(BN10="x","x",IF(BN10="-","-",""))</f>
        <v/>
      </c>
      <c r="CW10" s="2" t="str">
        <f aca="false">IF(BO10="x","x",IF(BO10="-","-",""))</f>
        <v/>
      </c>
      <c r="CX10" s="2" t="str">
        <f aca="false">IF(BP10="x","x",IF(BP10="-","-",""))</f>
        <v/>
      </c>
      <c r="CZ10" s="2" t="str">
        <f aca="false">IF(P10="x","x",IF(P10="-","-",""))</f>
        <v>-</v>
      </c>
      <c r="DA10" s="2" t="str">
        <f aca="false">IF(Q10="x","x",IF(Q10="-","-",""))</f>
        <v>-</v>
      </c>
      <c r="DB10" s="2" t="str">
        <f aca="false">IF(R10="x","x",IF(R10="-","-",""))</f>
        <v>-</v>
      </c>
      <c r="DC10" s="2" t="str">
        <f aca="false">IF(S10="x","x",IF(S10="-","-",""))</f>
        <v>-</v>
      </c>
      <c r="DD10" s="2" t="str">
        <f aca="false">IF(T10="x","x",IF(T10="-","-",""))</f>
        <v>-</v>
      </c>
      <c r="DE10" s="2" t="str">
        <f aca="false">IF(U10="x","x",IF(U10="-","-",""))</f>
        <v>-</v>
      </c>
      <c r="DF10" s="2" t="str">
        <f aca="false">IF(V10="x","x",IF(V10="-","-",""))</f>
        <v>-</v>
      </c>
      <c r="DG10" s="2" t="str">
        <f aca="false">IF(W10="x","x",IF(W10="-","-",""))</f>
        <v>-</v>
      </c>
      <c r="DH10" s="2" t="str">
        <f aca="false">IF(X10="x","x",IF(X10="-","-",""))</f>
        <v>-</v>
      </c>
      <c r="DI10" s="2" t="str">
        <f aca="false">IF(Y10="x","x",IF(Y10="-","-",""))</f>
        <v>-</v>
      </c>
      <c r="DJ10" s="2" t="str">
        <f aca="false">IF(Z10="x","x",IF(Z10="-","-",""))</f>
        <v>-</v>
      </c>
      <c r="DK10" s="2" t="str">
        <f aca="false">IF(AA10="x","x",IF(AA10="-","-",""))</f>
        <v>-</v>
      </c>
      <c r="DL10" s="10"/>
      <c r="DM10" s="2" t="str">
        <f aca="false">IF(AC10="x","x",IF(AC10="-","-",""))</f>
        <v>-</v>
      </c>
      <c r="DN10" s="2" t="str">
        <f aca="false">IF(AD10="x","x",IF(AD10="-","-",""))</f>
        <v>-</v>
      </c>
      <c r="DO10" s="2" t="str">
        <f aca="false">IF(AE10="x","x",IF(AE10="-","-",""))</f>
        <v>-</v>
      </c>
      <c r="DP10" s="2" t="str">
        <f aca="false">IF(AF10="x","x",IF(AF10="-","-",""))</f>
        <v>-</v>
      </c>
      <c r="DQ10" s="2" t="str">
        <f aca="false">IF(AG10="x","x",IF(AG10="-","-",""))</f>
        <v>-</v>
      </c>
      <c r="DR10" s="2" t="str">
        <f aca="false">IF(AH10="x","x",IF(AH10="-","-",""))</f>
        <v>-</v>
      </c>
      <c r="DS10" s="2" t="str">
        <f aca="false">IF(AI10="x","x",IF(AI10="-","-",""))</f>
        <v>-</v>
      </c>
      <c r="DT10" s="2" t="str">
        <f aca="false">IF(AJ10="x","x",IF(AJ10="-","-",""))</f>
        <v>-</v>
      </c>
      <c r="DU10" s="2" t="str">
        <f aca="false">IF(AK10="x","x",IF(AK10="-","-",""))</f>
        <v>-</v>
      </c>
      <c r="DV10" s="2" t="str">
        <f aca="false">IF(AL10="x","x",IF(AL10="-","-",""))</f>
        <v>-</v>
      </c>
      <c r="DW10" s="2" t="str">
        <f aca="false">IF(AM10="x","x",IF(AM10="-","-",""))</f>
        <v>-</v>
      </c>
      <c r="DX10" s="2" t="str">
        <f aca="false">IF(AN10="x","x",IF(AN10="-","-",""))</f>
        <v>-</v>
      </c>
    </row>
    <row r="11" customFormat="false" ht="13.8" hidden="false" customHeight="false" outlineLevel="0" collapsed="false">
      <c r="A11" s="10" t="s">
        <v>73</v>
      </c>
      <c r="B11" s="2" t="n">
        <v>10</v>
      </c>
      <c r="C11" s="11" t="s">
        <v>87</v>
      </c>
      <c r="D11" s="10" t="s">
        <v>75</v>
      </c>
      <c r="E11" s="10" t="s">
        <v>76</v>
      </c>
      <c r="F11" s="10" t="n">
        <v>10</v>
      </c>
      <c r="G11" s="10" t="s">
        <v>77</v>
      </c>
      <c r="H11" s="10" t="s">
        <v>77</v>
      </c>
      <c r="I11" s="10" t="s">
        <v>77</v>
      </c>
      <c r="J11" s="10" t="s">
        <v>77</v>
      </c>
      <c r="K11" s="10" t="s">
        <v>77</v>
      </c>
      <c r="L11" s="10" t="s">
        <v>77</v>
      </c>
      <c r="M11" s="2" t="n">
        <v>20</v>
      </c>
      <c r="N11" s="10" t="s">
        <v>77</v>
      </c>
      <c r="O11" s="10"/>
      <c r="P11" s="10" t="s">
        <v>77</v>
      </c>
      <c r="Q11" s="10" t="s">
        <v>77</v>
      </c>
      <c r="R11" s="10" t="s">
        <v>77</v>
      </c>
      <c r="S11" s="10" t="s">
        <v>77</v>
      </c>
      <c r="T11" s="10" t="s">
        <v>77</v>
      </c>
      <c r="U11" s="10" t="s">
        <v>77</v>
      </c>
      <c r="V11" s="10" t="s">
        <v>77</v>
      </c>
      <c r="W11" s="10" t="s">
        <v>77</v>
      </c>
      <c r="X11" s="10" t="s">
        <v>77</v>
      </c>
      <c r="Y11" s="10" t="s">
        <v>77</v>
      </c>
      <c r="Z11" s="10" t="s">
        <v>77</v>
      </c>
      <c r="AA11" s="10" t="s">
        <v>77</v>
      </c>
      <c r="AB11" s="10"/>
      <c r="AC11" s="10" t="s">
        <v>77</v>
      </c>
      <c r="AD11" s="10" t="s">
        <v>77</v>
      </c>
      <c r="AE11" s="10" t="s">
        <v>77</v>
      </c>
      <c r="AF11" s="10" t="s">
        <v>77</v>
      </c>
      <c r="AG11" s="10" t="s">
        <v>77</v>
      </c>
      <c r="AH11" s="10" t="s">
        <v>77</v>
      </c>
      <c r="AI11" s="10" t="s">
        <v>77</v>
      </c>
      <c r="AJ11" s="10" t="s">
        <v>77</v>
      </c>
      <c r="AK11" s="10" t="s">
        <v>77</v>
      </c>
      <c r="AL11" s="10" t="s">
        <v>77</v>
      </c>
      <c r="AM11" s="10" t="s">
        <v>77</v>
      </c>
      <c r="AN11" s="10" t="s">
        <v>77</v>
      </c>
      <c r="AO11" s="10"/>
      <c r="AP11" s="10" t="s">
        <v>73</v>
      </c>
      <c r="AQ11" s="10" t="s">
        <v>73</v>
      </c>
      <c r="AS11" s="10" t="s">
        <v>78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R11" s="10" t="s">
        <v>78</v>
      </c>
      <c r="BS11" s="10"/>
      <c r="BT11" s="10"/>
      <c r="BU11" s="10"/>
      <c r="BV11" s="10"/>
      <c r="BW11" s="10"/>
      <c r="BX11" s="10"/>
      <c r="BY11" s="10"/>
      <c r="CA11" s="2" t="str">
        <f aca="false">IF(AS11="x","x",IF(AS11="-","-",""))</f>
        <v>x</v>
      </c>
      <c r="CB11" s="2" t="str">
        <f aca="false">IF(AT11="x","x",IF(AT11="-","-",""))</f>
        <v/>
      </c>
      <c r="CC11" s="2" t="str">
        <f aca="false">IF(AU11="x","x",IF(AU11="-","-",""))</f>
        <v/>
      </c>
      <c r="CD11" s="2" t="str">
        <f aca="false">IF(AV11="x","x",IF(AV11="-","-",""))</f>
        <v/>
      </c>
      <c r="CE11" s="2" t="str">
        <f aca="false">IF(AW11="x","x",IF(AW11="-","-",""))</f>
        <v/>
      </c>
      <c r="CF11" s="2" t="str">
        <f aca="false">IF(AX11="x","x",IF(AX11="-","-",""))</f>
        <v/>
      </c>
      <c r="CG11" s="2" t="str">
        <f aca="false">IF(AY11="x","x",IF(AY11="-","-",""))</f>
        <v/>
      </c>
      <c r="CH11" s="2" t="str">
        <f aca="false">IF(AZ11="x","x",IF(AZ11="-","-",""))</f>
        <v/>
      </c>
      <c r="CI11" s="2" t="str">
        <f aca="false">IF(BA11="x","x",IF(BA11="-","-",""))</f>
        <v/>
      </c>
      <c r="CJ11" s="2" t="str">
        <f aca="false">IF(BB11="x","x",IF(BB11="-","-",""))</f>
        <v/>
      </c>
      <c r="CK11" s="2" t="str">
        <f aca="false">IF(BC11="x","x",IF(BC11="-","-",""))</f>
        <v/>
      </c>
      <c r="CL11" s="2" t="str">
        <f aca="false">IF(BD11="x","x",IF(BD11="-","-",""))</f>
        <v/>
      </c>
      <c r="CM11" s="2" t="str">
        <f aca="false">IF(BE11="x","x",IF(BE11="-","-",""))</f>
        <v/>
      </c>
      <c r="CN11" s="2" t="str">
        <f aca="false">IF(BF11="x","x",IF(BF11="-","-",""))</f>
        <v/>
      </c>
      <c r="CO11" s="2" t="str">
        <f aca="false">IF(BG11="x","x",IF(BG11="-","-",""))</f>
        <v/>
      </c>
      <c r="CP11" s="2" t="str">
        <f aca="false">IF(BH11="x","x",IF(BH11="-","-",""))</f>
        <v/>
      </c>
      <c r="CQ11" s="2" t="str">
        <f aca="false">IF(BI11="x","x",IF(BI11="-","-",""))</f>
        <v/>
      </c>
      <c r="CR11" s="2" t="str">
        <f aca="false">IF(BJ11="x","x",IF(BJ11="-","-",""))</f>
        <v/>
      </c>
      <c r="CS11" s="2" t="str">
        <f aca="false">IF(BK11="x","x",IF(BK11="-","-",""))</f>
        <v/>
      </c>
      <c r="CT11" s="2" t="str">
        <f aca="false">IF(BL11="x","x",IF(BL11="-","-",""))</f>
        <v/>
      </c>
      <c r="CU11" s="2" t="str">
        <f aca="false">IF(BM11="x","x",IF(BM11="-","-",""))</f>
        <v/>
      </c>
      <c r="CV11" s="2" t="str">
        <f aca="false">IF(BN11="x","x",IF(BN11="-","-",""))</f>
        <v/>
      </c>
      <c r="CW11" s="2" t="str">
        <f aca="false">IF(BO11="x","x",IF(BO11="-","-",""))</f>
        <v/>
      </c>
      <c r="CX11" s="2" t="str">
        <f aca="false">IF(BP11="x","x",IF(BP11="-","-",""))</f>
        <v/>
      </c>
      <c r="CZ11" s="2" t="str">
        <f aca="false">IF(P11="x","x",IF(P11="-","-",""))</f>
        <v>-</v>
      </c>
      <c r="DA11" s="2" t="str">
        <f aca="false">IF(Q11="x","x",IF(Q11="-","-",""))</f>
        <v>-</v>
      </c>
      <c r="DB11" s="2" t="str">
        <f aca="false">IF(R11="x","x",IF(R11="-","-",""))</f>
        <v>-</v>
      </c>
      <c r="DC11" s="2" t="str">
        <f aca="false">IF(S11="x","x",IF(S11="-","-",""))</f>
        <v>-</v>
      </c>
      <c r="DD11" s="2" t="str">
        <f aca="false">IF(T11="x","x",IF(T11="-","-",""))</f>
        <v>-</v>
      </c>
      <c r="DE11" s="2" t="str">
        <f aca="false">IF(U11="x","x",IF(U11="-","-",""))</f>
        <v>-</v>
      </c>
      <c r="DF11" s="2" t="str">
        <f aca="false">IF(V11="x","x",IF(V11="-","-",""))</f>
        <v>-</v>
      </c>
      <c r="DG11" s="2" t="str">
        <f aca="false">IF(W11="x","x",IF(W11="-","-",""))</f>
        <v>-</v>
      </c>
      <c r="DH11" s="2" t="str">
        <f aca="false">IF(X11="x","x",IF(X11="-","-",""))</f>
        <v>-</v>
      </c>
      <c r="DI11" s="2" t="str">
        <f aca="false">IF(Y11="x","x",IF(Y11="-","-",""))</f>
        <v>-</v>
      </c>
      <c r="DJ11" s="2" t="str">
        <f aca="false">IF(Z11="x","x",IF(Z11="-","-",""))</f>
        <v>-</v>
      </c>
      <c r="DK11" s="2" t="str">
        <f aca="false">IF(AA11="x","x",IF(AA11="-","-",""))</f>
        <v>-</v>
      </c>
      <c r="DL11" s="10"/>
      <c r="DM11" s="2" t="str">
        <f aca="false">IF(AC11="x","x",IF(AC11="-","-",""))</f>
        <v>-</v>
      </c>
      <c r="DN11" s="2" t="str">
        <f aca="false">IF(AD11="x","x",IF(AD11="-","-",""))</f>
        <v>-</v>
      </c>
      <c r="DO11" s="2" t="str">
        <f aca="false">IF(AE11="x","x",IF(AE11="-","-",""))</f>
        <v>-</v>
      </c>
      <c r="DP11" s="2" t="str">
        <f aca="false">IF(AF11="x","x",IF(AF11="-","-",""))</f>
        <v>-</v>
      </c>
      <c r="DQ11" s="2" t="str">
        <f aca="false">IF(AG11="x","x",IF(AG11="-","-",""))</f>
        <v>-</v>
      </c>
      <c r="DR11" s="2" t="str">
        <f aca="false">IF(AH11="x","x",IF(AH11="-","-",""))</f>
        <v>-</v>
      </c>
      <c r="DS11" s="2" t="str">
        <f aca="false">IF(AI11="x","x",IF(AI11="-","-",""))</f>
        <v>-</v>
      </c>
      <c r="DT11" s="2" t="str">
        <f aca="false">IF(AJ11="x","x",IF(AJ11="-","-",""))</f>
        <v>-</v>
      </c>
      <c r="DU11" s="2" t="str">
        <f aca="false">IF(AK11="x","x",IF(AK11="-","-",""))</f>
        <v>-</v>
      </c>
      <c r="DV11" s="2" t="str">
        <f aca="false">IF(AL11="x","x",IF(AL11="-","-",""))</f>
        <v>-</v>
      </c>
      <c r="DW11" s="2" t="str">
        <f aca="false">IF(AM11="x","x",IF(AM11="-","-",""))</f>
        <v>-</v>
      </c>
      <c r="DX11" s="2" t="str">
        <f aca="false">IF(AN11="x","x",IF(AN11="-","-",""))</f>
        <v>-</v>
      </c>
    </row>
    <row r="12" customFormat="false" ht="13.8" hidden="false" customHeight="false" outlineLevel="0" collapsed="false">
      <c r="A12" s="10" t="s">
        <v>73</v>
      </c>
      <c r="B12" s="2" t="n">
        <v>11</v>
      </c>
      <c r="C12" s="11" t="s">
        <v>88</v>
      </c>
      <c r="D12" s="10" t="s">
        <v>75</v>
      </c>
      <c r="E12" s="10" t="s">
        <v>76</v>
      </c>
      <c r="F12" s="10" t="n">
        <v>11</v>
      </c>
      <c r="G12" s="10" t="s">
        <v>77</v>
      </c>
      <c r="H12" s="10" t="s">
        <v>77</v>
      </c>
      <c r="I12" s="10" t="s">
        <v>77</v>
      </c>
      <c r="J12" s="10" t="s">
        <v>77</v>
      </c>
      <c r="K12" s="10" t="s">
        <v>77</v>
      </c>
      <c r="L12" s="10" t="s">
        <v>77</v>
      </c>
      <c r="M12" s="2" t="n">
        <v>20</v>
      </c>
      <c r="N12" s="10" t="s">
        <v>77</v>
      </c>
      <c r="O12" s="10"/>
      <c r="P12" s="10" t="s">
        <v>77</v>
      </c>
      <c r="Q12" s="10" t="s">
        <v>77</v>
      </c>
      <c r="R12" s="10" t="s">
        <v>77</v>
      </c>
      <c r="S12" s="10" t="s">
        <v>77</v>
      </c>
      <c r="T12" s="10" t="s">
        <v>77</v>
      </c>
      <c r="U12" s="10" t="s">
        <v>77</v>
      </c>
      <c r="V12" s="10" t="s">
        <v>77</v>
      </c>
      <c r="W12" s="10" t="s">
        <v>77</v>
      </c>
      <c r="X12" s="10" t="s">
        <v>77</v>
      </c>
      <c r="Y12" s="10" t="s">
        <v>77</v>
      </c>
      <c r="Z12" s="10" t="s">
        <v>77</v>
      </c>
      <c r="AA12" s="10" t="s">
        <v>77</v>
      </c>
      <c r="AB12" s="10"/>
      <c r="AC12" s="10" t="s">
        <v>77</v>
      </c>
      <c r="AD12" s="10" t="s">
        <v>77</v>
      </c>
      <c r="AE12" s="10" t="s">
        <v>77</v>
      </c>
      <c r="AF12" s="10" t="s">
        <v>77</v>
      </c>
      <c r="AG12" s="10" t="s">
        <v>77</v>
      </c>
      <c r="AH12" s="10" t="s">
        <v>77</v>
      </c>
      <c r="AI12" s="10" t="s">
        <v>77</v>
      </c>
      <c r="AJ12" s="10" t="s">
        <v>77</v>
      </c>
      <c r="AK12" s="10" t="s">
        <v>77</v>
      </c>
      <c r="AL12" s="10" t="s">
        <v>77</v>
      </c>
      <c r="AM12" s="10" t="s">
        <v>77</v>
      </c>
      <c r="AN12" s="10" t="s">
        <v>77</v>
      </c>
      <c r="AO12" s="10"/>
      <c r="AP12" s="10" t="s">
        <v>73</v>
      </c>
      <c r="AQ12" s="10" t="s">
        <v>73</v>
      </c>
      <c r="AS12" s="10" t="s">
        <v>78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R12" s="10" t="s">
        <v>78</v>
      </c>
      <c r="BS12" s="10"/>
      <c r="BT12" s="10"/>
      <c r="BU12" s="10"/>
      <c r="BV12" s="10"/>
      <c r="BW12" s="10"/>
      <c r="BX12" s="10"/>
      <c r="BY12" s="10"/>
      <c r="CA12" s="2" t="str">
        <f aca="false">IF(AS12="x","x",IF(AS12="-","-",""))</f>
        <v>x</v>
      </c>
      <c r="CB12" s="2" t="str">
        <f aca="false">IF(AT12="x","x",IF(AT12="-","-",""))</f>
        <v/>
      </c>
      <c r="CC12" s="2" t="str">
        <f aca="false">IF(AU12="x","x",IF(AU12="-","-",""))</f>
        <v/>
      </c>
      <c r="CD12" s="2" t="str">
        <f aca="false">IF(AV12="x","x",IF(AV12="-","-",""))</f>
        <v/>
      </c>
      <c r="CE12" s="2" t="str">
        <f aca="false">IF(AW12="x","x",IF(AW12="-","-",""))</f>
        <v/>
      </c>
      <c r="CF12" s="2" t="str">
        <f aca="false">IF(AX12="x","x",IF(AX12="-","-",""))</f>
        <v/>
      </c>
      <c r="CG12" s="2" t="str">
        <f aca="false">IF(AY12="x","x",IF(AY12="-","-",""))</f>
        <v/>
      </c>
      <c r="CH12" s="2" t="str">
        <f aca="false">IF(AZ12="x","x",IF(AZ12="-","-",""))</f>
        <v/>
      </c>
      <c r="CI12" s="2" t="str">
        <f aca="false">IF(BA12="x","x",IF(BA12="-","-",""))</f>
        <v/>
      </c>
      <c r="CJ12" s="2" t="str">
        <f aca="false">IF(BB12="x","x",IF(BB12="-","-",""))</f>
        <v/>
      </c>
      <c r="CK12" s="2" t="str">
        <f aca="false">IF(BC12="x","x",IF(BC12="-","-",""))</f>
        <v/>
      </c>
      <c r="CL12" s="2" t="str">
        <f aca="false">IF(BD12="x","x",IF(BD12="-","-",""))</f>
        <v/>
      </c>
      <c r="CM12" s="2" t="str">
        <f aca="false">IF(BE12="x","x",IF(BE12="-","-",""))</f>
        <v/>
      </c>
      <c r="CN12" s="2" t="str">
        <f aca="false">IF(BF12="x","x",IF(BF12="-","-",""))</f>
        <v/>
      </c>
      <c r="CO12" s="2" t="str">
        <f aca="false">IF(BG12="x","x",IF(BG12="-","-",""))</f>
        <v/>
      </c>
      <c r="CP12" s="2" t="str">
        <f aca="false">IF(BH12="x","x",IF(BH12="-","-",""))</f>
        <v/>
      </c>
      <c r="CQ12" s="2" t="str">
        <f aca="false">IF(BI12="x","x",IF(BI12="-","-",""))</f>
        <v/>
      </c>
      <c r="CR12" s="2" t="str">
        <f aca="false">IF(BJ12="x","x",IF(BJ12="-","-",""))</f>
        <v/>
      </c>
      <c r="CS12" s="2" t="str">
        <f aca="false">IF(BK12="x","x",IF(BK12="-","-",""))</f>
        <v/>
      </c>
      <c r="CT12" s="2" t="str">
        <f aca="false">IF(BL12="x","x",IF(BL12="-","-",""))</f>
        <v/>
      </c>
      <c r="CU12" s="2" t="str">
        <f aca="false">IF(BM12="x","x",IF(BM12="-","-",""))</f>
        <v/>
      </c>
      <c r="CV12" s="2" t="str">
        <f aca="false">IF(BN12="x","x",IF(BN12="-","-",""))</f>
        <v/>
      </c>
      <c r="CW12" s="2" t="str">
        <f aca="false">IF(BO12="x","x",IF(BO12="-","-",""))</f>
        <v/>
      </c>
      <c r="CX12" s="2" t="str">
        <f aca="false">IF(BP12="x","x",IF(BP12="-","-",""))</f>
        <v/>
      </c>
      <c r="CZ12" s="2" t="str">
        <f aca="false">IF(P12="x","x",IF(P12="-","-",""))</f>
        <v>-</v>
      </c>
      <c r="DA12" s="2" t="str">
        <f aca="false">IF(Q12="x","x",IF(Q12="-","-",""))</f>
        <v>-</v>
      </c>
      <c r="DB12" s="2" t="str">
        <f aca="false">IF(R12="x","x",IF(R12="-","-",""))</f>
        <v>-</v>
      </c>
      <c r="DC12" s="2" t="str">
        <f aca="false">IF(S12="x","x",IF(S12="-","-",""))</f>
        <v>-</v>
      </c>
      <c r="DD12" s="2" t="str">
        <f aca="false">IF(T12="x","x",IF(T12="-","-",""))</f>
        <v>-</v>
      </c>
      <c r="DE12" s="2" t="str">
        <f aca="false">IF(U12="x","x",IF(U12="-","-",""))</f>
        <v>-</v>
      </c>
      <c r="DF12" s="2" t="str">
        <f aca="false">IF(V12="x","x",IF(V12="-","-",""))</f>
        <v>-</v>
      </c>
      <c r="DG12" s="2" t="str">
        <f aca="false">IF(W12="x","x",IF(W12="-","-",""))</f>
        <v>-</v>
      </c>
      <c r="DH12" s="2" t="str">
        <f aca="false">IF(X12="x","x",IF(X12="-","-",""))</f>
        <v>-</v>
      </c>
      <c r="DI12" s="2" t="str">
        <f aca="false">IF(Y12="x","x",IF(Y12="-","-",""))</f>
        <v>-</v>
      </c>
      <c r="DJ12" s="2" t="str">
        <f aca="false">IF(Z12="x","x",IF(Z12="-","-",""))</f>
        <v>-</v>
      </c>
      <c r="DK12" s="2" t="str">
        <f aca="false">IF(AA12="x","x",IF(AA12="-","-",""))</f>
        <v>-</v>
      </c>
      <c r="DL12" s="10"/>
      <c r="DM12" s="2" t="str">
        <f aca="false">IF(AC12="x","x",IF(AC12="-","-",""))</f>
        <v>-</v>
      </c>
      <c r="DN12" s="2" t="str">
        <f aca="false">IF(AD12="x","x",IF(AD12="-","-",""))</f>
        <v>-</v>
      </c>
      <c r="DO12" s="2" t="str">
        <f aca="false">IF(AE12="x","x",IF(AE12="-","-",""))</f>
        <v>-</v>
      </c>
      <c r="DP12" s="2" t="str">
        <f aca="false">IF(AF12="x","x",IF(AF12="-","-",""))</f>
        <v>-</v>
      </c>
      <c r="DQ12" s="2" t="str">
        <f aca="false">IF(AG12="x","x",IF(AG12="-","-",""))</f>
        <v>-</v>
      </c>
      <c r="DR12" s="2" t="str">
        <f aca="false">IF(AH12="x","x",IF(AH12="-","-",""))</f>
        <v>-</v>
      </c>
      <c r="DS12" s="2" t="str">
        <f aca="false">IF(AI12="x","x",IF(AI12="-","-",""))</f>
        <v>-</v>
      </c>
      <c r="DT12" s="2" t="str">
        <f aca="false">IF(AJ12="x","x",IF(AJ12="-","-",""))</f>
        <v>-</v>
      </c>
      <c r="DU12" s="2" t="str">
        <f aca="false">IF(AK12="x","x",IF(AK12="-","-",""))</f>
        <v>-</v>
      </c>
      <c r="DV12" s="2" t="str">
        <f aca="false">IF(AL12="x","x",IF(AL12="-","-",""))</f>
        <v>-</v>
      </c>
      <c r="DW12" s="2" t="str">
        <f aca="false">IF(AM12="x","x",IF(AM12="-","-",""))</f>
        <v>-</v>
      </c>
      <c r="DX12" s="2" t="str">
        <f aca="false">IF(AN12="x","x",IF(AN12="-","-",""))</f>
        <v>-</v>
      </c>
    </row>
    <row r="13" customFormat="false" ht="13.8" hidden="false" customHeight="false" outlineLevel="0" collapsed="false">
      <c r="A13" s="10" t="s">
        <v>73</v>
      </c>
      <c r="B13" s="2" t="n">
        <v>12</v>
      </c>
      <c r="C13" s="11" t="s">
        <v>89</v>
      </c>
      <c r="D13" s="10" t="s">
        <v>75</v>
      </c>
      <c r="E13" s="10" t="s">
        <v>76</v>
      </c>
      <c r="F13" s="10" t="n">
        <v>12</v>
      </c>
      <c r="G13" s="10" t="s">
        <v>77</v>
      </c>
      <c r="H13" s="10" t="s">
        <v>77</v>
      </c>
      <c r="I13" s="10" t="s">
        <v>77</v>
      </c>
      <c r="J13" s="10" t="s">
        <v>77</v>
      </c>
      <c r="K13" s="10" t="s">
        <v>77</v>
      </c>
      <c r="L13" s="10" t="s">
        <v>77</v>
      </c>
      <c r="M13" s="2" t="n">
        <v>20</v>
      </c>
      <c r="N13" s="10" t="s">
        <v>77</v>
      </c>
      <c r="O13" s="10"/>
      <c r="P13" s="10" t="s">
        <v>77</v>
      </c>
      <c r="Q13" s="10" t="s">
        <v>77</v>
      </c>
      <c r="R13" s="10" t="s">
        <v>77</v>
      </c>
      <c r="S13" s="10" t="s">
        <v>77</v>
      </c>
      <c r="T13" s="10" t="s">
        <v>77</v>
      </c>
      <c r="U13" s="10" t="s">
        <v>77</v>
      </c>
      <c r="V13" s="10" t="s">
        <v>77</v>
      </c>
      <c r="W13" s="10" t="s">
        <v>77</v>
      </c>
      <c r="X13" s="10" t="s">
        <v>77</v>
      </c>
      <c r="Y13" s="10" t="s">
        <v>77</v>
      </c>
      <c r="Z13" s="10" t="s">
        <v>77</v>
      </c>
      <c r="AA13" s="10" t="s">
        <v>77</v>
      </c>
      <c r="AB13" s="10"/>
      <c r="AC13" s="10" t="s">
        <v>77</v>
      </c>
      <c r="AD13" s="10" t="s">
        <v>77</v>
      </c>
      <c r="AE13" s="10" t="s">
        <v>77</v>
      </c>
      <c r="AF13" s="10" t="s">
        <v>77</v>
      </c>
      <c r="AG13" s="10" t="s">
        <v>77</v>
      </c>
      <c r="AH13" s="10" t="s">
        <v>77</v>
      </c>
      <c r="AI13" s="10" t="s">
        <v>77</v>
      </c>
      <c r="AJ13" s="10" t="s">
        <v>77</v>
      </c>
      <c r="AK13" s="10" t="s">
        <v>77</v>
      </c>
      <c r="AL13" s="10" t="s">
        <v>77</v>
      </c>
      <c r="AM13" s="10" t="s">
        <v>77</v>
      </c>
      <c r="AN13" s="10" t="s">
        <v>77</v>
      </c>
      <c r="AO13" s="10"/>
      <c r="AP13" s="10" t="s">
        <v>73</v>
      </c>
      <c r="AQ13" s="10" t="s">
        <v>73</v>
      </c>
      <c r="AS13" s="10" t="s">
        <v>78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R13" s="10" t="s">
        <v>78</v>
      </c>
      <c r="BS13" s="10"/>
      <c r="BT13" s="10"/>
      <c r="BU13" s="10"/>
      <c r="BV13" s="10"/>
      <c r="BW13" s="10"/>
      <c r="BX13" s="10"/>
      <c r="BY13" s="10"/>
      <c r="CA13" s="2" t="str">
        <f aca="false">IF(AS13="x","x",IF(AS13="-","-",""))</f>
        <v>x</v>
      </c>
      <c r="CB13" s="2" t="str">
        <f aca="false">IF(AT13="x","x",IF(AT13="-","-",""))</f>
        <v/>
      </c>
      <c r="CC13" s="2" t="str">
        <f aca="false">IF(AU13="x","x",IF(AU13="-","-",""))</f>
        <v/>
      </c>
      <c r="CD13" s="2" t="str">
        <f aca="false">IF(AV13="x","x",IF(AV13="-","-",""))</f>
        <v/>
      </c>
      <c r="CE13" s="2" t="str">
        <f aca="false">IF(AW13="x","x",IF(AW13="-","-",""))</f>
        <v/>
      </c>
      <c r="CF13" s="2" t="str">
        <f aca="false">IF(AX13="x","x",IF(AX13="-","-",""))</f>
        <v/>
      </c>
      <c r="CG13" s="2" t="str">
        <f aca="false">IF(AY13="x","x",IF(AY13="-","-",""))</f>
        <v/>
      </c>
      <c r="CH13" s="2" t="str">
        <f aca="false">IF(AZ13="x","x",IF(AZ13="-","-",""))</f>
        <v/>
      </c>
      <c r="CI13" s="2" t="str">
        <f aca="false">IF(BA13="x","x",IF(BA13="-","-",""))</f>
        <v/>
      </c>
      <c r="CJ13" s="2" t="str">
        <f aca="false">IF(BB13="x","x",IF(BB13="-","-",""))</f>
        <v/>
      </c>
      <c r="CK13" s="2" t="str">
        <f aca="false">IF(BC13="x","x",IF(BC13="-","-",""))</f>
        <v/>
      </c>
      <c r="CL13" s="2" t="str">
        <f aca="false">IF(BD13="x","x",IF(BD13="-","-",""))</f>
        <v/>
      </c>
      <c r="CM13" s="2" t="str">
        <f aca="false">IF(BE13="x","x",IF(BE13="-","-",""))</f>
        <v/>
      </c>
      <c r="CN13" s="2" t="str">
        <f aca="false">IF(BF13="x","x",IF(BF13="-","-",""))</f>
        <v/>
      </c>
      <c r="CO13" s="2" t="str">
        <f aca="false">IF(BG13="x","x",IF(BG13="-","-",""))</f>
        <v/>
      </c>
      <c r="CP13" s="2" t="str">
        <f aca="false">IF(BH13="x","x",IF(BH13="-","-",""))</f>
        <v/>
      </c>
      <c r="CQ13" s="2" t="str">
        <f aca="false">IF(BI13="x","x",IF(BI13="-","-",""))</f>
        <v/>
      </c>
      <c r="CR13" s="2" t="str">
        <f aca="false">IF(BJ13="x","x",IF(BJ13="-","-",""))</f>
        <v/>
      </c>
      <c r="CS13" s="2" t="str">
        <f aca="false">IF(BK13="x","x",IF(BK13="-","-",""))</f>
        <v/>
      </c>
      <c r="CT13" s="2" t="str">
        <f aca="false">IF(BL13="x","x",IF(BL13="-","-",""))</f>
        <v/>
      </c>
      <c r="CU13" s="2" t="str">
        <f aca="false">IF(BM13="x","x",IF(BM13="-","-",""))</f>
        <v/>
      </c>
      <c r="CV13" s="2" t="str">
        <f aca="false">IF(BN13="x","x",IF(BN13="-","-",""))</f>
        <v/>
      </c>
      <c r="CW13" s="2" t="str">
        <f aca="false">IF(BO13="x","x",IF(BO13="-","-",""))</f>
        <v/>
      </c>
      <c r="CX13" s="2" t="str">
        <f aca="false">IF(BP13="x","x",IF(BP13="-","-",""))</f>
        <v/>
      </c>
      <c r="CZ13" s="2" t="str">
        <f aca="false">IF(P13="x","x",IF(P13="-","-",""))</f>
        <v>-</v>
      </c>
      <c r="DA13" s="2" t="str">
        <f aca="false">IF(Q13="x","x",IF(Q13="-","-",""))</f>
        <v>-</v>
      </c>
      <c r="DB13" s="2" t="str">
        <f aca="false">IF(R13="x","x",IF(R13="-","-",""))</f>
        <v>-</v>
      </c>
      <c r="DC13" s="2" t="str">
        <f aca="false">IF(S13="x","x",IF(S13="-","-",""))</f>
        <v>-</v>
      </c>
      <c r="DD13" s="2" t="str">
        <f aca="false">IF(T13="x","x",IF(T13="-","-",""))</f>
        <v>-</v>
      </c>
      <c r="DE13" s="2" t="str">
        <f aca="false">IF(U13="x","x",IF(U13="-","-",""))</f>
        <v>-</v>
      </c>
      <c r="DF13" s="2" t="str">
        <f aca="false">IF(V13="x","x",IF(V13="-","-",""))</f>
        <v>-</v>
      </c>
      <c r="DG13" s="2" t="str">
        <f aca="false">IF(W13="x","x",IF(W13="-","-",""))</f>
        <v>-</v>
      </c>
      <c r="DH13" s="2" t="str">
        <f aca="false">IF(X13="x","x",IF(X13="-","-",""))</f>
        <v>-</v>
      </c>
      <c r="DI13" s="2" t="str">
        <f aca="false">IF(Y13="x","x",IF(Y13="-","-",""))</f>
        <v>-</v>
      </c>
      <c r="DJ13" s="2" t="str">
        <f aca="false">IF(Z13="x","x",IF(Z13="-","-",""))</f>
        <v>-</v>
      </c>
      <c r="DK13" s="2" t="str">
        <f aca="false">IF(AA13="x","x",IF(AA13="-","-",""))</f>
        <v>-</v>
      </c>
      <c r="DL13" s="10"/>
      <c r="DM13" s="2" t="str">
        <f aca="false">IF(AC13="x","x",IF(AC13="-","-",""))</f>
        <v>-</v>
      </c>
      <c r="DN13" s="2" t="str">
        <f aca="false">IF(AD13="x","x",IF(AD13="-","-",""))</f>
        <v>-</v>
      </c>
      <c r="DO13" s="2" t="str">
        <f aca="false">IF(AE13="x","x",IF(AE13="-","-",""))</f>
        <v>-</v>
      </c>
      <c r="DP13" s="2" t="str">
        <f aca="false">IF(AF13="x","x",IF(AF13="-","-",""))</f>
        <v>-</v>
      </c>
      <c r="DQ13" s="2" t="str">
        <f aca="false">IF(AG13="x","x",IF(AG13="-","-",""))</f>
        <v>-</v>
      </c>
      <c r="DR13" s="2" t="str">
        <f aca="false">IF(AH13="x","x",IF(AH13="-","-",""))</f>
        <v>-</v>
      </c>
      <c r="DS13" s="2" t="str">
        <f aca="false">IF(AI13="x","x",IF(AI13="-","-",""))</f>
        <v>-</v>
      </c>
      <c r="DT13" s="2" t="str">
        <f aca="false">IF(AJ13="x","x",IF(AJ13="-","-",""))</f>
        <v>-</v>
      </c>
      <c r="DU13" s="2" t="str">
        <f aca="false">IF(AK13="x","x",IF(AK13="-","-",""))</f>
        <v>-</v>
      </c>
      <c r="DV13" s="2" t="str">
        <f aca="false">IF(AL13="x","x",IF(AL13="-","-",""))</f>
        <v>-</v>
      </c>
      <c r="DW13" s="2" t="str">
        <f aca="false">IF(AM13="x","x",IF(AM13="-","-",""))</f>
        <v>-</v>
      </c>
      <c r="DX13" s="2" t="str">
        <f aca="false">IF(AN13="x","x",IF(AN13="-","-",""))</f>
        <v>-</v>
      </c>
    </row>
    <row r="14" customFormat="false" ht="13.8" hidden="false" customHeight="false" outlineLevel="0" collapsed="false">
      <c r="A14" s="10" t="s">
        <v>73</v>
      </c>
      <c r="B14" s="2" t="n">
        <v>13</v>
      </c>
      <c r="C14" s="11" t="s">
        <v>90</v>
      </c>
      <c r="D14" s="10" t="s">
        <v>75</v>
      </c>
      <c r="E14" s="10" t="s">
        <v>76</v>
      </c>
      <c r="F14" s="10" t="n">
        <v>13</v>
      </c>
      <c r="G14" s="10" t="s">
        <v>77</v>
      </c>
      <c r="H14" s="10" t="s">
        <v>77</v>
      </c>
      <c r="I14" s="10" t="s">
        <v>77</v>
      </c>
      <c r="J14" s="10" t="s">
        <v>77</v>
      </c>
      <c r="K14" s="10" t="s">
        <v>77</v>
      </c>
      <c r="L14" s="10" t="s">
        <v>77</v>
      </c>
      <c r="M14" s="2" t="n">
        <v>20</v>
      </c>
      <c r="N14" s="10" t="s">
        <v>77</v>
      </c>
      <c r="O14" s="10"/>
      <c r="P14" s="10" t="s">
        <v>77</v>
      </c>
      <c r="Q14" s="10" t="s">
        <v>77</v>
      </c>
      <c r="R14" s="10" t="s">
        <v>77</v>
      </c>
      <c r="S14" s="10" t="s">
        <v>77</v>
      </c>
      <c r="T14" s="10" t="s">
        <v>77</v>
      </c>
      <c r="U14" s="10" t="s">
        <v>77</v>
      </c>
      <c r="V14" s="10" t="s">
        <v>77</v>
      </c>
      <c r="W14" s="10" t="s">
        <v>77</v>
      </c>
      <c r="X14" s="10" t="s">
        <v>77</v>
      </c>
      <c r="Y14" s="10" t="s">
        <v>77</v>
      </c>
      <c r="Z14" s="10" t="s">
        <v>77</v>
      </c>
      <c r="AA14" s="10" t="s">
        <v>77</v>
      </c>
      <c r="AB14" s="10"/>
      <c r="AC14" s="10" t="s">
        <v>77</v>
      </c>
      <c r="AD14" s="10" t="s">
        <v>77</v>
      </c>
      <c r="AE14" s="10" t="s">
        <v>77</v>
      </c>
      <c r="AF14" s="10" t="s">
        <v>77</v>
      </c>
      <c r="AG14" s="10" t="s">
        <v>77</v>
      </c>
      <c r="AH14" s="10" t="s">
        <v>77</v>
      </c>
      <c r="AI14" s="10" t="s">
        <v>77</v>
      </c>
      <c r="AJ14" s="10" t="s">
        <v>77</v>
      </c>
      <c r="AK14" s="10" t="s">
        <v>77</v>
      </c>
      <c r="AL14" s="10" t="s">
        <v>77</v>
      </c>
      <c r="AM14" s="10" t="s">
        <v>77</v>
      </c>
      <c r="AN14" s="10" t="s">
        <v>77</v>
      </c>
      <c r="AO14" s="10"/>
      <c r="AP14" s="10" t="s">
        <v>73</v>
      </c>
      <c r="AQ14" s="10" t="s">
        <v>73</v>
      </c>
      <c r="AS14" s="10"/>
      <c r="AT14" s="10" t="s">
        <v>78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R14" s="10" t="s">
        <v>78</v>
      </c>
      <c r="BS14" s="10"/>
      <c r="BT14" s="10"/>
      <c r="BU14" s="10"/>
      <c r="BV14" s="10"/>
      <c r="BW14" s="10"/>
      <c r="BX14" s="10"/>
      <c r="BY14" s="10"/>
      <c r="CA14" s="2" t="str">
        <f aca="false">IF(AS14="x","x",IF(AS14="-","-",""))</f>
        <v/>
      </c>
      <c r="CB14" s="2" t="str">
        <f aca="false">IF(AT14="x","x",IF(AT14="-","-",""))</f>
        <v>x</v>
      </c>
      <c r="CC14" s="2" t="str">
        <f aca="false">IF(AU14="x","x",IF(AU14="-","-",""))</f>
        <v/>
      </c>
      <c r="CD14" s="2" t="str">
        <f aca="false">IF(AV14="x","x",IF(AV14="-","-",""))</f>
        <v/>
      </c>
      <c r="CE14" s="2" t="str">
        <f aca="false">IF(AW14="x","x",IF(AW14="-","-",""))</f>
        <v/>
      </c>
      <c r="CF14" s="2" t="str">
        <f aca="false">IF(AX14="x","x",IF(AX14="-","-",""))</f>
        <v/>
      </c>
      <c r="CG14" s="2" t="str">
        <f aca="false">IF(AY14="x","x",IF(AY14="-","-",""))</f>
        <v/>
      </c>
      <c r="CH14" s="2" t="str">
        <f aca="false">IF(AZ14="x","x",IF(AZ14="-","-",""))</f>
        <v/>
      </c>
      <c r="CI14" s="2" t="str">
        <f aca="false">IF(BA14="x","x",IF(BA14="-","-",""))</f>
        <v/>
      </c>
      <c r="CJ14" s="2" t="str">
        <f aca="false">IF(BB14="x","x",IF(BB14="-","-",""))</f>
        <v/>
      </c>
      <c r="CK14" s="2" t="str">
        <f aca="false">IF(BC14="x","x",IF(BC14="-","-",""))</f>
        <v/>
      </c>
      <c r="CL14" s="2" t="str">
        <f aca="false">IF(BD14="x","x",IF(BD14="-","-",""))</f>
        <v/>
      </c>
      <c r="CM14" s="2" t="str">
        <f aca="false">IF(BE14="x","x",IF(BE14="-","-",""))</f>
        <v/>
      </c>
      <c r="CN14" s="2" t="str">
        <f aca="false">IF(BF14="x","x",IF(BF14="-","-",""))</f>
        <v/>
      </c>
      <c r="CO14" s="2" t="str">
        <f aca="false">IF(BG14="x","x",IF(BG14="-","-",""))</f>
        <v/>
      </c>
      <c r="CP14" s="2" t="str">
        <f aca="false">IF(BH14="x","x",IF(BH14="-","-",""))</f>
        <v/>
      </c>
      <c r="CQ14" s="2" t="str">
        <f aca="false">IF(BI14="x","x",IF(BI14="-","-",""))</f>
        <v/>
      </c>
      <c r="CR14" s="2" t="str">
        <f aca="false">IF(BJ14="x","x",IF(BJ14="-","-",""))</f>
        <v/>
      </c>
      <c r="CS14" s="2" t="str">
        <f aca="false">IF(BK14="x","x",IF(BK14="-","-",""))</f>
        <v/>
      </c>
      <c r="CT14" s="2" t="str">
        <f aca="false">IF(BL14="x","x",IF(BL14="-","-",""))</f>
        <v/>
      </c>
      <c r="CU14" s="2" t="str">
        <f aca="false">IF(BM14="x","x",IF(BM14="-","-",""))</f>
        <v/>
      </c>
      <c r="CV14" s="2" t="str">
        <f aca="false">IF(BN14="x","x",IF(BN14="-","-",""))</f>
        <v/>
      </c>
      <c r="CW14" s="2" t="str">
        <f aca="false">IF(BO14="x","x",IF(BO14="-","-",""))</f>
        <v/>
      </c>
      <c r="CX14" s="2" t="str">
        <f aca="false">IF(BP14="x","x",IF(BP14="-","-",""))</f>
        <v/>
      </c>
      <c r="CZ14" s="2" t="str">
        <f aca="false">IF(P14="x","x",IF(P14="-","-",""))</f>
        <v>-</v>
      </c>
      <c r="DA14" s="2" t="str">
        <f aca="false">IF(Q14="x","x",IF(Q14="-","-",""))</f>
        <v>-</v>
      </c>
      <c r="DB14" s="2" t="str">
        <f aca="false">IF(R14="x","x",IF(R14="-","-",""))</f>
        <v>-</v>
      </c>
      <c r="DC14" s="2" t="str">
        <f aca="false">IF(S14="x","x",IF(S14="-","-",""))</f>
        <v>-</v>
      </c>
      <c r="DD14" s="2" t="str">
        <f aca="false">IF(T14="x","x",IF(T14="-","-",""))</f>
        <v>-</v>
      </c>
      <c r="DE14" s="2" t="str">
        <f aca="false">IF(U14="x","x",IF(U14="-","-",""))</f>
        <v>-</v>
      </c>
      <c r="DF14" s="2" t="str">
        <f aca="false">IF(V14="x","x",IF(V14="-","-",""))</f>
        <v>-</v>
      </c>
      <c r="DG14" s="2" t="str">
        <f aca="false">IF(W14="x","x",IF(W14="-","-",""))</f>
        <v>-</v>
      </c>
      <c r="DH14" s="2" t="str">
        <f aca="false">IF(X14="x","x",IF(X14="-","-",""))</f>
        <v>-</v>
      </c>
      <c r="DI14" s="2" t="str">
        <f aca="false">IF(Y14="x","x",IF(Y14="-","-",""))</f>
        <v>-</v>
      </c>
      <c r="DJ14" s="2" t="str">
        <f aca="false">IF(Z14="x","x",IF(Z14="-","-",""))</f>
        <v>-</v>
      </c>
      <c r="DK14" s="2" t="str">
        <f aca="false">IF(AA14="x","x",IF(AA14="-","-",""))</f>
        <v>-</v>
      </c>
      <c r="DL14" s="10"/>
      <c r="DM14" s="2" t="str">
        <f aca="false">IF(AC14="x","x",IF(AC14="-","-",""))</f>
        <v>-</v>
      </c>
      <c r="DN14" s="2" t="str">
        <f aca="false">IF(AD14="x","x",IF(AD14="-","-",""))</f>
        <v>-</v>
      </c>
      <c r="DO14" s="2" t="str">
        <f aca="false">IF(AE14="x","x",IF(AE14="-","-",""))</f>
        <v>-</v>
      </c>
      <c r="DP14" s="2" t="str">
        <f aca="false">IF(AF14="x","x",IF(AF14="-","-",""))</f>
        <v>-</v>
      </c>
      <c r="DQ14" s="2" t="str">
        <f aca="false">IF(AG14="x","x",IF(AG14="-","-",""))</f>
        <v>-</v>
      </c>
      <c r="DR14" s="2" t="str">
        <f aca="false">IF(AH14="x","x",IF(AH14="-","-",""))</f>
        <v>-</v>
      </c>
      <c r="DS14" s="2" t="str">
        <f aca="false">IF(AI14="x","x",IF(AI14="-","-",""))</f>
        <v>-</v>
      </c>
      <c r="DT14" s="2" t="str">
        <f aca="false">IF(AJ14="x","x",IF(AJ14="-","-",""))</f>
        <v>-</v>
      </c>
      <c r="DU14" s="2" t="str">
        <f aca="false">IF(AK14="x","x",IF(AK14="-","-",""))</f>
        <v>-</v>
      </c>
      <c r="DV14" s="2" t="str">
        <f aca="false">IF(AL14="x","x",IF(AL14="-","-",""))</f>
        <v>-</v>
      </c>
      <c r="DW14" s="2" t="str">
        <f aca="false">IF(AM14="x","x",IF(AM14="-","-",""))</f>
        <v>-</v>
      </c>
      <c r="DX14" s="2" t="str">
        <f aca="false">IF(AN14="x","x",IF(AN14="-","-",""))</f>
        <v>-</v>
      </c>
    </row>
    <row r="15" customFormat="false" ht="13.8" hidden="false" customHeight="false" outlineLevel="0" collapsed="false">
      <c r="A15" s="10" t="s">
        <v>73</v>
      </c>
      <c r="B15" s="2" t="n">
        <v>14</v>
      </c>
      <c r="C15" s="1" t="s">
        <v>91</v>
      </c>
      <c r="D15" s="10" t="s">
        <v>92</v>
      </c>
      <c r="E15" s="10" t="s">
        <v>76</v>
      </c>
      <c r="F15" s="10" t="n">
        <v>14</v>
      </c>
      <c r="G15" s="10" t="s">
        <v>77</v>
      </c>
      <c r="H15" s="10" t="s">
        <v>77</v>
      </c>
      <c r="I15" s="10" t="s">
        <v>77</v>
      </c>
      <c r="J15" s="10" t="s">
        <v>77</v>
      </c>
      <c r="K15" s="10" t="s">
        <v>77</v>
      </c>
      <c r="L15" s="10" t="s">
        <v>77</v>
      </c>
      <c r="M15" s="2" t="n">
        <v>20</v>
      </c>
      <c r="N15" s="10" t="s">
        <v>77</v>
      </c>
      <c r="O15" s="10"/>
      <c r="P15" s="10" t="s">
        <v>77</v>
      </c>
      <c r="Q15" s="10" t="s">
        <v>77</v>
      </c>
      <c r="R15" s="10" t="s">
        <v>77</v>
      </c>
      <c r="S15" s="10" t="s">
        <v>77</v>
      </c>
      <c r="T15" s="10" t="s">
        <v>77</v>
      </c>
      <c r="U15" s="10" t="s">
        <v>77</v>
      </c>
      <c r="V15" s="10" t="s">
        <v>77</v>
      </c>
      <c r="W15" s="10" t="s">
        <v>77</v>
      </c>
      <c r="X15" s="10" t="s">
        <v>77</v>
      </c>
      <c r="Y15" s="10" t="s">
        <v>77</v>
      </c>
      <c r="Z15" s="10" t="s">
        <v>77</v>
      </c>
      <c r="AA15" s="10" t="s">
        <v>77</v>
      </c>
      <c r="AB15" s="10"/>
      <c r="AC15" s="10" t="s">
        <v>77</v>
      </c>
      <c r="AD15" s="10" t="s">
        <v>77</v>
      </c>
      <c r="AE15" s="10" t="s">
        <v>77</v>
      </c>
      <c r="AF15" s="10" t="s">
        <v>77</v>
      </c>
      <c r="AG15" s="10" t="s">
        <v>77</v>
      </c>
      <c r="AH15" s="10" t="s">
        <v>77</v>
      </c>
      <c r="AI15" s="10" t="s">
        <v>77</v>
      </c>
      <c r="AJ15" s="10" t="s">
        <v>77</v>
      </c>
      <c r="AK15" s="10" t="s">
        <v>77</v>
      </c>
      <c r="AL15" s="10" t="s">
        <v>77</v>
      </c>
      <c r="AM15" s="10" t="s">
        <v>77</v>
      </c>
      <c r="AN15" s="10" t="s">
        <v>77</v>
      </c>
      <c r="AO15" s="10"/>
      <c r="AP15" s="10" t="s">
        <v>73</v>
      </c>
      <c r="AQ15" s="10" t="s">
        <v>73</v>
      </c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R15" s="10" t="s">
        <v>78</v>
      </c>
      <c r="BS15" s="10"/>
      <c r="BT15" s="10"/>
      <c r="BU15" s="10"/>
      <c r="BV15" s="10"/>
      <c r="BW15" s="10"/>
      <c r="BX15" s="10"/>
      <c r="BY15" s="10"/>
      <c r="CA15" s="2" t="str">
        <f aca="false">IF(AS15="x","x",IF(AS15="-","-",""))</f>
        <v/>
      </c>
      <c r="CB15" s="2" t="str">
        <f aca="false">IF(AT15="x","x",IF(AT15="-","-",""))</f>
        <v/>
      </c>
      <c r="CC15" s="2" t="str">
        <f aca="false">IF(AU15="x","x",IF(AU15="-","-",""))</f>
        <v/>
      </c>
      <c r="CD15" s="2" t="str">
        <f aca="false">IF(AV15="x","x",IF(AV15="-","-",""))</f>
        <v/>
      </c>
      <c r="CE15" s="2" t="str">
        <f aca="false">IF(AW15="x","x",IF(AW15="-","-",""))</f>
        <v/>
      </c>
      <c r="CF15" s="2" t="str">
        <f aca="false">IF(AX15="x","x",IF(AX15="-","-",""))</f>
        <v/>
      </c>
      <c r="CG15" s="2" t="str">
        <f aca="false">IF(AY15="x","x",IF(AY15="-","-",""))</f>
        <v/>
      </c>
      <c r="CH15" s="2" t="str">
        <f aca="false">IF(AZ15="x","x",IF(AZ15="-","-",""))</f>
        <v/>
      </c>
      <c r="CI15" s="2" t="str">
        <f aca="false">IF(BA15="x","x",IF(BA15="-","-",""))</f>
        <v/>
      </c>
      <c r="CJ15" s="2" t="str">
        <f aca="false">IF(BB15="x","x",IF(BB15="-","-",""))</f>
        <v/>
      </c>
      <c r="CK15" s="2" t="str">
        <f aca="false">IF(BC15="x","x",IF(BC15="-","-",""))</f>
        <v/>
      </c>
      <c r="CL15" s="2" t="str">
        <f aca="false">IF(BD15="x","x",IF(BD15="-","-",""))</f>
        <v/>
      </c>
      <c r="CM15" s="2" t="str">
        <f aca="false">IF(BE15="x","x",IF(BE15="-","-",""))</f>
        <v/>
      </c>
      <c r="CN15" s="2" t="str">
        <f aca="false">IF(BF15="x","x",IF(BF15="-","-",""))</f>
        <v/>
      </c>
      <c r="CO15" s="2" t="str">
        <f aca="false">IF(BG15="x","x",IF(BG15="-","-",""))</f>
        <v/>
      </c>
      <c r="CP15" s="2" t="str">
        <f aca="false">IF(BH15="x","x",IF(BH15="-","-",""))</f>
        <v/>
      </c>
      <c r="CQ15" s="2" t="str">
        <f aca="false">IF(BI15="x","x",IF(BI15="-","-",""))</f>
        <v/>
      </c>
      <c r="CR15" s="2" t="str">
        <f aca="false">IF(BJ15="x","x",IF(BJ15="-","-",""))</f>
        <v/>
      </c>
      <c r="CS15" s="2" t="str">
        <f aca="false">IF(BK15="x","x",IF(BK15="-","-",""))</f>
        <v/>
      </c>
      <c r="CT15" s="2" t="str">
        <f aca="false">IF(BL15="x","x",IF(BL15="-","-",""))</f>
        <v/>
      </c>
      <c r="CU15" s="2" t="str">
        <f aca="false">IF(BM15="x","x",IF(BM15="-","-",""))</f>
        <v/>
      </c>
      <c r="CV15" s="2" t="str">
        <f aca="false">IF(BN15="x","x",IF(BN15="-","-",""))</f>
        <v/>
      </c>
      <c r="CW15" s="2" t="str">
        <f aca="false">IF(BO15="x","x",IF(BO15="-","-",""))</f>
        <v/>
      </c>
      <c r="CX15" s="2" t="str">
        <f aca="false">IF(BP15="x","x",IF(BP15="-","-",""))</f>
        <v/>
      </c>
      <c r="CZ15" s="2" t="str">
        <f aca="false">IF(P15="x","x",IF(P15="-","-",""))</f>
        <v>-</v>
      </c>
      <c r="DA15" s="2" t="str">
        <f aca="false">IF(Q15="x","x",IF(Q15="-","-",""))</f>
        <v>-</v>
      </c>
      <c r="DB15" s="2" t="str">
        <f aca="false">IF(R15="x","x",IF(R15="-","-",""))</f>
        <v>-</v>
      </c>
      <c r="DC15" s="2" t="str">
        <f aca="false">IF(S15="x","x",IF(S15="-","-",""))</f>
        <v>-</v>
      </c>
      <c r="DD15" s="2" t="str">
        <f aca="false">IF(T15="x","x",IF(T15="-","-",""))</f>
        <v>-</v>
      </c>
      <c r="DE15" s="2" t="str">
        <f aca="false">IF(U15="x","x",IF(U15="-","-",""))</f>
        <v>-</v>
      </c>
      <c r="DF15" s="2" t="str">
        <f aca="false">IF(V15="x","x",IF(V15="-","-",""))</f>
        <v>-</v>
      </c>
      <c r="DG15" s="2" t="str">
        <f aca="false">IF(W15="x","x",IF(W15="-","-",""))</f>
        <v>-</v>
      </c>
      <c r="DH15" s="2" t="str">
        <f aca="false">IF(X15="x","x",IF(X15="-","-",""))</f>
        <v>-</v>
      </c>
      <c r="DI15" s="2" t="str">
        <f aca="false">IF(Y15="x","x",IF(Y15="-","-",""))</f>
        <v>-</v>
      </c>
      <c r="DJ15" s="2" t="str">
        <f aca="false">IF(Z15="x","x",IF(Z15="-","-",""))</f>
        <v>-</v>
      </c>
      <c r="DK15" s="2" t="str">
        <f aca="false">IF(AA15="x","x",IF(AA15="-","-",""))</f>
        <v>-</v>
      </c>
      <c r="DL15" s="10"/>
      <c r="DM15" s="2" t="str">
        <f aca="false">IF(AC15="x","x",IF(AC15="-","-",""))</f>
        <v>-</v>
      </c>
      <c r="DN15" s="2" t="str">
        <f aca="false">IF(AD15="x","x",IF(AD15="-","-",""))</f>
        <v>-</v>
      </c>
      <c r="DO15" s="2" t="str">
        <f aca="false">IF(AE15="x","x",IF(AE15="-","-",""))</f>
        <v>-</v>
      </c>
      <c r="DP15" s="2" t="str">
        <f aca="false">IF(AF15="x","x",IF(AF15="-","-",""))</f>
        <v>-</v>
      </c>
      <c r="DQ15" s="2" t="str">
        <f aca="false">IF(AG15="x","x",IF(AG15="-","-",""))</f>
        <v>-</v>
      </c>
      <c r="DR15" s="2" t="str">
        <f aca="false">IF(AH15="x","x",IF(AH15="-","-",""))</f>
        <v>-</v>
      </c>
      <c r="DS15" s="2" t="str">
        <f aca="false">IF(AI15="x","x",IF(AI15="-","-",""))</f>
        <v>-</v>
      </c>
      <c r="DT15" s="2" t="str">
        <f aca="false">IF(AJ15="x","x",IF(AJ15="-","-",""))</f>
        <v>-</v>
      </c>
      <c r="DU15" s="2" t="str">
        <f aca="false">IF(AK15="x","x",IF(AK15="-","-",""))</f>
        <v>-</v>
      </c>
      <c r="DV15" s="2" t="str">
        <f aca="false">IF(AL15="x","x",IF(AL15="-","-",""))</f>
        <v>-</v>
      </c>
      <c r="DW15" s="2" t="str">
        <f aca="false">IF(AM15="x","x",IF(AM15="-","-",""))</f>
        <v>-</v>
      </c>
      <c r="DX15" s="2" t="str">
        <f aca="false">IF(AN15="x","x",IF(AN15="-","-",""))</f>
        <v>-</v>
      </c>
    </row>
    <row r="16" customFormat="false" ht="13.8" hidden="false" customHeight="false" outlineLevel="0" collapsed="false">
      <c r="A16" s="10" t="s">
        <v>73</v>
      </c>
      <c r="B16" s="2" t="n">
        <v>15</v>
      </c>
      <c r="C16" s="11" t="s">
        <v>91</v>
      </c>
      <c r="D16" s="10" t="s">
        <v>92</v>
      </c>
      <c r="E16" s="10" t="s">
        <v>76</v>
      </c>
      <c r="F16" s="10" t="n">
        <v>15</v>
      </c>
      <c r="G16" s="10" t="s">
        <v>77</v>
      </c>
      <c r="H16" s="10" t="s">
        <v>77</v>
      </c>
      <c r="I16" s="10" t="s">
        <v>77</v>
      </c>
      <c r="J16" s="10" t="s">
        <v>77</v>
      </c>
      <c r="K16" s="10" t="s">
        <v>77</v>
      </c>
      <c r="L16" s="10" t="s">
        <v>77</v>
      </c>
      <c r="M16" s="2" t="n">
        <v>20</v>
      </c>
      <c r="N16" s="10" t="s">
        <v>77</v>
      </c>
      <c r="O16" s="10"/>
      <c r="P16" s="10" t="s">
        <v>77</v>
      </c>
      <c r="Q16" s="10" t="s">
        <v>77</v>
      </c>
      <c r="R16" s="10" t="s">
        <v>77</v>
      </c>
      <c r="S16" s="10" t="s">
        <v>77</v>
      </c>
      <c r="T16" s="10" t="s">
        <v>77</v>
      </c>
      <c r="U16" s="10" t="s">
        <v>77</v>
      </c>
      <c r="V16" s="10" t="s">
        <v>77</v>
      </c>
      <c r="W16" s="10" t="s">
        <v>77</v>
      </c>
      <c r="X16" s="10" t="s">
        <v>77</v>
      </c>
      <c r="Y16" s="10" t="s">
        <v>77</v>
      </c>
      <c r="Z16" s="10" t="s">
        <v>77</v>
      </c>
      <c r="AA16" s="10" t="s">
        <v>77</v>
      </c>
      <c r="AB16" s="10"/>
      <c r="AC16" s="10" t="s">
        <v>77</v>
      </c>
      <c r="AD16" s="10" t="s">
        <v>77</v>
      </c>
      <c r="AE16" s="10" t="s">
        <v>77</v>
      </c>
      <c r="AF16" s="10" t="s">
        <v>77</v>
      </c>
      <c r="AG16" s="10" t="s">
        <v>77</v>
      </c>
      <c r="AH16" s="10" t="s">
        <v>77</v>
      </c>
      <c r="AI16" s="10" t="s">
        <v>77</v>
      </c>
      <c r="AJ16" s="10" t="s">
        <v>77</v>
      </c>
      <c r="AK16" s="10" t="s">
        <v>77</v>
      </c>
      <c r="AL16" s="10" t="s">
        <v>77</v>
      </c>
      <c r="AM16" s="10" t="s">
        <v>77</v>
      </c>
      <c r="AN16" s="10" t="s">
        <v>77</v>
      </c>
      <c r="AO16" s="10"/>
      <c r="AP16" s="10" t="s">
        <v>73</v>
      </c>
      <c r="AQ16" s="10" t="s">
        <v>73</v>
      </c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R16" s="10" t="s">
        <v>78</v>
      </c>
      <c r="BS16" s="10"/>
      <c r="BT16" s="10"/>
      <c r="BU16" s="10"/>
      <c r="BV16" s="10"/>
      <c r="BW16" s="10"/>
      <c r="BX16" s="10"/>
      <c r="BY16" s="10"/>
      <c r="CA16" s="2" t="str">
        <f aca="false">IF(AS16="x","x",IF(AS16="-","-",""))</f>
        <v/>
      </c>
      <c r="CB16" s="2" t="str">
        <f aca="false">IF(AT16="x","x",IF(AT16="-","-",""))</f>
        <v/>
      </c>
      <c r="CC16" s="2" t="str">
        <f aca="false">IF(AU16="x","x",IF(AU16="-","-",""))</f>
        <v/>
      </c>
      <c r="CD16" s="2" t="str">
        <f aca="false">IF(AV16="x","x",IF(AV16="-","-",""))</f>
        <v/>
      </c>
      <c r="CE16" s="2" t="str">
        <f aca="false">IF(AW16="x","x",IF(AW16="-","-",""))</f>
        <v/>
      </c>
      <c r="CF16" s="2" t="str">
        <f aca="false">IF(AX16="x","x",IF(AX16="-","-",""))</f>
        <v/>
      </c>
      <c r="CG16" s="2" t="str">
        <f aca="false">IF(AY16="x","x",IF(AY16="-","-",""))</f>
        <v/>
      </c>
      <c r="CH16" s="2" t="str">
        <f aca="false">IF(AZ16="x","x",IF(AZ16="-","-",""))</f>
        <v/>
      </c>
      <c r="CI16" s="2" t="str">
        <f aca="false">IF(BA16="x","x",IF(BA16="-","-",""))</f>
        <v/>
      </c>
      <c r="CJ16" s="2" t="str">
        <f aca="false">IF(BB16="x","x",IF(BB16="-","-",""))</f>
        <v/>
      </c>
      <c r="CK16" s="2" t="str">
        <f aca="false">IF(BC16="x","x",IF(BC16="-","-",""))</f>
        <v/>
      </c>
      <c r="CL16" s="2" t="str">
        <f aca="false">IF(BD16="x","x",IF(BD16="-","-",""))</f>
        <v/>
      </c>
      <c r="CM16" s="2" t="str">
        <f aca="false">IF(BE16="x","x",IF(BE16="-","-",""))</f>
        <v/>
      </c>
      <c r="CN16" s="2" t="str">
        <f aca="false">IF(BF16="x","x",IF(BF16="-","-",""))</f>
        <v/>
      </c>
      <c r="CO16" s="2" t="str">
        <f aca="false">IF(BG16="x","x",IF(BG16="-","-",""))</f>
        <v/>
      </c>
      <c r="CP16" s="2" t="str">
        <f aca="false">IF(BH16="x","x",IF(BH16="-","-",""))</f>
        <v/>
      </c>
      <c r="CQ16" s="2" t="str">
        <f aca="false">IF(BI16="x","x",IF(BI16="-","-",""))</f>
        <v/>
      </c>
      <c r="CR16" s="2" t="str">
        <f aca="false">IF(BJ16="x","x",IF(BJ16="-","-",""))</f>
        <v/>
      </c>
      <c r="CS16" s="2" t="str">
        <f aca="false">IF(BK16="x","x",IF(BK16="-","-",""))</f>
        <v/>
      </c>
      <c r="CT16" s="2" t="str">
        <f aca="false">IF(BL16="x","x",IF(BL16="-","-",""))</f>
        <v/>
      </c>
      <c r="CU16" s="2" t="str">
        <f aca="false">IF(BM16="x","x",IF(BM16="-","-",""))</f>
        <v/>
      </c>
      <c r="CV16" s="2" t="str">
        <f aca="false">IF(BN16="x","x",IF(BN16="-","-",""))</f>
        <v/>
      </c>
      <c r="CW16" s="2" t="str">
        <f aca="false">IF(BO16="x","x",IF(BO16="-","-",""))</f>
        <v/>
      </c>
      <c r="CX16" s="2" t="str">
        <f aca="false">IF(BP16="x","x",IF(BP16="-","-",""))</f>
        <v/>
      </c>
      <c r="CZ16" s="2" t="str">
        <f aca="false">IF(P16="x","x",IF(P16="-","-",""))</f>
        <v>-</v>
      </c>
      <c r="DA16" s="2" t="str">
        <f aca="false">IF(Q16="x","x",IF(Q16="-","-",""))</f>
        <v>-</v>
      </c>
      <c r="DB16" s="2" t="str">
        <f aca="false">IF(R16="x","x",IF(R16="-","-",""))</f>
        <v>-</v>
      </c>
      <c r="DC16" s="2" t="str">
        <f aca="false">IF(S16="x","x",IF(S16="-","-",""))</f>
        <v>-</v>
      </c>
      <c r="DD16" s="2" t="str">
        <f aca="false">IF(T16="x","x",IF(T16="-","-",""))</f>
        <v>-</v>
      </c>
      <c r="DE16" s="2" t="str">
        <f aca="false">IF(U16="x","x",IF(U16="-","-",""))</f>
        <v>-</v>
      </c>
      <c r="DF16" s="2" t="str">
        <f aca="false">IF(V16="x","x",IF(V16="-","-",""))</f>
        <v>-</v>
      </c>
      <c r="DG16" s="2" t="str">
        <f aca="false">IF(W16="x","x",IF(W16="-","-",""))</f>
        <v>-</v>
      </c>
      <c r="DH16" s="2" t="str">
        <f aca="false">IF(X16="x","x",IF(X16="-","-",""))</f>
        <v>-</v>
      </c>
      <c r="DI16" s="2" t="str">
        <f aca="false">IF(Y16="x","x",IF(Y16="-","-",""))</f>
        <v>-</v>
      </c>
      <c r="DJ16" s="2" t="str">
        <f aca="false">IF(Z16="x","x",IF(Z16="-","-",""))</f>
        <v>-</v>
      </c>
      <c r="DK16" s="2" t="str">
        <f aca="false">IF(AA16="x","x",IF(AA16="-","-",""))</f>
        <v>-</v>
      </c>
      <c r="DL16" s="10"/>
      <c r="DM16" s="2" t="str">
        <f aca="false">IF(AC16="x","x",IF(AC16="-","-",""))</f>
        <v>-</v>
      </c>
      <c r="DN16" s="2" t="str">
        <f aca="false">IF(AD16="x","x",IF(AD16="-","-",""))</f>
        <v>-</v>
      </c>
      <c r="DO16" s="2" t="str">
        <f aca="false">IF(AE16="x","x",IF(AE16="-","-",""))</f>
        <v>-</v>
      </c>
      <c r="DP16" s="2" t="str">
        <f aca="false">IF(AF16="x","x",IF(AF16="-","-",""))</f>
        <v>-</v>
      </c>
      <c r="DQ16" s="2" t="str">
        <f aca="false">IF(AG16="x","x",IF(AG16="-","-",""))</f>
        <v>-</v>
      </c>
      <c r="DR16" s="2" t="str">
        <f aca="false">IF(AH16="x","x",IF(AH16="-","-",""))</f>
        <v>-</v>
      </c>
      <c r="DS16" s="2" t="str">
        <f aca="false">IF(AI16="x","x",IF(AI16="-","-",""))</f>
        <v>-</v>
      </c>
      <c r="DT16" s="2" t="str">
        <f aca="false">IF(AJ16="x","x",IF(AJ16="-","-",""))</f>
        <v>-</v>
      </c>
      <c r="DU16" s="2" t="str">
        <f aca="false">IF(AK16="x","x",IF(AK16="-","-",""))</f>
        <v>-</v>
      </c>
      <c r="DV16" s="2" t="str">
        <f aca="false">IF(AL16="x","x",IF(AL16="-","-",""))</f>
        <v>-</v>
      </c>
      <c r="DW16" s="2" t="str">
        <f aca="false">IF(AM16="x","x",IF(AM16="-","-",""))</f>
        <v>-</v>
      </c>
      <c r="DX16" s="2" t="str">
        <f aca="false">IF(AN16="x","x",IF(AN16="-","-",""))</f>
        <v>-</v>
      </c>
    </row>
    <row r="17" customFormat="false" ht="13.8" hidden="false" customHeight="false" outlineLevel="0" collapsed="false">
      <c r="A17" s="10" t="s">
        <v>73</v>
      </c>
      <c r="B17" s="2" t="n">
        <v>16</v>
      </c>
      <c r="C17" s="11" t="s">
        <v>91</v>
      </c>
      <c r="D17" s="10" t="s">
        <v>92</v>
      </c>
      <c r="E17" s="10" t="s">
        <v>76</v>
      </c>
      <c r="F17" s="10" t="n">
        <v>16</v>
      </c>
      <c r="G17" s="10" t="s">
        <v>77</v>
      </c>
      <c r="H17" s="10" t="s">
        <v>77</v>
      </c>
      <c r="I17" s="10" t="s">
        <v>77</v>
      </c>
      <c r="J17" s="10" t="s">
        <v>77</v>
      </c>
      <c r="K17" s="10" t="s">
        <v>77</v>
      </c>
      <c r="L17" s="10" t="s">
        <v>77</v>
      </c>
      <c r="M17" s="2" t="n">
        <v>20</v>
      </c>
      <c r="N17" s="10" t="s">
        <v>77</v>
      </c>
      <c r="O17" s="10"/>
      <c r="P17" s="10" t="s">
        <v>77</v>
      </c>
      <c r="Q17" s="10" t="s">
        <v>77</v>
      </c>
      <c r="R17" s="10" t="s">
        <v>77</v>
      </c>
      <c r="S17" s="10" t="s">
        <v>77</v>
      </c>
      <c r="T17" s="10" t="s">
        <v>77</v>
      </c>
      <c r="U17" s="10" t="s">
        <v>77</v>
      </c>
      <c r="V17" s="10" t="s">
        <v>77</v>
      </c>
      <c r="W17" s="10" t="s">
        <v>77</v>
      </c>
      <c r="X17" s="10" t="s">
        <v>77</v>
      </c>
      <c r="Y17" s="10" t="s">
        <v>77</v>
      </c>
      <c r="Z17" s="10" t="s">
        <v>77</v>
      </c>
      <c r="AA17" s="10" t="s">
        <v>77</v>
      </c>
      <c r="AB17" s="10"/>
      <c r="AC17" s="10" t="s">
        <v>77</v>
      </c>
      <c r="AD17" s="10" t="s">
        <v>77</v>
      </c>
      <c r="AE17" s="10" t="s">
        <v>77</v>
      </c>
      <c r="AF17" s="10" t="s">
        <v>77</v>
      </c>
      <c r="AG17" s="10" t="s">
        <v>77</v>
      </c>
      <c r="AH17" s="10" t="s">
        <v>77</v>
      </c>
      <c r="AI17" s="10" t="s">
        <v>77</v>
      </c>
      <c r="AJ17" s="10" t="s">
        <v>77</v>
      </c>
      <c r="AK17" s="10" t="s">
        <v>77</v>
      </c>
      <c r="AL17" s="10" t="s">
        <v>77</v>
      </c>
      <c r="AM17" s="10" t="s">
        <v>77</v>
      </c>
      <c r="AN17" s="10" t="s">
        <v>77</v>
      </c>
      <c r="AO17" s="10"/>
      <c r="AP17" s="10" t="s">
        <v>73</v>
      </c>
      <c r="AQ17" s="10" t="s">
        <v>73</v>
      </c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R17" s="10" t="s">
        <v>78</v>
      </c>
      <c r="BS17" s="10"/>
      <c r="BT17" s="10"/>
      <c r="BU17" s="10"/>
      <c r="BV17" s="10"/>
      <c r="BW17" s="10"/>
      <c r="BX17" s="10"/>
      <c r="BY17" s="10"/>
      <c r="CA17" s="2" t="str">
        <f aca="false">IF(AS17="x","x",IF(AS17="-","-",""))</f>
        <v/>
      </c>
      <c r="CB17" s="2" t="str">
        <f aca="false">IF(AT17="x","x",IF(AT17="-","-",""))</f>
        <v/>
      </c>
      <c r="CC17" s="2" t="str">
        <f aca="false">IF(AU17="x","x",IF(AU17="-","-",""))</f>
        <v/>
      </c>
      <c r="CD17" s="2" t="str">
        <f aca="false">IF(AV17="x","x",IF(AV17="-","-",""))</f>
        <v/>
      </c>
      <c r="CE17" s="2" t="str">
        <f aca="false">IF(AW17="x","x",IF(AW17="-","-",""))</f>
        <v/>
      </c>
      <c r="CF17" s="2" t="str">
        <f aca="false">IF(AX17="x","x",IF(AX17="-","-",""))</f>
        <v/>
      </c>
      <c r="CG17" s="2" t="str">
        <f aca="false">IF(AY17="x","x",IF(AY17="-","-",""))</f>
        <v/>
      </c>
      <c r="CH17" s="2" t="str">
        <f aca="false">IF(AZ17="x","x",IF(AZ17="-","-",""))</f>
        <v/>
      </c>
      <c r="CI17" s="2" t="str">
        <f aca="false">IF(BA17="x","x",IF(BA17="-","-",""))</f>
        <v/>
      </c>
      <c r="CJ17" s="2" t="str">
        <f aca="false">IF(BB17="x","x",IF(BB17="-","-",""))</f>
        <v/>
      </c>
      <c r="CK17" s="2" t="str">
        <f aca="false">IF(BC17="x","x",IF(BC17="-","-",""))</f>
        <v/>
      </c>
      <c r="CL17" s="2" t="str">
        <f aca="false">IF(BD17="x","x",IF(BD17="-","-",""))</f>
        <v/>
      </c>
      <c r="CM17" s="2" t="str">
        <f aca="false">IF(BE17="x","x",IF(BE17="-","-",""))</f>
        <v/>
      </c>
      <c r="CN17" s="2" t="str">
        <f aca="false">IF(BF17="x","x",IF(BF17="-","-",""))</f>
        <v/>
      </c>
      <c r="CO17" s="2" t="str">
        <f aca="false">IF(BG17="x","x",IF(BG17="-","-",""))</f>
        <v/>
      </c>
      <c r="CP17" s="2" t="str">
        <f aca="false">IF(BH17="x","x",IF(BH17="-","-",""))</f>
        <v/>
      </c>
      <c r="CQ17" s="2" t="str">
        <f aca="false">IF(BI17="x","x",IF(BI17="-","-",""))</f>
        <v/>
      </c>
      <c r="CR17" s="2" t="str">
        <f aca="false">IF(BJ17="x","x",IF(BJ17="-","-",""))</f>
        <v/>
      </c>
      <c r="CS17" s="2" t="str">
        <f aca="false">IF(BK17="x","x",IF(BK17="-","-",""))</f>
        <v/>
      </c>
      <c r="CT17" s="2" t="str">
        <f aca="false">IF(BL17="x","x",IF(BL17="-","-",""))</f>
        <v/>
      </c>
      <c r="CU17" s="2" t="str">
        <f aca="false">IF(BM17="x","x",IF(BM17="-","-",""))</f>
        <v/>
      </c>
      <c r="CV17" s="2" t="str">
        <f aca="false">IF(BN17="x","x",IF(BN17="-","-",""))</f>
        <v/>
      </c>
      <c r="CW17" s="2" t="str">
        <f aca="false">IF(BO17="x","x",IF(BO17="-","-",""))</f>
        <v/>
      </c>
      <c r="CX17" s="2" t="str">
        <f aca="false">IF(BP17="x","x",IF(BP17="-","-",""))</f>
        <v/>
      </c>
      <c r="CZ17" s="2" t="str">
        <f aca="false">IF(P17="x","x",IF(P17="-","-",""))</f>
        <v>-</v>
      </c>
      <c r="DA17" s="2" t="str">
        <f aca="false">IF(Q17="x","x",IF(Q17="-","-",""))</f>
        <v>-</v>
      </c>
      <c r="DB17" s="2" t="str">
        <f aca="false">IF(R17="x","x",IF(R17="-","-",""))</f>
        <v>-</v>
      </c>
      <c r="DC17" s="2" t="str">
        <f aca="false">IF(S17="x","x",IF(S17="-","-",""))</f>
        <v>-</v>
      </c>
      <c r="DD17" s="2" t="str">
        <f aca="false">IF(T17="x","x",IF(T17="-","-",""))</f>
        <v>-</v>
      </c>
      <c r="DE17" s="2" t="str">
        <f aca="false">IF(U17="x","x",IF(U17="-","-",""))</f>
        <v>-</v>
      </c>
      <c r="DF17" s="2" t="str">
        <f aca="false">IF(V17="x","x",IF(V17="-","-",""))</f>
        <v>-</v>
      </c>
      <c r="DG17" s="2" t="str">
        <f aca="false">IF(W17="x","x",IF(W17="-","-",""))</f>
        <v>-</v>
      </c>
      <c r="DH17" s="2" t="str">
        <f aca="false">IF(X17="x","x",IF(X17="-","-",""))</f>
        <v>-</v>
      </c>
      <c r="DI17" s="2" t="str">
        <f aca="false">IF(Y17="x","x",IF(Y17="-","-",""))</f>
        <v>-</v>
      </c>
      <c r="DJ17" s="2" t="str">
        <f aca="false">IF(Z17="x","x",IF(Z17="-","-",""))</f>
        <v>-</v>
      </c>
      <c r="DK17" s="2" t="str">
        <f aca="false">IF(AA17="x","x",IF(AA17="-","-",""))</f>
        <v>-</v>
      </c>
      <c r="DL17" s="10"/>
      <c r="DM17" s="2" t="str">
        <f aca="false">IF(AC17="x","x",IF(AC17="-","-",""))</f>
        <v>-</v>
      </c>
      <c r="DN17" s="2" t="str">
        <f aca="false">IF(AD17="x","x",IF(AD17="-","-",""))</f>
        <v>-</v>
      </c>
      <c r="DO17" s="2" t="str">
        <f aca="false">IF(AE17="x","x",IF(AE17="-","-",""))</f>
        <v>-</v>
      </c>
      <c r="DP17" s="2" t="str">
        <f aca="false">IF(AF17="x","x",IF(AF17="-","-",""))</f>
        <v>-</v>
      </c>
      <c r="DQ17" s="2" t="str">
        <f aca="false">IF(AG17="x","x",IF(AG17="-","-",""))</f>
        <v>-</v>
      </c>
      <c r="DR17" s="2" t="str">
        <f aca="false">IF(AH17="x","x",IF(AH17="-","-",""))</f>
        <v>-</v>
      </c>
      <c r="DS17" s="2" t="str">
        <f aca="false">IF(AI17="x","x",IF(AI17="-","-",""))</f>
        <v>-</v>
      </c>
      <c r="DT17" s="2" t="str">
        <f aca="false">IF(AJ17="x","x",IF(AJ17="-","-",""))</f>
        <v>-</v>
      </c>
      <c r="DU17" s="2" t="str">
        <f aca="false">IF(AK17="x","x",IF(AK17="-","-",""))</f>
        <v>-</v>
      </c>
      <c r="DV17" s="2" t="str">
        <f aca="false">IF(AL17="x","x",IF(AL17="-","-",""))</f>
        <v>-</v>
      </c>
      <c r="DW17" s="2" t="str">
        <f aca="false">IF(AM17="x","x",IF(AM17="-","-",""))</f>
        <v>-</v>
      </c>
      <c r="DX17" s="2" t="str">
        <f aca="false">IF(AN17="x","x",IF(AN17="-","-",""))</f>
        <v>-</v>
      </c>
    </row>
    <row r="18" customFormat="false" ht="13.8" hidden="false" customHeight="false" outlineLevel="0" collapsed="false">
      <c r="A18" s="10" t="s">
        <v>73</v>
      </c>
      <c r="B18" s="2" t="n">
        <v>17</v>
      </c>
      <c r="C18" s="11" t="s">
        <v>93</v>
      </c>
      <c r="D18" s="10" t="s">
        <v>94</v>
      </c>
      <c r="E18" s="10" t="s">
        <v>76</v>
      </c>
      <c r="F18" s="10" t="n">
        <v>17</v>
      </c>
      <c r="G18" s="10" t="s">
        <v>77</v>
      </c>
      <c r="H18" s="10" t="s">
        <v>77</v>
      </c>
      <c r="I18" s="10" t="s">
        <v>77</v>
      </c>
      <c r="J18" s="10" t="s">
        <v>77</v>
      </c>
      <c r="K18" s="10" t="s">
        <v>77</v>
      </c>
      <c r="L18" s="10" t="s">
        <v>77</v>
      </c>
      <c r="M18" s="2" t="n">
        <v>20</v>
      </c>
      <c r="N18" s="10" t="s">
        <v>77</v>
      </c>
      <c r="O18" s="10"/>
      <c r="P18" s="10" t="s">
        <v>77</v>
      </c>
      <c r="Q18" s="10" t="s">
        <v>77</v>
      </c>
      <c r="R18" s="10" t="s">
        <v>77</v>
      </c>
      <c r="S18" s="10" t="s">
        <v>77</v>
      </c>
      <c r="T18" s="10" t="s">
        <v>77</v>
      </c>
      <c r="U18" s="10" t="s">
        <v>77</v>
      </c>
      <c r="V18" s="10" t="s">
        <v>77</v>
      </c>
      <c r="W18" s="10" t="s">
        <v>77</v>
      </c>
      <c r="X18" s="10" t="s">
        <v>77</v>
      </c>
      <c r="Y18" s="10" t="s">
        <v>77</v>
      </c>
      <c r="Z18" s="10" t="s">
        <v>77</v>
      </c>
      <c r="AA18" s="10" t="s">
        <v>77</v>
      </c>
      <c r="AB18" s="10"/>
      <c r="AC18" s="10" t="s">
        <v>77</v>
      </c>
      <c r="AD18" s="10" t="s">
        <v>77</v>
      </c>
      <c r="AE18" s="10" t="s">
        <v>77</v>
      </c>
      <c r="AF18" s="10" t="s">
        <v>77</v>
      </c>
      <c r="AG18" s="10" t="s">
        <v>77</v>
      </c>
      <c r="AH18" s="10" t="s">
        <v>77</v>
      </c>
      <c r="AI18" s="10" t="s">
        <v>77</v>
      </c>
      <c r="AJ18" s="10" t="s">
        <v>77</v>
      </c>
      <c r="AK18" s="10" t="s">
        <v>77</v>
      </c>
      <c r="AL18" s="10" t="s">
        <v>77</v>
      </c>
      <c r="AM18" s="10" t="s">
        <v>77</v>
      </c>
      <c r="AN18" s="10" t="s">
        <v>77</v>
      </c>
      <c r="AO18" s="10"/>
      <c r="AP18" s="10" t="s">
        <v>73</v>
      </c>
      <c r="AQ18" s="10" t="s">
        <v>73</v>
      </c>
      <c r="AS18" s="10"/>
      <c r="AT18" s="10"/>
      <c r="AU18" s="10" t="s">
        <v>78</v>
      </c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R18" s="10" t="s">
        <v>78</v>
      </c>
      <c r="BS18" s="10"/>
      <c r="BT18" s="10"/>
      <c r="BU18" s="10"/>
      <c r="BV18" s="10"/>
      <c r="BW18" s="10"/>
      <c r="BX18" s="10"/>
      <c r="BY18" s="10"/>
      <c r="CA18" s="2" t="str">
        <f aca="false">IF(AS18="x","x",IF(AS18="-","-",""))</f>
        <v/>
      </c>
      <c r="CB18" s="2" t="str">
        <f aca="false">IF(AT18="x","x",IF(AT18="-","-",""))</f>
        <v/>
      </c>
      <c r="CC18" s="2" t="str">
        <f aca="false">IF(AU18="x","x",IF(AU18="-","-",""))</f>
        <v>x</v>
      </c>
      <c r="CD18" s="2" t="str">
        <f aca="false">IF(AV18="x","x",IF(AV18="-","-",""))</f>
        <v/>
      </c>
      <c r="CE18" s="2" t="str">
        <f aca="false">IF(AW18="x","x",IF(AW18="-","-",""))</f>
        <v/>
      </c>
      <c r="CF18" s="2" t="str">
        <f aca="false">IF(AX18="x","x",IF(AX18="-","-",""))</f>
        <v/>
      </c>
      <c r="CG18" s="2" t="str">
        <f aca="false">IF(AY18="x","x",IF(AY18="-","-",""))</f>
        <v/>
      </c>
      <c r="CH18" s="2" t="str">
        <f aca="false">IF(AZ18="x","x",IF(AZ18="-","-",""))</f>
        <v/>
      </c>
      <c r="CI18" s="2" t="str">
        <f aca="false">IF(BA18="x","x",IF(BA18="-","-",""))</f>
        <v/>
      </c>
      <c r="CJ18" s="2" t="str">
        <f aca="false">IF(BB18="x","x",IF(BB18="-","-",""))</f>
        <v/>
      </c>
      <c r="CK18" s="2" t="str">
        <f aca="false">IF(BC18="x","x",IF(BC18="-","-",""))</f>
        <v/>
      </c>
      <c r="CL18" s="2" t="str">
        <f aca="false">IF(BD18="x","x",IF(BD18="-","-",""))</f>
        <v/>
      </c>
      <c r="CM18" s="2" t="str">
        <f aca="false">IF(BE18="x","x",IF(BE18="-","-",""))</f>
        <v/>
      </c>
      <c r="CN18" s="2" t="str">
        <f aca="false">IF(BF18="x","x",IF(BF18="-","-",""))</f>
        <v/>
      </c>
      <c r="CO18" s="2" t="str">
        <f aca="false">IF(BG18="x","x",IF(BG18="-","-",""))</f>
        <v/>
      </c>
      <c r="CP18" s="2" t="str">
        <f aca="false">IF(BH18="x","x",IF(BH18="-","-",""))</f>
        <v/>
      </c>
      <c r="CQ18" s="2" t="str">
        <f aca="false">IF(BI18="x","x",IF(BI18="-","-",""))</f>
        <v/>
      </c>
      <c r="CR18" s="2" t="str">
        <f aca="false">IF(BJ18="x","x",IF(BJ18="-","-",""))</f>
        <v/>
      </c>
      <c r="CS18" s="2" t="str">
        <f aca="false">IF(BK18="x","x",IF(BK18="-","-",""))</f>
        <v/>
      </c>
      <c r="CT18" s="2" t="str">
        <f aca="false">IF(BL18="x","x",IF(BL18="-","-",""))</f>
        <v/>
      </c>
      <c r="CU18" s="2" t="str">
        <f aca="false">IF(BM18="x","x",IF(BM18="-","-",""))</f>
        <v/>
      </c>
      <c r="CV18" s="2" t="str">
        <f aca="false">IF(BN18="x","x",IF(BN18="-","-",""))</f>
        <v/>
      </c>
      <c r="CW18" s="2" t="str">
        <f aca="false">IF(BO18="x","x",IF(BO18="-","-",""))</f>
        <v/>
      </c>
      <c r="CX18" s="2" t="str">
        <f aca="false">IF(BP18="x","x",IF(BP18="-","-",""))</f>
        <v/>
      </c>
      <c r="CZ18" s="2" t="str">
        <f aca="false">IF(P18="x","x",IF(P18="-","-",""))</f>
        <v>-</v>
      </c>
      <c r="DA18" s="2" t="str">
        <f aca="false">IF(Q18="x","x",IF(Q18="-","-",""))</f>
        <v>-</v>
      </c>
      <c r="DB18" s="2" t="str">
        <f aca="false">IF(R18="x","x",IF(R18="-","-",""))</f>
        <v>-</v>
      </c>
      <c r="DC18" s="2" t="str">
        <f aca="false">IF(S18="x","x",IF(S18="-","-",""))</f>
        <v>-</v>
      </c>
      <c r="DD18" s="2" t="str">
        <f aca="false">IF(T18="x","x",IF(T18="-","-",""))</f>
        <v>-</v>
      </c>
      <c r="DE18" s="2" t="str">
        <f aca="false">IF(U18="x","x",IF(U18="-","-",""))</f>
        <v>-</v>
      </c>
      <c r="DF18" s="2" t="str">
        <f aca="false">IF(V18="x","x",IF(V18="-","-",""))</f>
        <v>-</v>
      </c>
      <c r="DG18" s="2" t="str">
        <f aca="false">IF(W18="x","x",IF(W18="-","-",""))</f>
        <v>-</v>
      </c>
      <c r="DH18" s="2" t="str">
        <f aca="false">IF(X18="x","x",IF(X18="-","-",""))</f>
        <v>-</v>
      </c>
      <c r="DI18" s="2" t="str">
        <f aca="false">IF(Y18="x","x",IF(Y18="-","-",""))</f>
        <v>-</v>
      </c>
      <c r="DJ18" s="2" t="str">
        <f aca="false">IF(Z18="x","x",IF(Z18="-","-",""))</f>
        <v>-</v>
      </c>
      <c r="DK18" s="2" t="str">
        <f aca="false">IF(AA18="x","x",IF(AA18="-","-",""))</f>
        <v>-</v>
      </c>
      <c r="DL18" s="10"/>
      <c r="DM18" s="2" t="str">
        <f aca="false">IF(AC18="x","x",IF(AC18="-","-",""))</f>
        <v>-</v>
      </c>
      <c r="DN18" s="2" t="str">
        <f aca="false">IF(AD18="x","x",IF(AD18="-","-",""))</f>
        <v>-</v>
      </c>
      <c r="DO18" s="2" t="str">
        <f aca="false">IF(AE18="x","x",IF(AE18="-","-",""))</f>
        <v>-</v>
      </c>
      <c r="DP18" s="2" t="str">
        <f aca="false">IF(AF18="x","x",IF(AF18="-","-",""))</f>
        <v>-</v>
      </c>
      <c r="DQ18" s="2" t="str">
        <f aca="false">IF(AG18="x","x",IF(AG18="-","-",""))</f>
        <v>-</v>
      </c>
      <c r="DR18" s="2" t="str">
        <f aca="false">IF(AH18="x","x",IF(AH18="-","-",""))</f>
        <v>-</v>
      </c>
      <c r="DS18" s="2" t="str">
        <f aca="false">IF(AI18="x","x",IF(AI18="-","-",""))</f>
        <v>-</v>
      </c>
      <c r="DT18" s="2" t="str">
        <f aca="false">IF(AJ18="x","x",IF(AJ18="-","-",""))</f>
        <v>-</v>
      </c>
      <c r="DU18" s="2" t="str">
        <f aca="false">IF(AK18="x","x",IF(AK18="-","-",""))</f>
        <v>-</v>
      </c>
      <c r="DV18" s="2" t="str">
        <f aca="false">IF(AL18="x","x",IF(AL18="-","-",""))</f>
        <v>-</v>
      </c>
      <c r="DW18" s="2" t="str">
        <f aca="false">IF(AM18="x","x",IF(AM18="-","-",""))</f>
        <v>-</v>
      </c>
      <c r="DX18" s="2" t="str">
        <f aca="false">IF(AN18="x","x",IF(AN18="-","-",""))</f>
        <v>-</v>
      </c>
    </row>
    <row r="19" customFormat="false" ht="13.8" hidden="false" customHeight="false" outlineLevel="0" collapsed="false">
      <c r="A19" s="10" t="s">
        <v>73</v>
      </c>
      <c r="B19" s="2" t="n">
        <v>18</v>
      </c>
      <c r="C19" s="11" t="s">
        <v>95</v>
      </c>
      <c r="D19" s="10" t="s">
        <v>94</v>
      </c>
      <c r="E19" s="10" t="s">
        <v>76</v>
      </c>
      <c r="F19" s="10" t="n">
        <v>18</v>
      </c>
      <c r="G19" s="10" t="s">
        <v>77</v>
      </c>
      <c r="H19" s="10" t="s">
        <v>77</v>
      </c>
      <c r="I19" s="10" t="s">
        <v>77</v>
      </c>
      <c r="J19" s="10" t="s">
        <v>77</v>
      </c>
      <c r="K19" s="10" t="s">
        <v>77</v>
      </c>
      <c r="L19" s="10" t="s">
        <v>77</v>
      </c>
      <c r="M19" s="2" t="n">
        <v>20</v>
      </c>
      <c r="N19" s="10" t="s">
        <v>77</v>
      </c>
      <c r="O19" s="10"/>
      <c r="P19" s="10" t="s">
        <v>77</v>
      </c>
      <c r="Q19" s="10" t="s">
        <v>77</v>
      </c>
      <c r="R19" s="10" t="s">
        <v>77</v>
      </c>
      <c r="S19" s="10" t="s">
        <v>77</v>
      </c>
      <c r="T19" s="10" t="s">
        <v>77</v>
      </c>
      <c r="U19" s="10" t="s">
        <v>77</v>
      </c>
      <c r="V19" s="10" t="s">
        <v>77</v>
      </c>
      <c r="W19" s="10" t="s">
        <v>77</v>
      </c>
      <c r="X19" s="10" t="s">
        <v>77</v>
      </c>
      <c r="Y19" s="10" t="s">
        <v>77</v>
      </c>
      <c r="Z19" s="10" t="s">
        <v>77</v>
      </c>
      <c r="AA19" s="10" t="s">
        <v>77</v>
      </c>
      <c r="AB19" s="10"/>
      <c r="AC19" s="10" t="s">
        <v>77</v>
      </c>
      <c r="AD19" s="10" t="s">
        <v>77</v>
      </c>
      <c r="AE19" s="10" t="s">
        <v>77</v>
      </c>
      <c r="AF19" s="10" t="s">
        <v>77</v>
      </c>
      <c r="AG19" s="10" t="s">
        <v>77</v>
      </c>
      <c r="AH19" s="10" t="s">
        <v>77</v>
      </c>
      <c r="AI19" s="10" t="s">
        <v>77</v>
      </c>
      <c r="AJ19" s="10" t="s">
        <v>77</v>
      </c>
      <c r="AK19" s="10" t="s">
        <v>77</v>
      </c>
      <c r="AL19" s="10" t="s">
        <v>77</v>
      </c>
      <c r="AM19" s="10" t="s">
        <v>77</v>
      </c>
      <c r="AN19" s="10" t="s">
        <v>77</v>
      </c>
      <c r="AO19" s="10"/>
      <c r="AP19" s="10" t="s">
        <v>73</v>
      </c>
      <c r="AQ19" s="10" t="s">
        <v>73</v>
      </c>
      <c r="AS19" s="10"/>
      <c r="AT19" s="10"/>
      <c r="AU19" s="10" t="s">
        <v>78</v>
      </c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R19" s="10" t="s">
        <v>78</v>
      </c>
      <c r="BS19" s="10"/>
      <c r="BT19" s="10"/>
      <c r="BU19" s="10"/>
      <c r="BV19" s="10"/>
      <c r="BW19" s="10"/>
      <c r="BX19" s="10"/>
      <c r="BY19" s="10"/>
      <c r="CA19" s="2" t="str">
        <f aca="false">IF(AS19="x","x",IF(AS19="-","-",""))</f>
        <v/>
      </c>
      <c r="CB19" s="2" t="str">
        <f aca="false">IF(AT19="x","x",IF(AT19="-","-",""))</f>
        <v/>
      </c>
      <c r="CC19" s="2" t="str">
        <f aca="false">IF(AU19="x","x",IF(AU19="-","-",""))</f>
        <v>x</v>
      </c>
      <c r="CD19" s="2" t="str">
        <f aca="false">IF(AV19="x","x",IF(AV19="-","-",""))</f>
        <v/>
      </c>
      <c r="CE19" s="2" t="str">
        <f aca="false">IF(AW19="x","x",IF(AW19="-","-",""))</f>
        <v/>
      </c>
      <c r="CF19" s="2" t="str">
        <f aca="false">IF(AX19="x","x",IF(AX19="-","-",""))</f>
        <v/>
      </c>
      <c r="CG19" s="2" t="str">
        <f aca="false">IF(AY19="x","x",IF(AY19="-","-",""))</f>
        <v/>
      </c>
      <c r="CH19" s="2" t="str">
        <f aca="false">IF(AZ19="x","x",IF(AZ19="-","-",""))</f>
        <v/>
      </c>
      <c r="CI19" s="2" t="str">
        <f aca="false">IF(BA19="x","x",IF(BA19="-","-",""))</f>
        <v/>
      </c>
      <c r="CJ19" s="2" t="str">
        <f aca="false">IF(BB19="x","x",IF(BB19="-","-",""))</f>
        <v/>
      </c>
      <c r="CK19" s="2" t="str">
        <f aca="false">IF(BC19="x","x",IF(BC19="-","-",""))</f>
        <v/>
      </c>
      <c r="CL19" s="2" t="str">
        <f aca="false">IF(BD19="x","x",IF(BD19="-","-",""))</f>
        <v/>
      </c>
      <c r="CM19" s="2" t="str">
        <f aca="false">IF(BE19="x","x",IF(BE19="-","-",""))</f>
        <v/>
      </c>
      <c r="CN19" s="2" t="str">
        <f aca="false">IF(BF19="x","x",IF(BF19="-","-",""))</f>
        <v/>
      </c>
      <c r="CO19" s="2" t="str">
        <f aca="false">IF(BG19="x","x",IF(BG19="-","-",""))</f>
        <v/>
      </c>
      <c r="CP19" s="2" t="str">
        <f aca="false">IF(BH19="x","x",IF(BH19="-","-",""))</f>
        <v/>
      </c>
      <c r="CQ19" s="2" t="str">
        <f aca="false">IF(BI19="x","x",IF(BI19="-","-",""))</f>
        <v/>
      </c>
      <c r="CR19" s="2" t="str">
        <f aca="false">IF(BJ19="x","x",IF(BJ19="-","-",""))</f>
        <v/>
      </c>
      <c r="CS19" s="2" t="str">
        <f aca="false">IF(BK19="x","x",IF(BK19="-","-",""))</f>
        <v/>
      </c>
      <c r="CT19" s="2" t="str">
        <f aca="false">IF(BL19="x","x",IF(BL19="-","-",""))</f>
        <v/>
      </c>
      <c r="CU19" s="2" t="str">
        <f aca="false">IF(BM19="x","x",IF(BM19="-","-",""))</f>
        <v/>
      </c>
      <c r="CV19" s="2" t="str">
        <f aca="false">IF(BN19="x","x",IF(BN19="-","-",""))</f>
        <v/>
      </c>
      <c r="CW19" s="2" t="str">
        <f aca="false">IF(BO19="x","x",IF(BO19="-","-",""))</f>
        <v/>
      </c>
      <c r="CX19" s="2" t="str">
        <f aca="false">IF(BP19="x","x",IF(BP19="-","-",""))</f>
        <v/>
      </c>
      <c r="CZ19" s="2" t="str">
        <f aca="false">IF(P19="x","x",IF(P19="-","-",""))</f>
        <v>-</v>
      </c>
      <c r="DA19" s="2" t="str">
        <f aca="false">IF(Q19="x","x",IF(Q19="-","-",""))</f>
        <v>-</v>
      </c>
      <c r="DB19" s="2" t="str">
        <f aca="false">IF(R19="x","x",IF(R19="-","-",""))</f>
        <v>-</v>
      </c>
      <c r="DC19" s="2" t="str">
        <f aca="false">IF(S19="x","x",IF(S19="-","-",""))</f>
        <v>-</v>
      </c>
      <c r="DD19" s="2" t="str">
        <f aca="false">IF(T19="x","x",IF(T19="-","-",""))</f>
        <v>-</v>
      </c>
      <c r="DE19" s="2" t="str">
        <f aca="false">IF(U19="x","x",IF(U19="-","-",""))</f>
        <v>-</v>
      </c>
      <c r="DF19" s="2" t="str">
        <f aca="false">IF(V19="x","x",IF(V19="-","-",""))</f>
        <v>-</v>
      </c>
      <c r="DG19" s="2" t="str">
        <f aca="false">IF(W19="x","x",IF(W19="-","-",""))</f>
        <v>-</v>
      </c>
      <c r="DH19" s="2" t="str">
        <f aca="false">IF(X19="x","x",IF(X19="-","-",""))</f>
        <v>-</v>
      </c>
      <c r="DI19" s="2" t="str">
        <f aca="false">IF(Y19="x","x",IF(Y19="-","-",""))</f>
        <v>-</v>
      </c>
      <c r="DJ19" s="2" t="str">
        <f aca="false">IF(Z19="x","x",IF(Z19="-","-",""))</f>
        <v>-</v>
      </c>
      <c r="DK19" s="2" t="str">
        <f aca="false">IF(AA19="x","x",IF(AA19="-","-",""))</f>
        <v>-</v>
      </c>
      <c r="DL19" s="10"/>
      <c r="DM19" s="2" t="str">
        <f aca="false">IF(AC19="x","x",IF(AC19="-","-",""))</f>
        <v>-</v>
      </c>
      <c r="DN19" s="2" t="str">
        <f aca="false">IF(AD19="x","x",IF(AD19="-","-",""))</f>
        <v>-</v>
      </c>
      <c r="DO19" s="2" t="str">
        <f aca="false">IF(AE19="x","x",IF(AE19="-","-",""))</f>
        <v>-</v>
      </c>
      <c r="DP19" s="2" t="str">
        <f aca="false">IF(AF19="x","x",IF(AF19="-","-",""))</f>
        <v>-</v>
      </c>
      <c r="DQ19" s="2" t="str">
        <f aca="false">IF(AG19="x","x",IF(AG19="-","-",""))</f>
        <v>-</v>
      </c>
      <c r="DR19" s="2" t="str">
        <f aca="false">IF(AH19="x","x",IF(AH19="-","-",""))</f>
        <v>-</v>
      </c>
      <c r="DS19" s="2" t="str">
        <f aca="false">IF(AI19="x","x",IF(AI19="-","-",""))</f>
        <v>-</v>
      </c>
      <c r="DT19" s="2" t="str">
        <f aca="false">IF(AJ19="x","x",IF(AJ19="-","-",""))</f>
        <v>-</v>
      </c>
      <c r="DU19" s="2" t="str">
        <f aca="false">IF(AK19="x","x",IF(AK19="-","-",""))</f>
        <v>-</v>
      </c>
      <c r="DV19" s="2" t="str">
        <f aca="false">IF(AL19="x","x",IF(AL19="-","-",""))</f>
        <v>-</v>
      </c>
      <c r="DW19" s="2" t="str">
        <f aca="false">IF(AM19="x","x",IF(AM19="-","-",""))</f>
        <v>-</v>
      </c>
      <c r="DX19" s="2" t="str">
        <f aca="false">IF(AN19="x","x",IF(AN19="-","-",""))</f>
        <v>-</v>
      </c>
    </row>
    <row r="20" customFormat="false" ht="13.8" hidden="false" customHeight="false" outlineLevel="0" collapsed="false">
      <c r="A20" s="10" t="s">
        <v>73</v>
      </c>
      <c r="B20" s="2" t="n">
        <v>19</v>
      </c>
      <c r="C20" s="11" t="s">
        <v>96</v>
      </c>
      <c r="D20" s="10" t="s">
        <v>97</v>
      </c>
      <c r="E20" s="10" t="s">
        <v>76</v>
      </c>
      <c r="F20" s="10" t="n">
        <v>19</v>
      </c>
      <c r="G20" s="10" t="s">
        <v>77</v>
      </c>
      <c r="H20" s="10" t="s">
        <v>77</v>
      </c>
      <c r="I20" s="10" t="s">
        <v>77</v>
      </c>
      <c r="J20" s="10" t="s">
        <v>77</v>
      </c>
      <c r="K20" s="10" t="s">
        <v>77</v>
      </c>
      <c r="L20" s="10" t="s">
        <v>77</v>
      </c>
      <c r="M20" s="2" t="n">
        <v>20</v>
      </c>
      <c r="N20" s="10" t="s">
        <v>77</v>
      </c>
      <c r="O20" s="10"/>
      <c r="P20" s="10" t="s">
        <v>77</v>
      </c>
      <c r="Q20" s="10" t="s">
        <v>77</v>
      </c>
      <c r="R20" s="10" t="s">
        <v>77</v>
      </c>
      <c r="S20" s="10" t="s">
        <v>77</v>
      </c>
      <c r="T20" s="10" t="s">
        <v>77</v>
      </c>
      <c r="U20" s="10" t="s">
        <v>77</v>
      </c>
      <c r="V20" s="10" t="s">
        <v>77</v>
      </c>
      <c r="W20" s="10" t="s">
        <v>77</v>
      </c>
      <c r="X20" s="10" t="s">
        <v>77</v>
      </c>
      <c r="Y20" s="10" t="s">
        <v>77</v>
      </c>
      <c r="Z20" s="10" t="s">
        <v>77</v>
      </c>
      <c r="AA20" s="10" t="s">
        <v>77</v>
      </c>
      <c r="AB20" s="10"/>
      <c r="AC20" s="10" t="s">
        <v>77</v>
      </c>
      <c r="AD20" s="10" t="s">
        <v>77</v>
      </c>
      <c r="AE20" s="10" t="s">
        <v>77</v>
      </c>
      <c r="AF20" s="10" t="s">
        <v>77</v>
      </c>
      <c r="AG20" s="10" t="s">
        <v>77</v>
      </c>
      <c r="AH20" s="10" t="s">
        <v>77</v>
      </c>
      <c r="AI20" s="10" t="s">
        <v>77</v>
      </c>
      <c r="AJ20" s="10" t="s">
        <v>77</v>
      </c>
      <c r="AK20" s="10" t="s">
        <v>77</v>
      </c>
      <c r="AL20" s="10" t="s">
        <v>77</v>
      </c>
      <c r="AM20" s="10" t="s">
        <v>77</v>
      </c>
      <c r="AN20" s="10" t="s">
        <v>77</v>
      </c>
      <c r="AO20" s="10"/>
      <c r="AP20" s="10" t="s">
        <v>73</v>
      </c>
      <c r="AQ20" s="10" t="s">
        <v>73</v>
      </c>
      <c r="AS20" s="10"/>
      <c r="AT20" s="10"/>
      <c r="AU20" s="10"/>
      <c r="AV20" s="10" t="s">
        <v>78</v>
      </c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R20" s="10" t="s">
        <v>78</v>
      </c>
      <c r="BS20" s="10"/>
      <c r="BT20" s="10"/>
      <c r="BU20" s="10"/>
      <c r="BV20" s="10"/>
      <c r="BW20" s="10"/>
      <c r="BX20" s="10"/>
      <c r="BY20" s="10"/>
      <c r="CA20" s="2" t="str">
        <f aca="false">IF(AS20="x","x",IF(AS20="-","-",""))</f>
        <v/>
      </c>
      <c r="CB20" s="2" t="str">
        <f aca="false">IF(AT20="x","x",IF(AT20="-","-",""))</f>
        <v/>
      </c>
      <c r="CC20" s="2" t="str">
        <f aca="false">IF(AU20="x","x",IF(AU20="-","-",""))</f>
        <v/>
      </c>
      <c r="CD20" s="2" t="str">
        <f aca="false">IF(AV20="x","x",IF(AV20="-","-",""))</f>
        <v>x</v>
      </c>
      <c r="CE20" s="2" t="str">
        <f aca="false">IF(AW20="x","x",IF(AW20="-","-",""))</f>
        <v/>
      </c>
      <c r="CF20" s="2" t="str">
        <f aca="false">IF(AX20="x","x",IF(AX20="-","-",""))</f>
        <v/>
      </c>
      <c r="CG20" s="2" t="str">
        <f aca="false">IF(AY20="x","x",IF(AY20="-","-",""))</f>
        <v/>
      </c>
      <c r="CH20" s="2" t="str">
        <f aca="false">IF(AZ20="x","x",IF(AZ20="-","-",""))</f>
        <v/>
      </c>
      <c r="CI20" s="2" t="str">
        <f aca="false">IF(BA20="x","x",IF(BA20="-","-",""))</f>
        <v/>
      </c>
      <c r="CJ20" s="2" t="str">
        <f aca="false">IF(BB20="x","x",IF(BB20="-","-",""))</f>
        <v/>
      </c>
      <c r="CK20" s="2" t="str">
        <f aca="false">IF(BC20="x","x",IF(BC20="-","-",""))</f>
        <v/>
      </c>
      <c r="CL20" s="2" t="str">
        <f aca="false">IF(BD20="x","x",IF(BD20="-","-",""))</f>
        <v/>
      </c>
      <c r="CM20" s="2" t="str">
        <f aca="false">IF(BE20="x","x",IF(BE20="-","-",""))</f>
        <v/>
      </c>
      <c r="CN20" s="2" t="str">
        <f aca="false">IF(BF20="x","x",IF(BF20="-","-",""))</f>
        <v/>
      </c>
      <c r="CO20" s="2" t="str">
        <f aca="false">IF(BG20="x","x",IF(BG20="-","-",""))</f>
        <v/>
      </c>
      <c r="CP20" s="2" t="str">
        <f aca="false">IF(BH20="x","x",IF(BH20="-","-",""))</f>
        <v/>
      </c>
      <c r="CQ20" s="2" t="str">
        <f aca="false">IF(BI20="x","x",IF(BI20="-","-",""))</f>
        <v/>
      </c>
      <c r="CR20" s="2" t="str">
        <f aca="false">IF(BJ20="x","x",IF(BJ20="-","-",""))</f>
        <v/>
      </c>
      <c r="CS20" s="2" t="str">
        <f aca="false">IF(BK20="x","x",IF(BK20="-","-",""))</f>
        <v/>
      </c>
      <c r="CT20" s="2" t="str">
        <f aca="false">IF(BL20="x","x",IF(BL20="-","-",""))</f>
        <v/>
      </c>
      <c r="CU20" s="2" t="str">
        <f aca="false">IF(BM20="x","x",IF(BM20="-","-",""))</f>
        <v/>
      </c>
      <c r="CV20" s="2" t="str">
        <f aca="false">IF(BN20="x","x",IF(BN20="-","-",""))</f>
        <v/>
      </c>
      <c r="CW20" s="2" t="str">
        <f aca="false">IF(BO20="x","x",IF(BO20="-","-",""))</f>
        <v/>
      </c>
      <c r="CX20" s="2" t="str">
        <f aca="false">IF(BP20="x","x",IF(BP20="-","-",""))</f>
        <v/>
      </c>
      <c r="CZ20" s="2" t="str">
        <f aca="false">IF(P20="x","x",IF(P20="-","-",""))</f>
        <v>-</v>
      </c>
      <c r="DA20" s="2" t="str">
        <f aca="false">IF(Q20="x","x",IF(Q20="-","-",""))</f>
        <v>-</v>
      </c>
      <c r="DB20" s="2" t="str">
        <f aca="false">IF(R20="x","x",IF(R20="-","-",""))</f>
        <v>-</v>
      </c>
      <c r="DC20" s="2" t="str">
        <f aca="false">IF(S20="x","x",IF(S20="-","-",""))</f>
        <v>-</v>
      </c>
      <c r="DD20" s="2" t="str">
        <f aca="false">IF(T20="x","x",IF(T20="-","-",""))</f>
        <v>-</v>
      </c>
      <c r="DE20" s="2" t="str">
        <f aca="false">IF(U20="x","x",IF(U20="-","-",""))</f>
        <v>-</v>
      </c>
      <c r="DF20" s="2" t="str">
        <f aca="false">IF(V20="x","x",IF(V20="-","-",""))</f>
        <v>-</v>
      </c>
      <c r="DG20" s="2" t="str">
        <f aca="false">IF(W20="x","x",IF(W20="-","-",""))</f>
        <v>-</v>
      </c>
      <c r="DH20" s="2" t="str">
        <f aca="false">IF(X20="x","x",IF(X20="-","-",""))</f>
        <v>-</v>
      </c>
      <c r="DI20" s="2" t="str">
        <f aca="false">IF(Y20="x","x",IF(Y20="-","-",""))</f>
        <v>-</v>
      </c>
      <c r="DJ20" s="2" t="str">
        <f aca="false">IF(Z20="x","x",IF(Z20="-","-",""))</f>
        <v>-</v>
      </c>
      <c r="DK20" s="2" t="str">
        <f aca="false">IF(AA20="x","x",IF(AA20="-","-",""))</f>
        <v>-</v>
      </c>
      <c r="DL20" s="10"/>
      <c r="DM20" s="2" t="str">
        <f aca="false">IF(AC20="x","x",IF(AC20="-","-",""))</f>
        <v>-</v>
      </c>
      <c r="DN20" s="2" t="str">
        <f aca="false">IF(AD20="x","x",IF(AD20="-","-",""))</f>
        <v>-</v>
      </c>
      <c r="DO20" s="2" t="str">
        <f aca="false">IF(AE20="x","x",IF(AE20="-","-",""))</f>
        <v>-</v>
      </c>
      <c r="DP20" s="2" t="str">
        <f aca="false">IF(AF20="x","x",IF(AF20="-","-",""))</f>
        <v>-</v>
      </c>
      <c r="DQ20" s="2" t="str">
        <f aca="false">IF(AG20="x","x",IF(AG20="-","-",""))</f>
        <v>-</v>
      </c>
      <c r="DR20" s="2" t="str">
        <f aca="false">IF(AH20="x","x",IF(AH20="-","-",""))</f>
        <v>-</v>
      </c>
      <c r="DS20" s="2" t="str">
        <f aca="false">IF(AI20="x","x",IF(AI20="-","-",""))</f>
        <v>-</v>
      </c>
      <c r="DT20" s="2" t="str">
        <f aca="false">IF(AJ20="x","x",IF(AJ20="-","-",""))</f>
        <v>-</v>
      </c>
      <c r="DU20" s="2" t="str">
        <f aca="false">IF(AK20="x","x",IF(AK20="-","-",""))</f>
        <v>-</v>
      </c>
      <c r="DV20" s="2" t="str">
        <f aca="false">IF(AL20="x","x",IF(AL20="-","-",""))</f>
        <v>-</v>
      </c>
      <c r="DW20" s="2" t="str">
        <f aca="false">IF(AM20="x","x",IF(AM20="-","-",""))</f>
        <v>-</v>
      </c>
      <c r="DX20" s="2" t="str">
        <f aca="false">IF(AN20="x","x",IF(AN20="-","-",""))</f>
        <v>-</v>
      </c>
    </row>
    <row r="21" customFormat="false" ht="13.8" hidden="false" customHeight="false" outlineLevel="0" collapsed="false">
      <c r="A21" s="10" t="s">
        <v>73</v>
      </c>
      <c r="B21" s="2" t="n">
        <v>20</v>
      </c>
      <c r="C21" s="11" t="s">
        <v>98</v>
      </c>
      <c r="D21" s="10" t="s">
        <v>97</v>
      </c>
      <c r="E21" s="10" t="s">
        <v>76</v>
      </c>
      <c r="F21" s="10" t="n">
        <v>20</v>
      </c>
      <c r="G21" s="10" t="s">
        <v>77</v>
      </c>
      <c r="H21" s="10" t="s">
        <v>77</v>
      </c>
      <c r="I21" s="10" t="s">
        <v>77</v>
      </c>
      <c r="J21" s="10" t="s">
        <v>77</v>
      </c>
      <c r="K21" s="10" t="s">
        <v>77</v>
      </c>
      <c r="L21" s="10" t="s">
        <v>77</v>
      </c>
      <c r="M21" s="2" t="n">
        <v>20</v>
      </c>
      <c r="N21" s="10" t="s">
        <v>77</v>
      </c>
      <c r="O21" s="10"/>
      <c r="P21" s="10" t="s">
        <v>77</v>
      </c>
      <c r="Q21" s="10" t="s">
        <v>77</v>
      </c>
      <c r="R21" s="10" t="s">
        <v>77</v>
      </c>
      <c r="S21" s="10" t="s">
        <v>77</v>
      </c>
      <c r="T21" s="10" t="s">
        <v>77</v>
      </c>
      <c r="U21" s="10" t="s">
        <v>77</v>
      </c>
      <c r="V21" s="10" t="s">
        <v>77</v>
      </c>
      <c r="W21" s="10" t="s">
        <v>77</v>
      </c>
      <c r="X21" s="10" t="s">
        <v>77</v>
      </c>
      <c r="Y21" s="10" t="s">
        <v>77</v>
      </c>
      <c r="Z21" s="10" t="s">
        <v>77</v>
      </c>
      <c r="AA21" s="10" t="s">
        <v>77</v>
      </c>
      <c r="AB21" s="10"/>
      <c r="AC21" s="10" t="s">
        <v>77</v>
      </c>
      <c r="AD21" s="10" t="s">
        <v>77</v>
      </c>
      <c r="AE21" s="10" t="s">
        <v>77</v>
      </c>
      <c r="AF21" s="10" t="s">
        <v>77</v>
      </c>
      <c r="AG21" s="10" t="s">
        <v>77</v>
      </c>
      <c r="AH21" s="10" t="s">
        <v>77</v>
      </c>
      <c r="AI21" s="10" t="s">
        <v>77</v>
      </c>
      <c r="AJ21" s="10" t="s">
        <v>77</v>
      </c>
      <c r="AK21" s="10" t="s">
        <v>77</v>
      </c>
      <c r="AL21" s="10" t="s">
        <v>77</v>
      </c>
      <c r="AM21" s="10" t="s">
        <v>77</v>
      </c>
      <c r="AN21" s="10" t="s">
        <v>77</v>
      </c>
      <c r="AO21" s="10"/>
      <c r="AP21" s="10" t="s">
        <v>73</v>
      </c>
      <c r="AQ21" s="10" t="s">
        <v>73</v>
      </c>
      <c r="AS21" s="10"/>
      <c r="AT21" s="10"/>
      <c r="AU21" s="10"/>
      <c r="AV21" s="10" t="s">
        <v>78</v>
      </c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R21" s="10" t="s">
        <v>78</v>
      </c>
      <c r="BS21" s="10"/>
      <c r="BT21" s="10"/>
      <c r="BU21" s="10"/>
      <c r="BV21" s="10"/>
      <c r="BW21" s="10"/>
      <c r="BX21" s="10"/>
      <c r="BY21" s="10"/>
      <c r="CA21" s="2" t="str">
        <f aca="false">IF(AS21="x","x",IF(AS21="-","-",""))</f>
        <v/>
      </c>
      <c r="CB21" s="2" t="str">
        <f aca="false">IF(AT21="x","x",IF(AT21="-","-",""))</f>
        <v/>
      </c>
      <c r="CC21" s="2" t="str">
        <f aca="false">IF(AU21="x","x",IF(AU21="-","-",""))</f>
        <v/>
      </c>
      <c r="CD21" s="2" t="str">
        <f aca="false">IF(AV21="x","x",IF(AV21="-","-",""))</f>
        <v>x</v>
      </c>
      <c r="CE21" s="2" t="str">
        <f aca="false">IF(AW21="x","x",IF(AW21="-","-",""))</f>
        <v/>
      </c>
      <c r="CF21" s="2" t="str">
        <f aca="false">IF(AX21="x","x",IF(AX21="-","-",""))</f>
        <v/>
      </c>
      <c r="CG21" s="2" t="str">
        <f aca="false">IF(AY21="x","x",IF(AY21="-","-",""))</f>
        <v/>
      </c>
      <c r="CH21" s="2" t="str">
        <f aca="false">IF(AZ21="x","x",IF(AZ21="-","-",""))</f>
        <v/>
      </c>
      <c r="CI21" s="2" t="str">
        <f aca="false">IF(BA21="x","x",IF(BA21="-","-",""))</f>
        <v/>
      </c>
      <c r="CJ21" s="2" t="str">
        <f aca="false">IF(BB21="x","x",IF(BB21="-","-",""))</f>
        <v/>
      </c>
      <c r="CK21" s="2" t="str">
        <f aca="false">IF(BC21="x","x",IF(BC21="-","-",""))</f>
        <v/>
      </c>
      <c r="CL21" s="2" t="str">
        <f aca="false">IF(BD21="x","x",IF(BD21="-","-",""))</f>
        <v/>
      </c>
      <c r="CM21" s="2" t="str">
        <f aca="false">IF(BE21="x","x",IF(BE21="-","-",""))</f>
        <v/>
      </c>
      <c r="CN21" s="2" t="str">
        <f aca="false">IF(BF21="x","x",IF(BF21="-","-",""))</f>
        <v/>
      </c>
      <c r="CO21" s="2" t="str">
        <f aca="false">IF(BG21="x","x",IF(BG21="-","-",""))</f>
        <v/>
      </c>
      <c r="CP21" s="2" t="str">
        <f aca="false">IF(BH21="x","x",IF(BH21="-","-",""))</f>
        <v/>
      </c>
      <c r="CQ21" s="2" t="str">
        <f aca="false">IF(BI21="x","x",IF(BI21="-","-",""))</f>
        <v/>
      </c>
      <c r="CR21" s="2" t="str">
        <f aca="false">IF(BJ21="x","x",IF(BJ21="-","-",""))</f>
        <v/>
      </c>
      <c r="CS21" s="2" t="str">
        <f aca="false">IF(BK21="x","x",IF(BK21="-","-",""))</f>
        <v/>
      </c>
      <c r="CT21" s="2" t="str">
        <f aca="false">IF(BL21="x","x",IF(BL21="-","-",""))</f>
        <v/>
      </c>
      <c r="CU21" s="2" t="str">
        <f aca="false">IF(BM21="x","x",IF(BM21="-","-",""))</f>
        <v/>
      </c>
      <c r="CV21" s="2" t="str">
        <f aca="false">IF(BN21="x","x",IF(BN21="-","-",""))</f>
        <v/>
      </c>
      <c r="CW21" s="2" t="str">
        <f aca="false">IF(BO21="x","x",IF(BO21="-","-",""))</f>
        <v/>
      </c>
      <c r="CX21" s="2" t="str">
        <f aca="false">IF(BP21="x","x",IF(BP21="-","-",""))</f>
        <v/>
      </c>
      <c r="CZ21" s="2" t="str">
        <f aca="false">IF(P21="x","x",IF(P21="-","-",""))</f>
        <v>-</v>
      </c>
      <c r="DA21" s="2" t="str">
        <f aca="false">IF(Q21="x","x",IF(Q21="-","-",""))</f>
        <v>-</v>
      </c>
      <c r="DB21" s="2" t="str">
        <f aca="false">IF(R21="x","x",IF(R21="-","-",""))</f>
        <v>-</v>
      </c>
      <c r="DC21" s="2" t="str">
        <f aca="false">IF(S21="x","x",IF(S21="-","-",""))</f>
        <v>-</v>
      </c>
      <c r="DD21" s="2" t="str">
        <f aca="false">IF(T21="x","x",IF(T21="-","-",""))</f>
        <v>-</v>
      </c>
      <c r="DE21" s="2" t="str">
        <f aca="false">IF(U21="x","x",IF(U21="-","-",""))</f>
        <v>-</v>
      </c>
      <c r="DF21" s="2" t="str">
        <f aca="false">IF(V21="x","x",IF(V21="-","-",""))</f>
        <v>-</v>
      </c>
      <c r="DG21" s="2" t="str">
        <f aca="false">IF(W21="x","x",IF(W21="-","-",""))</f>
        <v>-</v>
      </c>
      <c r="DH21" s="2" t="str">
        <f aca="false">IF(X21="x","x",IF(X21="-","-",""))</f>
        <v>-</v>
      </c>
      <c r="DI21" s="2" t="str">
        <f aca="false">IF(Y21="x","x",IF(Y21="-","-",""))</f>
        <v>-</v>
      </c>
      <c r="DJ21" s="2" t="str">
        <f aca="false">IF(Z21="x","x",IF(Z21="-","-",""))</f>
        <v>-</v>
      </c>
      <c r="DK21" s="2" t="str">
        <f aca="false">IF(AA21="x","x",IF(AA21="-","-",""))</f>
        <v>-</v>
      </c>
      <c r="DL21" s="10"/>
      <c r="DM21" s="2" t="str">
        <f aca="false">IF(AC21="x","x",IF(AC21="-","-",""))</f>
        <v>-</v>
      </c>
      <c r="DN21" s="2" t="str">
        <f aca="false">IF(AD21="x","x",IF(AD21="-","-",""))</f>
        <v>-</v>
      </c>
      <c r="DO21" s="2" t="str">
        <f aca="false">IF(AE21="x","x",IF(AE21="-","-",""))</f>
        <v>-</v>
      </c>
      <c r="DP21" s="2" t="str">
        <f aca="false">IF(AF21="x","x",IF(AF21="-","-",""))</f>
        <v>-</v>
      </c>
      <c r="DQ21" s="2" t="str">
        <f aca="false">IF(AG21="x","x",IF(AG21="-","-",""))</f>
        <v>-</v>
      </c>
      <c r="DR21" s="2" t="str">
        <f aca="false">IF(AH21="x","x",IF(AH21="-","-",""))</f>
        <v>-</v>
      </c>
      <c r="DS21" s="2" t="str">
        <f aca="false">IF(AI21="x","x",IF(AI21="-","-",""))</f>
        <v>-</v>
      </c>
      <c r="DT21" s="2" t="str">
        <f aca="false">IF(AJ21="x","x",IF(AJ21="-","-",""))</f>
        <v>-</v>
      </c>
      <c r="DU21" s="2" t="str">
        <f aca="false">IF(AK21="x","x",IF(AK21="-","-",""))</f>
        <v>-</v>
      </c>
      <c r="DV21" s="2" t="str">
        <f aca="false">IF(AL21="x","x",IF(AL21="-","-",""))</f>
        <v>-</v>
      </c>
      <c r="DW21" s="2" t="str">
        <f aca="false">IF(AM21="x","x",IF(AM21="-","-",""))</f>
        <v>-</v>
      </c>
      <c r="DX21" s="2" t="str">
        <f aca="false">IF(AN21="x","x",IF(AN21="-","-",""))</f>
        <v>-</v>
      </c>
    </row>
    <row r="22" customFormat="false" ht="13.8" hidden="false" customHeight="false" outlineLevel="0" collapsed="false">
      <c r="A22" s="10" t="s">
        <v>73</v>
      </c>
      <c r="B22" s="2" t="n">
        <v>21</v>
      </c>
      <c r="C22" s="11" t="s">
        <v>99</v>
      </c>
      <c r="D22" s="10" t="s">
        <v>97</v>
      </c>
      <c r="E22" s="10" t="s">
        <v>76</v>
      </c>
      <c r="F22" s="10" t="n">
        <v>21</v>
      </c>
      <c r="G22" s="10" t="s">
        <v>77</v>
      </c>
      <c r="H22" s="10" t="s">
        <v>77</v>
      </c>
      <c r="I22" s="10" t="s">
        <v>77</v>
      </c>
      <c r="J22" s="10" t="s">
        <v>77</v>
      </c>
      <c r="K22" s="10" t="s">
        <v>77</v>
      </c>
      <c r="L22" s="10" t="s">
        <v>77</v>
      </c>
      <c r="M22" s="2" t="n">
        <v>20</v>
      </c>
      <c r="N22" s="10" t="s">
        <v>77</v>
      </c>
      <c r="O22" s="10"/>
      <c r="P22" s="10" t="s">
        <v>77</v>
      </c>
      <c r="Q22" s="10" t="s">
        <v>77</v>
      </c>
      <c r="R22" s="10" t="s">
        <v>77</v>
      </c>
      <c r="S22" s="10" t="s">
        <v>77</v>
      </c>
      <c r="T22" s="10" t="s">
        <v>77</v>
      </c>
      <c r="U22" s="10" t="s">
        <v>77</v>
      </c>
      <c r="V22" s="10" t="s">
        <v>77</v>
      </c>
      <c r="W22" s="10" t="s">
        <v>77</v>
      </c>
      <c r="X22" s="10" t="s">
        <v>77</v>
      </c>
      <c r="Y22" s="10" t="s">
        <v>77</v>
      </c>
      <c r="Z22" s="10" t="s">
        <v>77</v>
      </c>
      <c r="AA22" s="10" t="s">
        <v>77</v>
      </c>
      <c r="AB22" s="10"/>
      <c r="AC22" s="10" t="s">
        <v>77</v>
      </c>
      <c r="AD22" s="10" t="s">
        <v>77</v>
      </c>
      <c r="AE22" s="10" t="s">
        <v>77</v>
      </c>
      <c r="AF22" s="10" t="s">
        <v>77</v>
      </c>
      <c r="AG22" s="10" t="s">
        <v>77</v>
      </c>
      <c r="AH22" s="10" t="s">
        <v>77</v>
      </c>
      <c r="AI22" s="10" t="s">
        <v>77</v>
      </c>
      <c r="AJ22" s="10" t="s">
        <v>77</v>
      </c>
      <c r="AK22" s="10" t="s">
        <v>77</v>
      </c>
      <c r="AL22" s="10" t="s">
        <v>77</v>
      </c>
      <c r="AM22" s="10" t="s">
        <v>77</v>
      </c>
      <c r="AN22" s="10" t="s">
        <v>77</v>
      </c>
      <c r="AO22" s="10"/>
      <c r="AP22" s="10" t="s">
        <v>73</v>
      </c>
      <c r="AQ22" s="10" t="s">
        <v>73</v>
      </c>
      <c r="AS22" s="10"/>
      <c r="AT22" s="10"/>
      <c r="AU22" s="10"/>
      <c r="AV22" s="10" t="s">
        <v>78</v>
      </c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R22" s="10" t="s">
        <v>78</v>
      </c>
      <c r="BS22" s="10"/>
      <c r="BT22" s="10"/>
      <c r="BU22" s="10"/>
      <c r="BV22" s="10"/>
      <c r="BW22" s="10"/>
      <c r="BX22" s="10"/>
      <c r="BY22" s="10"/>
      <c r="CA22" s="2" t="str">
        <f aca="false">IF(AS22="x","x",IF(AS22="-","-",""))</f>
        <v/>
      </c>
      <c r="CB22" s="2" t="str">
        <f aca="false">IF(AT22="x","x",IF(AT22="-","-",""))</f>
        <v/>
      </c>
      <c r="CC22" s="2" t="str">
        <f aca="false">IF(AU22="x","x",IF(AU22="-","-",""))</f>
        <v/>
      </c>
      <c r="CD22" s="2" t="str">
        <f aca="false">IF(AV22="x","x",IF(AV22="-","-",""))</f>
        <v>x</v>
      </c>
      <c r="CE22" s="2" t="str">
        <f aca="false">IF(AW22="x","x",IF(AW22="-","-",""))</f>
        <v/>
      </c>
      <c r="CF22" s="2" t="str">
        <f aca="false">IF(AX22="x","x",IF(AX22="-","-",""))</f>
        <v/>
      </c>
      <c r="CG22" s="2" t="str">
        <f aca="false">IF(AY22="x","x",IF(AY22="-","-",""))</f>
        <v/>
      </c>
      <c r="CH22" s="2" t="str">
        <f aca="false">IF(AZ22="x","x",IF(AZ22="-","-",""))</f>
        <v/>
      </c>
      <c r="CI22" s="2" t="str">
        <f aca="false">IF(BA22="x","x",IF(BA22="-","-",""))</f>
        <v/>
      </c>
      <c r="CJ22" s="2" t="str">
        <f aca="false">IF(BB22="x","x",IF(BB22="-","-",""))</f>
        <v/>
      </c>
      <c r="CK22" s="2" t="str">
        <f aca="false">IF(BC22="x","x",IF(BC22="-","-",""))</f>
        <v/>
      </c>
      <c r="CL22" s="2" t="str">
        <f aca="false">IF(BD22="x","x",IF(BD22="-","-",""))</f>
        <v/>
      </c>
      <c r="CM22" s="2" t="str">
        <f aca="false">IF(BE22="x","x",IF(BE22="-","-",""))</f>
        <v/>
      </c>
      <c r="CN22" s="2" t="str">
        <f aca="false">IF(BF22="x","x",IF(BF22="-","-",""))</f>
        <v/>
      </c>
      <c r="CO22" s="2" t="str">
        <f aca="false">IF(BG22="x","x",IF(BG22="-","-",""))</f>
        <v/>
      </c>
      <c r="CP22" s="2" t="str">
        <f aca="false">IF(BH22="x","x",IF(BH22="-","-",""))</f>
        <v/>
      </c>
      <c r="CQ22" s="2" t="str">
        <f aca="false">IF(BI22="x","x",IF(BI22="-","-",""))</f>
        <v/>
      </c>
      <c r="CR22" s="2" t="str">
        <f aca="false">IF(BJ22="x","x",IF(BJ22="-","-",""))</f>
        <v/>
      </c>
      <c r="CS22" s="2" t="str">
        <f aca="false">IF(BK22="x","x",IF(BK22="-","-",""))</f>
        <v/>
      </c>
      <c r="CT22" s="2" t="str">
        <f aca="false">IF(BL22="x","x",IF(BL22="-","-",""))</f>
        <v/>
      </c>
      <c r="CU22" s="2" t="str">
        <f aca="false">IF(BM22="x","x",IF(BM22="-","-",""))</f>
        <v/>
      </c>
      <c r="CV22" s="2" t="str">
        <f aca="false">IF(BN22="x","x",IF(BN22="-","-",""))</f>
        <v/>
      </c>
      <c r="CW22" s="2" t="str">
        <f aca="false">IF(BO22="x","x",IF(BO22="-","-",""))</f>
        <v/>
      </c>
      <c r="CX22" s="2" t="str">
        <f aca="false">IF(BP22="x","x",IF(BP22="-","-",""))</f>
        <v/>
      </c>
      <c r="CZ22" s="2" t="str">
        <f aca="false">IF(P22="x","x",IF(P22="-","-",""))</f>
        <v>-</v>
      </c>
      <c r="DA22" s="2" t="str">
        <f aca="false">IF(Q22="x","x",IF(Q22="-","-",""))</f>
        <v>-</v>
      </c>
      <c r="DB22" s="2" t="str">
        <f aca="false">IF(R22="x","x",IF(R22="-","-",""))</f>
        <v>-</v>
      </c>
      <c r="DC22" s="2" t="str">
        <f aca="false">IF(S22="x","x",IF(S22="-","-",""))</f>
        <v>-</v>
      </c>
      <c r="DD22" s="2" t="str">
        <f aca="false">IF(T22="x","x",IF(T22="-","-",""))</f>
        <v>-</v>
      </c>
      <c r="DE22" s="2" t="str">
        <f aca="false">IF(U22="x","x",IF(U22="-","-",""))</f>
        <v>-</v>
      </c>
      <c r="DF22" s="2" t="str">
        <f aca="false">IF(V22="x","x",IF(V22="-","-",""))</f>
        <v>-</v>
      </c>
      <c r="DG22" s="2" t="str">
        <f aca="false">IF(W22="x","x",IF(W22="-","-",""))</f>
        <v>-</v>
      </c>
      <c r="DH22" s="2" t="str">
        <f aca="false">IF(X22="x","x",IF(X22="-","-",""))</f>
        <v>-</v>
      </c>
      <c r="DI22" s="2" t="str">
        <f aca="false">IF(Y22="x","x",IF(Y22="-","-",""))</f>
        <v>-</v>
      </c>
      <c r="DJ22" s="2" t="str">
        <f aca="false">IF(Z22="x","x",IF(Z22="-","-",""))</f>
        <v>-</v>
      </c>
      <c r="DK22" s="2" t="str">
        <f aca="false">IF(AA22="x","x",IF(AA22="-","-",""))</f>
        <v>-</v>
      </c>
      <c r="DL22" s="10"/>
      <c r="DM22" s="2" t="str">
        <f aca="false">IF(AC22="x","x",IF(AC22="-","-",""))</f>
        <v>-</v>
      </c>
      <c r="DN22" s="2" t="str">
        <f aca="false">IF(AD22="x","x",IF(AD22="-","-",""))</f>
        <v>-</v>
      </c>
      <c r="DO22" s="2" t="str">
        <f aca="false">IF(AE22="x","x",IF(AE22="-","-",""))</f>
        <v>-</v>
      </c>
      <c r="DP22" s="2" t="str">
        <f aca="false">IF(AF22="x","x",IF(AF22="-","-",""))</f>
        <v>-</v>
      </c>
      <c r="DQ22" s="2" t="str">
        <f aca="false">IF(AG22="x","x",IF(AG22="-","-",""))</f>
        <v>-</v>
      </c>
      <c r="DR22" s="2" t="str">
        <f aca="false">IF(AH22="x","x",IF(AH22="-","-",""))</f>
        <v>-</v>
      </c>
      <c r="DS22" s="2" t="str">
        <f aca="false">IF(AI22="x","x",IF(AI22="-","-",""))</f>
        <v>-</v>
      </c>
      <c r="DT22" s="2" t="str">
        <f aca="false">IF(AJ22="x","x",IF(AJ22="-","-",""))</f>
        <v>-</v>
      </c>
      <c r="DU22" s="2" t="str">
        <f aca="false">IF(AK22="x","x",IF(AK22="-","-",""))</f>
        <v>-</v>
      </c>
      <c r="DV22" s="2" t="str">
        <f aca="false">IF(AL22="x","x",IF(AL22="-","-",""))</f>
        <v>-</v>
      </c>
      <c r="DW22" s="2" t="str">
        <f aca="false">IF(AM22="x","x",IF(AM22="-","-",""))</f>
        <v>-</v>
      </c>
      <c r="DX22" s="2" t="str">
        <f aca="false">IF(AN22="x","x",IF(AN22="-","-",""))</f>
        <v>-</v>
      </c>
    </row>
    <row r="23" customFormat="false" ht="13.8" hidden="false" customHeight="false" outlineLevel="0" collapsed="false">
      <c r="A23" s="10" t="s">
        <v>73</v>
      </c>
      <c r="B23" s="2" t="n">
        <v>22</v>
      </c>
      <c r="C23" s="11" t="s">
        <v>100</v>
      </c>
      <c r="D23" s="10" t="s">
        <v>97</v>
      </c>
      <c r="E23" s="10" t="s">
        <v>76</v>
      </c>
      <c r="F23" s="10" t="n">
        <v>22</v>
      </c>
      <c r="G23" s="10" t="s">
        <v>77</v>
      </c>
      <c r="H23" s="10" t="s">
        <v>77</v>
      </c>
      <c r="I23" s="10" t="s">
        <v>77</v>
      </c>
      <c r="J23" s="10" t="s">
        <v>77</v>
      </c>
      <c r="K23" s="10" t="s">
        <v>77</v>
      </c>
      <c r="L23" s="10" t="s">
        <v>77</v>
      </c>
      <c r="M23" s="2" t="n">
        <v>20</v>
      </c>
      <c r="N23" s="10" t="s">
        <v>77</v>
      </c>
      <c r="O23" s="10"/>
      <c r="P23" s="10" t="s">
        <v>77</v>
      </c>
      <c r="Q23" s="10" t="s">
        <v>77</v>
      </c>
      <c r="R23" s="10" t="s">
        <v>77</v>
      </c>
      <c r="S23" s="10" t="s">
        <v>77</v>
      </c>
      <c r="T23" s="10" t="s">
        <v>77</v>
      </c>
      <c r="U23" s="10" t="s">
        <v>77</v>
      </c>
      <c r="V23" s="10" t="s">
        <v>77</v>
      </c>
      <c r="W23" s="10" t="s">
        <v>77</v>
      </c>
      <c r="X23" s="10" t="s">
        <v>77</v>
      </c>
      <c r="Y23" s="10" t="s">
        <v>77</v>
      </c>
      <c r="Z23" s="10" t="s">
        <v>77</v>
      </c>
      <c r="AA23" s="10" t="s">
        <v>77</v>
      </c>
      <c r="AB23" s="10"/>
      <c r="AC23" s="10" t="s">
        <v>77</v>
      </c>
      <c r="AD23" s="10" t="s">
        <v>77</v>
      </c>
      <c r="AE23" s="10" t="s">
        <v>77</v>
      </c>
      <c r="AF23" s="10" t="s">
        <v>77</v>
      </c>
      <c r="AG23" s="10" t="s">
        <v>77</v>
      </c>
      <c r="AH23" s="10" t="s">
        <v>77</v>
      </c>
      <c r="AI23" s="10" t="s">
        <v>77</v>
      </c>
      <c r="AJ23" s="10" t="s">
        <v>77</v>
      </c>
      <c r="AK23" s="10" t="s">
        <v>77</v>
      </c>
      <c r="AL23" s="10" t="s">
        <v>77</v>
      </c>
      <c r="AM23" s="10" t="s">
        <v>77</v>
      </c>
      <c r="AN23" s="10" t="s">
        <v>77</v>
      </c>
      <c r="AO23" s="10"/>
      <c r="AP23" s="10" t="s">
        <v>73</v>
      </c>
      <c r="AQ23" s="10" t="s">
        <v>73</v>
      </c>
      <c r="AS23" s="10"/>
      <c r="AT23" s="10"/>
      <c r="AU23" s="10"/>
      <c r="AV23" s="10" t="s">
        <v>78</v>
      </c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R23" s="10" t="s">
        <v>78</v>
      </c>
      <c r="BS23" s="10"/>
      <c r="BT23" s="10"/>
      <c r="BU23" s="10"/>
      <c r="BV23" s="10"/>
      <c r="BW23" s="10"/>
      <c r="BX23" s="10"/>
      <c r="BY23" s="10"/>
      <c r="CA23" s="2" t="str">
        <f aca="false">IF(AS23="x","x",IF(AS23="-","-",""))</f>
        <v/>
      </c>
      <c r="CB23" s="2" t="str">
        <f aca="false">IF(AT23="x","x",IF(AT23="-","-",""))</f>
        <v/>
      </c>
      <c r="CC23" s="2" t="str">
        <f aca="false">IF(AU23="x","x",IF(AU23="-","-",""))</f>
        <v/>
      </c>
      <c r="CD23" s="2" t="str">
        <f aca="false">IF(AV23="x","x",IF(AV23="-","-",""))</f>
        <v>x</v>
      </c>
      <c r="CE23" s="2" t="str">
        <f aca="false">IF(AW23="x","x",IF(AW23="-","-",""))</f>
        <v/>
      </c>
      <c r="CF23" s="2" t="str">
        <f aca="false">IF(AX23="x","x",IF(AX23="-","-",""))</f>
        <v/>
      </c>
      <c r="CG23" s="2" t="str">
        <f aca="false">IF(AY23="x","x",IF(AY23="-","-",""))</f>
        <v/>
      </c>
      <c r="CH23" s="2" t="str">
        <f aca="false">IF(AZ23="x","x",IF(AZ23="-","-",""))</f>
        <v/>
      </c>
      <c r="CI23" s="2" t="str">
        <f aca="false">IF(BA23="x","x",IF(BA23="-","-",""))</f>
        <v/>
      </c>
      <c r="CJ23" s="2" t="str">
        <f aca="false">IF(BB23="x","x",IF(BB23="-","-",""))</f>
        <v/>
      </c>
      <c r="CK23" s="2" t="str">
        <f aca="false">IF(BC23="x","x",IF(BC23="-","-",""))</f>
        <v/>
      </c>
      <c r="CL23" s="2" t="str">
        <f aca="false">IF(BD23="x","x",IF(BD23="-","-",""))</f>
        <v/>
      </c>
      <c r="CM23" s="2" t="str">
        <f aca="false">IF(BE23="x","x",IF(BE23="-","-",""))</f>
        <v/>
      </c>
      <c r="CN23" s="2" t="str">
        <f aca="false">IF(BF23="x","x",IF(BF23="-","-",""))</f>
        <v/>
      </c>
      <c r="CO23" s="2" t="str">
        <f aca="false">IF(BG23="x","x",IF(BG23="-","-",""))</f>
        <v/>
      </c>
      <c r="CP23" s="2" t="str">
        <f aca="false">IF(BH23="x","x",IF(BH23="-","-",""))</f>
        <v/>
      </c>
      <c r="CQ23" s="2" t="str">
        <f aca="false">IF(BI23="x","x",IF(BI23="-","-",""))</f>
        <v/>
      </c>
      <c r="CR23" s="2" t="str">
        <f aca="false">IF(BJ23="x","x",IF(BJ23="-","-",""))</f>
        <v/>
      </c>
      <c r="CS23" s="2" t="str">
        <f aca="false">IF(BK23="x","x",IF(BK23="-","-",""))</f>
        <v/>
      </c>
      <c r="CT23" s="2" t="str">
        <f aca="false">IF(BL23="x","x",IF(BL23="-","-",""))</f>
        <v/>
      </c>
      <c r="CU23" s="2" t="str">
        <f aca="false">IF(BM23="x","x",IF(BM23="-","-",""))</f>
        <v/>
      </c>
      <c r="CV23" s="2" t="str">
        <f aca="false">IF(BN23="x","x",IF(BN23="-","-",""))</f>
        <v/>
      </c>
      <c r="CW23" s="2" t="str">
        <f aca="false">IF(BO23="x","x",IF(BO23="-","-",""))</f>
        <v/>
      </c>
      <c r="CX23" s="2" t="str">
        <f aca="false">IF(BP23="x","x",IF(BP23="-","-",""))</f>
        <v/>
      </c>
      <c r="CZ23" s="2" t="str">
        <f aca="false">IF(P23="x","x",IF(P23="-","-",""))</f>
        <v>-</v>
      </c>
      <c r="DA23" s="2" t="str">
        <f aca="false">IF(Q23="x","x",IF(Q23="-","-",""))</f>
        <v>-</v>
      </c>
      <c r="DB23" s="2" t="str">
        <f aca="false">IF(R23="x","x",IF(R23="-","-",""))</f>
        <v>-</v>
      </c>
      <c r="DC23" s="2" t="str">
        <f aca="false">IF(S23="x","x",IF(S23="-","-",""))</f>
        <v>-</v>
      </c>
      <c r="DD23" s="2" t="str">
        <f aca="false">IF(T23="x","x",IF(T23="-","-",""))</f>
        <v>-</v>
      </c>
      <c r="DE23" s="2" t="str">
        <f aca="false">IF(U23="x","x",IF(U23="-","-",""))</f>
        <v>-</v>
      </c>
      <c r="DF23" s="2" t="str">
        <f aca="false">IF(V23="x","x",IF(V23="-","-",""))</f>
        <v>-</v>
      </c>
      <c r="DG23" s="2" t="str">
        <f aca="false">IF(W23="x","x",IF(W23="-","-",""))</f>
        <v>-</v>
      </c>
      <c r="DH23" s="2" t="str">
        <f aca="false">IF(X23="x","x",IF(X23="-","-",""))</f>
        <v>-</v>
      </c>
      <c r="DI23" s="2" t="str">
        <f aca="false">IF(Y23="x","x",IF(Y23="-","-",""))</f>
        <v>-</v>
      </c>
      <c r="DJ23" s="2" t="str">
        <f aca="false">IF(Z23="x","x",IF(Z23="-","-",""))</f>
        <v>-</v>
      </c>
      <c r="DK23" s="2" t="str">
        <f aca="false">IF(AA23="x","x",IF(AA23="-","-",""))</f>
        <v>-</v>
      </c>
      <c r="DL23" s="10"/>
      <c r="DM23" s="2" t="str">
        <f aca="false">IF(AC23="x","x",IF(AC23="-","-",""))</f>
        <v>-</v>
      </c>
      <c r="DN23" s="2" t="str">
        <f aca="false">IF(AD23="x","x",IF(AD23="-","-",""))</f>
        <v>-</v>
      </c>
      <c r="DO23" s="2" t="str">
        <f aca="false">IF(AE23="x","x",IF(AE23="-","-",""))</f>
        <v>-</v>
      </c>
      <c r="DP23" s="2" t="str">
        <f aca="false">IF(AF23="x","x",IF(AF23="-","-",""))</f>
        <v>-</v>
      </c>
      <c r="DQ23" s="2" t="str">
        <f aca="false">IF(AG23="x","x",IF(AG23="-","-",""))</f>
        <v>-</v>
      </c>
      <c r="DR23" s="2" t="str">
        <f aca="false">IF(AH23="x","x",IF(AH23="-","-",""))</f>
        <v>-</v>
      </c>
      <c r="DS23" s="2" t="str">
        <f aca="false">IF(AI23="x","x",IF(AI23="-","-",""))</f>
        <v>-</v>
      </c>
      <c r="DT23" s="2" t="str">
        <f aca="false">IF(AJ23="x","x",IF(AJ23="-","-",""))</f>
        <v>-</v>
      </c>
      <c r="DU23" s="2" t="str">
        <f aca="false">IF(AK23="x","x",IF(AK23="-","-",""))</f>
        <v>-</v>
      </c>
      <c r="DV23" s="2" t="str">
        <f aca="false">IF(AL23="x","x",IF(AL23="-","-",""))</f>
        <v>-</v>
      </c>
      <c r="DW23" s="2" t="str">
        <f aca="false">IF(AM23="x","x",IF(AM23="-","-",""))</f>
        <v>-</v>
      </c>
      <c r="DX23" s="2" t="str">
        <f aca="false">IF(AN23="x","x",IF(AN23="-","-",""))</f>
        <v>-</v>
      </c>
    </row>
    <row r="24" customFormat="false" ht="13.8" hidden="false" customHeight="false" outlineLevel="0" collapsed="false">
      <c r="A24" s="10" t="s">
        <v>73</v>
      </c>
      <c r="B24" s="2" t="n">
        <v>23</v>
      </c>
      <c r="C24" s="11" t="s">
        <v>101</v>
      </c>
      <c r="D24" s="10" t="s">
        <v>97</v>
      </c>
      <c r="E24" s="10" t="s">
        <v>76</v>
      </c>
      <c r="F24" s="10" t="n">
        <v>23</v>
      </c>
      <c r="G24" s="10" t="s">
        <v>77</v>
      </c>
      <c r="H24" s="10" t="s">
        <v>77</v>
      </c>
      <c r="I24" s="10" t="s">
        <v>77</v>
      </c>
      <c r="J24" s="10" t="s">
        <v>77</v>
      </c>
      <c r="K24" s="10" t="s">
        <v>77</v>
      </c>
      <c r="L24" s="10" t="s">
        <v>77</v>
      </c>
      <c r="M24" s="2" t="n">
        <v>20</v>
      </c>
      <c r="N24" s="10" t="s">
        <v>77</v>
      </c>
      <c r="O24" s="10"/>
      <c r="P24" s="10" t="s">
        <v>77</v>
      </c>
      <c r="Q24" s="10" t="s">
        <v>77</v>
      </c>
      <c r="R24" s="10" t="s">
        <v>77</v>
      </c>
      <c r="S24" s="10" t="s">
        <v>77</v>
      </c>
      <c r="T24" s="10" t="s">
        <v>77</v>
      </c>
      <c r="U24" s="10" t="s">
        <v>77</v>
      </c>
      <c r="V24" s="10" t="s">
        <v>77</v>
      </c>
      <c r="W24" s="10" t="s">
        <v>77</v>
      </c>
      <c r="X24" s="10" t="s">
        <v>77</v>
      </c>
      <c r="Y24" s="10" t="s">
        <v>77</v>
      </c>
      <c r="Z24" s="10" t="s">
        <v>77</v>
      </c>
      <c r="AA24" s="10" t="s">
        <v>77</v>
      </c>
      <c r="AB24" s="10"/>
      <c r="AC24" s="10" t="s">
        <v>77</v>
      </c>
      <c r="AD24" s="10" t="s">
        <v>77</v>
      </c>
      <c r="AE24" s="10" t="s">
        <v>77</v>
      </c>
      <c r="AF24" s="10" t="s">
        <v>77</v>
      </c>
      <c r="AG24" s="10" t="s">
        <v>77</v>
      </c>
      <c r="AH24" s="10" t="s">
        <v>77</v>
      </c>
      <c r="AI24" s="10" t="s">
        <v>77</v>
      </c>
      <c r="AJ24" s="10" t="s">
        <v>77</v>
      </c>
      <c r="AK24" s="10" t="s">
        <v>77</v>
      </c>
      <c r="AL24" s="10" t="s">
        <v>77</v>
      </c>
      <c r="AM24" s="10" t="s">
        <v>77</v>
      </c>
      <c r="AN24" s="10" t="s">
        <v>77</v>
      </c>
      <c r="AO24" s="10"/>
      <c r="AP24" s="10" t="s">
        <v>73</v>
      </c>
      <c r="AQ24" s="10" t="s">
        <v>73</v>
      </c>
      <c r="AS24" s="10"/>
      <c r="AT24" s="10"/>
      <c r="AU24" s="10"/>
      <c r="AV24" s="10" t="s">
        <v>78</v>
      </c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R24" s="10" t="s">
        <v>78</v>
      </c>
      <c r="BS24" s="10"/>
      <c r="BT24" s="10"/>
      <c r="BU24" s="10"/>
      <c r="BV24" s="10"/>
      <c r="BW24" s="10"/>
      <c r="BX24" s="10"/>
      <c r="BY24" s="10"/>
      <c r="CA24" s="2" t="str">
        <f aca="false">IF(AS24="x","x",IF(AS24="-","-",""))</f>
        <v/>
      </c>
      <c r="CB24" s="2" t="str">
        <f aca="false">IF(AT24="x","x",IF(AT24="-","-",""))</f>
        <v/>
      </c>
      <c r="CC24" s="2" t="str">
        <f aca="false">IF(AU24="x","x",IF(AU24="-","-",""))</f>
        <v/>
      </c>
      <c r="CD24" s="2" t="str">
        <f aca="false">IF(AV24="x","x",IF(AV24="-","-",""))</f>
        <v>x</v>
      </c>
      <c r="CE24" s="2" t="str">
        <f aca="false">IF(AW24="x","x",IF(AW24="-","-",""))</f>
        <v/>
      </c>
      <c r="CF24" s="2" t="str">
        <f aca="false">IF(AX24="x","x",IF(AX24="-","-",""))</f>
        <v/>
      </c>
      <c r="CG24" s="2" t="str">
        <f aca="false">IF(AY24="x","x",IF(AY24="-","-",""))</f>
        <v/>
      </c>
      <c r="CH24" s="2" t="str">
        <f aca="false">IF(AZ24="x","x",IF(AZ24="-","-",""))</f>
        <v/>
      </c>
      <c r="CI24" s="2" t="str">
        <f aca="false">IF(BA24="x","x",IF(BA24="-","-",""))</f>
        <v/>
      </c>
      <c r="CJ24" s="2" t="str">
        <f aca="false">IF(BB24="x","x",IF(BB24="-","-",""))</f>
        <v/>
      </c>
      <c r="CK24" s="2" t="str">
        <f aca="false">IF(BC24="x","x",IF(BC24="-","-",""))</f>
        <v/>
      </c>
      <c r="CL24" s="2" t="str">
        <f aca="false">IF(BD24="x","x",IF(BD24="-","-",""))</f>
        <v/>
      </c>
      <c r="CM24" s="2" t="str">
        <f aca="false">IF(BE24="x","x",IF(BE24="-","-",""))</f>
        <v/>
      </c>
      <c r="CN24" s="2" t="str">
        <f aca="false">IF(BF24="x","x",IF(BF24="-","-",""))</f>
        <v/>
      </c>
      <c r="CO24" s="2" t="str">
        <f aca="false">IF(BG24="x","x",IF(BG24="-","-",""))</f>
        <v/>
      </c>
      <c r="CP24" s="2" t="str">
        <f aca="false">IF(BH24="x","x",IF(BH24="-","-",""))</f>
        <v/>
      </c>
      <c r="CQ24" s="2" t="str">
        <f aca="false">IF(BI24="x","x",IF(BI24="-","-",""))</f>
        <v/>
      </c>
      <c r="CR24" s="2" t="str">
        <f aca="false">IF(BJ24="x","x",IF(BJ24="-","-",""))</f>
        <v/>
      </c>
      <c r="CS24" s="2" t="str">
        <f aca="false">IF(BK24="x","x",IF(BK24="-","-",""))</f>
        <v/>
      </c>
      <c r="CT24" s="2" t="str">
        <f aca="false">IF(BL24="x","x",IF(BL24="-","-",""))</f>
        <v/>
      </c>
      <c r="CU24" s="2" t="str">
        <f aca="false">IF(BM24="x","x",IF(BM24="-","-",""))</f>
        <v/>
      </c>
      <c r="CV24" s="2" t="str">
        <f aca="false">IF(BN24="x","x",IF(BN24="-","-",""))</f>
        <v/>
      </c>
      <c r="CW24" s="2" t="str">
        <f aca="false">IF(BO24="x","x",IF(BO24="-","-",""))</f>
        <v/>
      </c>
      <c r="CX24" s="2" t="str">
        <f aca="false">IF(BP24="x","x",IF(BP24="-","-",""))</f>
        <v/>
      </c>
      <c r="CZ24" s="2" t="str">
        <f aca="false">IF(P24="x","x",IF(P24="-","-",""))</f>
        <v>-</v>
      </c>
      <c r="DA24" s="2" t="str">
        <f aca="false">IF(Q24="x","x",IF(Q24="-","-",""))</f>
        <v>-</v>
      </c>
      <c r="DB24" s="2" t="str">
        <f aca="false">IF(R24="x","x",IF(R24="-","-",""))</f>
        <v>-</v>
      </c>
      <c r="DC24" s="2" t="str">
        <f aca="false">IF(S24="x","x",IF(S24="-","-",""))</f>
        <v>-</v>
      </c>
      <c r="DD24" s="2" t="str">
        <f aca="false">IF(T24="x","x",IF(T24="-","-",""))</f>
        <v>-</v>
      </c>
      <c r="DE24" s="2" t="str">
        <f aca="false">IF(U24="x","x",IF(U24="-","-",""))</f>
        <v>-</v>
      </c>
      <c r="DF24" s="2" t="str">
        <f aca="false">IF(V24="x","x",IF(V24="-","-",""))</f>
        <v>-</v>
      </c>
      <c r="DG24" s="2" t="str">
        <f aca="false">IF(W24="x","x",IF(W24="-","-",""))</f>
        <v>-</v>
      </c>
      <c r="DH24" s="2" t="str">
        <f aca="false">IF(X24="x","x",IF(X24="-","-",""))</f>
        <v>-</v>
      </c>
      <c r="DI24" s="2" t="str">
        <f aca="false">IF(Y24="x","x",IF(Y24="-","-",""))</f>
        <v>-</v>
      </c>
      <c r="DJ24" s="2" t="str">
        <f aca="false">IF(Z24="x","x",IF(Z24="-","-",""))</f>
        <v>-</v>
      </c>
      <c r="DK24" s="2" t="str">
        <f aca="false">IF(AA24="x","x",IF(AA24="-","-",""))</f>
        <v>-</v>
      </c>
      <c r="DL24" s="10"/>
      <c r="DM24" s="2" t="str">
        <f aca="false">IF(AC24="x","x",IF(AC24="-","-",""))</f>
        <v>-</v>
      </c>
      <c r="DN24" s="2" t="str">
        <f aca="false">IF(AD24="x","x",IF(AD24="-","-",""))</f>
        <v>-</v>
      </c>
      <c r="DO24" s="2" t="str">
        <f aca="false">IF(AE24="x","x",IF(AE24="-","-",""))</f>
        <v>-</v>
      </c>
      <c r="DP24" s="2" t="str">
        <f aca="false">IF(AF24="x","x",IF(AF24="-","-",""))</f>
        <v>-</v>
      </c>
      <c r="DQ24" s="2" t="str">
        <f aca="false">IF(AG24="x","x",IF(AG24="-","-",""))</f>
        <v>-</v>
      </c>
      <c r="DR24" s="2" t="str">
        <f aca="false">IF(AH24="x","x",IF(AH24="-","-",""))</f>
        <v>-</v>
      </c>
      <c r="DS24" s="2" t="str">
        <f aca="false">IF(AI24="x","x",IF(AI24="-","-",""))</f>
        <v>-</v>
      </c>
      <c r="DT24" s="2" t="str">
        <f aca="false">IF(AJ24="x","x",IF(AJ24="-","-",""))</f>
        <v>-</v>
      </c>
      <c r="DU24" s="2" t="str">
        <f aca="false">IF(AK24="x","x",IF(AK24="-","-",""))</f>
        <v>-</v>
      </c>
      <c r="DV24" s="2" t="str">
        <f aca="false">IF(AL24="x","x",IF(AL24="-","-",""))</f>
        <v>-</v>
      </c>
      <c r="DW24" s="2" t="str">
        <f aca="false">IF(AM24="x","x",IF(AM24="-","-",""))</f>
        <v>-</v>
      </c>
      <c r="DX24" s="2" t="str">
        <f aca="false">IF(AN24="x","x",IF(AN24="-","-",""))</f>
        <v>-</v>
      </c>
    </row>
    <row r="25" customFormat="false" ht="13.8" hidden="false" customHeight="false" outlineLevel="0" collapsed="false">
      <c r="A25" s="10" t="s">
        <v>73</v>
      </c>
      <c r="B25" s="2" t="n">
        <v>24</v>
      </c>
      <c r="C25" s="11" t="s">
        <v>102</v>
      </c>
      <c r="D25" s="10" t="s">
        <v>97</v>
      </c>
      <c r="E25" s="10" t="s">
        <v>76</v>
      </c>
      <c r="F25" s="10" t="n">
        <v>24</v>
      </c>
      <c r="G25" s="10" t="s">
        <v>77</v>
      </c>
      <c r="H25" s="10" t="s">
        <v>77</v>
      </c>
      <c r="I25" s="10" t="s">
        <v>77</v>
      </c>
      <c r="J25" s="10" t="s">
        <v>77</v>
      </c>
      <c r="K25" s="10" t="s">
        <v>77</v>
      </c>
      <c r="L25" s="10" t="s">
        <v>77</v>
      </c>
      <c r="M25" s="2" t="n">
        <v>20</v>
      </c>
      <c r="N25" s="10" t="s">
        <v>77</v>
      </c>
      <c r="O25" s="10"/>
      <c r="P25" s="10" t="s">
        <v>77</v>
      </c>
      <c r="Q25" s="10" t="s">
        <v>77</v>
      </c>
      <c r="R25" s="10" t="s">
        <v>77</v>
      </c>
      <c r="S25" s="10" t="s">
        <v>77</v>
      </c>
      <c r="T25" s="10" t="s">
        <v>77</v>
      </c>
      <c r="U25" s="10" t="s">
        <v>77</v>
      </c>
      <c r="V25" s="10" t="s">
        <v>77</v>
      </c>
      <c r="W25" s="10" t="s">
        <v>77</v>
      </c>
      <c r="X25" s="10" t="s">
        <v>77</v>
      </c>
      <c r="Y25" s="10" t="s">
        <v>77</v>
      </c>
      <c r="Z25" s="10" t="s">
        <v>77</v>
      </c>
      <c r="AA25" s="10" t="s">
        <v>77</v>
      </c>
      <c r="AB25" s="10"/>
      <c r="AC25" s="10" t="s">
        <v>77</v>
      </c>
      <c r="AD25" s="10" t="s">
        <v>77</v>
      </c>
      <c r="AE25" s="10" t="s">
        <v>77</v>
      </c>
      <c r="AF25" s="10" t="s">
        <v>77</v>
      </c>
      <c r="AG25" s="10" t="s">
        <v>77</v>
      </c>
      <c r="AH25" s="10" t="s">
        <v>77</v>
      </c>
      <c r="AI25" s="10" t="s">
        <v>77</v>
      </c>
      <c r="AJ25" s="10" t="s">
        <v>77</v>
      </c>
      <c r="AK25" s="10" t="s">
        <v>77</v>
      </c>
      <c r="AL25" s="10" t="s">
        <v>77</v>
      </c>
      <c r="AM25" s="10" t="s">
        <v>77</v>
      </c>
      <c r="AN25" s="10" t="s">
        <v>77</v>
      </c>
      <c r="AO25" s="10"/>
      <c r="AP25" s="10" t="s">
        <v>73</v>
      </c>
      <c r="AQ25" s="10" t="s">
        <v>73</v>
      </c>
      <c r="AS25" s="10"/>
      <c r="AT25" s="10"/>
      <c r="AU25" s="10"/>
      <c r="AV25" s="10" t="s">
        <v>78</v>
      </c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R25" s="10" t="s">
        <v>78</v>
      </c>
      <c r="BS25" s="10"/>
      <c r="BT25" s="10"/>
      <c r="BU25" s="10"/>
      <c r="BV25" s="10"/>
      <c r="BW25" s="10"/>
      <c r="BX25" s="10"/>
      <c r="BY25" s="10"/>
      <c r="CA25" s="2" t="str">
        <f aca="false">IF(AS25="x","x",IF(AS25="-","-",""))</f>
        <v/>
      </c>
      <c r="CB25" s="2" t="str">
        <f aca="false">IF(AT25="x","x",IF(AT25="-","-",""))</f>
        <v/>
      </c>
      <c r="CC25" s="2" t="str">
        <f aca="false">IF(AU25="x","x",IF(AU25="-","-",""))</f>
        <v/>
      </c>
      <c r="CD25" s="2" t="str">
        <f aca="false">IF(AV25="x","x",IF(AV25="-","-",""))</f>
        <v>x</v>
      </c>
      <c r="CE25" s="2" t="str">
        <f aca="false">IF(AW25="x","x",IF(AW25="-","-",""))</f>
        <v/>
      </c>
      <c r="CF25" s="2" t="str">
        <f aca="false">IF(AX25="x","x",IF(AX25="-","-",""))</f>
        <v/>
      </c>
      <c r="CG25" s="2" t="str">
        <f aca="false">IF(AY25="x","x",IF(AY25="-","-",""))</f>
        <v/>
      </c>
      <c r="CH25" s="2" t="str">
        <f aca="false">IF(AZ25="x","x",IF(AZ25="-","-",""))</f>
        <v/>
      </c>
      <c r="CI25" s="2" t="str">
        <f aca="false">IF(BA25="x","x",IF(BA25="-","-",""))</f>
        <v/>
      </c>
      <c r="CJ25" s="2" t="str">
        <f aca="false">IF(BB25="x","x",IF(BB25="-","-",""))</f>
        <v/>
      </c>
      <c r="CK25" s="2" t="str">
        <f aca="false">IF(BC25="x","x",IF(BC25="-","-",""))</f>
        <v/>
      </c>
      <c r="CL25" s="2" t="str">
        <f aca="false">IF(BD25="x","x",IF(BD25="-","-",""))</f>
        <v/>
      </c>
      <c r="CM25" s="2" t="str">
        <f aca="false">IF(BE25="x","x",IF(BE25="-","-",""))</f>
        <v/>
      </c>
      <c r="CN25" s="2" t="str">
        <f aca="false">IF(BF25="x","x",IF(BF25="-","-",""))</f>
        <v/>
      </c>
      <c r="CO25" s="2" t="str">
        <f aca="false">IF(BG25="x","x",IF(BG25="-","-",""))</f>
        <v/>
      </c>
      <c r="CP25" s="2" t="str">
        <f aca="false">IF(BH25="x","x",IF(BH25="-","-",""))</f>
        <v/>
      </c>
      <c r="CQ25" s="2" t="str">
        <f aca="false">IF(BI25="x","x",IF(BI25="-","-",""))</f>
        <v/>
      </c>
      <c r="CR25" s="2" t="str">
        <f aca="false">IF(BJ25="x","x",IF(BJ25="-","-",""))</f>
        <v/>
      </c>
      <c r="CS25" s="2" t="str">
        <f aca="false">IF(BK25="x","x",IF(BK25="-","-",""))</f>
        <v/>
      </c>
      <c r="CT25" s="2" t="str">
        <f aca="false">IF(BL25="x","x",IF(BL25="-","-",""))</f>
        <v/>
      </c>
      <c r="CU25" s="2" t="str">
        <f aca="false">IF(BM25="x","x",IF(BM25="-","-",""))</f>
        <v/>
      </c>
      <c r="CV25" s="2" t="str">
        <f aca="false">IF(BN25="x","x",IF(BN25="-","-",""))</f>
        <v/>
      </c>
      <c r="CW25" s="2" t="str">
        <f aca="false">IF(BO25="x","x",IF(BO25="-","-",""))</f>
        <v/>
      </c>
      <c r="CX25" s="2" t="str">
        <f aca="false">IF(BP25="x","x",IF(BP25="-","-",""))</f>
        <v/>
      </c>
      <c r="CZ25" s="2" t="str">
        <f aca="false">IF(P25="x","x",IF(P25="-","-",""))</f>
        <v>-</v>
      </c>
      <c r="DA25" s="2" t="str">
        <f aca="false">IF(Q25="x","x",IF(Q25="-","-",""))</f>
        <v>-</v>
      </c>
      <c r="DB25" s="2" t="str">
        <f aca="false">IF(R25="x","x",IF(R25="-","-",""))</f>
        <v>-</v>
      </c>
      <c r="DC25" s="2" t="str">
        <f aca="false">IF(S25="x","x",IF(S25="-","-",""))</f>
        <v>-</v>
      </c>
      <c r="DD25" s="2" t="str">
        <f aca="false">IF(T25="x","x",IF(T25="-","-",""))</f>
        <v>-</v>
      </c>
      <c r="DE25" s="2" t="str">
        <f aca="false">IF(U25="x","x",IF(U25="-","-",""))</f>
        <v>-</v>
      </c>
      <c r="DF25" s="2" t="str">
        <f aca="false">IF(V25="x","x",IF(V25="-","-",""))</f>
        <v>-</v>
      </c>
      <c r="DG25" s="2" t="str">
        <f aca="false">IF(W25="x","x",IF(W25="-","-",""))</f>
        <v>-</v>
      </c>
      <c r="DH25" s="2" t="str">
        <f aca="false">IF(X25="x","x",IF(X25="-","-",""))</f>
        <v>-</v>
      </c>
      <c r="DI25" s="2" t="str">
        <f aca="false">IF(Y25="x","x",IF(Y25="-","-",""))</f>
        <v>-</v>
      </c>
      <c r="DJ25" s="2" t="str">
        <f aca="false">IF(Z25="x","x",IF(Z25="-","-",""))</f>
        <v>-</v>
      </c>
      <c r="DK25" s="2" t="str">
        <f aca="false">IF(AA25="x","x",IF(AA25="-","-",""))</f>
        <v>-</v>
      </c>
      <c r="DL25" s="10"/>
      <c r="DM25" s="2" t="str">
        <f aca="false">IF(AC25="x","x",IF(AC25="-","-",""))</f>
        <v>-</v>
      </c>
      <c r="DN25" s="2" t="str">
        <f aca="false">IF(AD25="x","x",IF(AD25="-","-",""))</f>
        <v>-</v>
      </c>
      <c r="DO25" s="2" t="str">
        <f aca="false">IF(AE25="x","x",IF(AE25="-","-",""))</f>
        <v>-</v>
      </c>
      <c r="DP25" s="2" t="str">
        <f aca="false">IF(AF25="x","x",IF(AF25="-","-",""))</f>
        <v>-</v>
      </c>
      <c r="DQ25" s="2" t="str">
        <f aca="false">IF(AG25="x","x",IF(AG25="-","-",""))</f>
        <v>-</v>
      </c>
      <c r="DR25" s="2" t="str">
        <f aca="false">IF(AH25="x","x",IF(AH25="-","-",""))</f>
        <v>-</v>
      </c>
      <c r="DS25" s="2" t="str">
        <f aca="false">IF(AI25="x","x",IF(AI25="-","-",""))</f>
        <v>-</v>
      </c>
      <c r="DT25" s="2" t="str">
        <f aca="false">IF(AJ25="x","x",IF(AJ25="-","-",""))</f>
        <v>-</v>
      </c>
      <c r="DU25" s="2" t="str">
        <f aca="false">IF(AK25="x","x",IF(AK25="-","-",""))</f>
        <v>-</v>
      </c>
      <c r="DV25" s="2" t="str">
        <f aca="false">IF(AL25="x","x",IF(AL25="-","-",""))</f>
        <v>-</v>
      </c>
      <c r="DW25" s="2" t="str">
        <f aca="false">IF(AM25="x","x",IF(AM25="-","-",""))</f>
        <v>-</v>
      </c>
      <c r="DX25" s="2" t="str">
        <f aca="false">IF(AN25="x","x",IF(AN25="-","-",""))</f>
        <v>-</v>
      </c>
    </row>
    <row r="26" customFormat="false" ht="13.8" hidden="false" customHeight="false" outlineLevel="0" collapsed="false">
      <c r="A26" s="10" t="s">
        <v>73</v>
      </c>
      <c r="B26" s="2" t="n">
        <v>25</v>
      </c>
      <c r="C26" s="11" t="s">
        <v>103</v>
      </c>
      <c r="D26" s="10" t="s">
        <v>104</v>
      </c>
      <c r="E26" s="10" t="s">
        <v>76</v>
      </c>
      <c r="F26" s="10" t="n">
        <v>25</v>
      </c>
      <c r="G26" s="10" t="s">
        <v>77</v>
      </c>
      <c r="H26" s="10" t="s">
        <v>77</v>
      </c>
      <c r="I26" s="10" t="s">
        <v>77</v>
      </c>
      <c r="J26" s="10" t="s">
        <v>77</v>
      </c>
      <c r="K26" s="10" t="s">
        <v>77</v>
      </c>
      <c r="L26" s="10" t="s">
        <v>77</v>
      </c>
      <c r="M26" s="2" t="n">
        <v>20</v>
      </c>
      <c r="N26" s="10" t="s">
        <v>77</v>
      </c>
      <c r="O26" s="10"/>
      <c r="P26" s="10" t="s">
        <v>77</v>
      </c>
      <c r="Q26" s="10" t="s">
        <v>77</v>
      </c>
      <c r="R26" s="10" t="s">
        <v>77</v>
      </c>
      <c r="S26" s="10" t="s">
        <v>77</v>
      </c>
      <c r="T26" s="10" t="s">
        <v>77</v>
      </c>
      <c r="U26" s="10" t="s">
        <v>77</v>
      </c>
      <c r="V26" s="10" t="s">
        <v>77</v>
      </c>
      <c r="W26" s="10" t="s">
        <v>77</v>
      </c>
      <c r="X26" s="10" t="s">
        <v>77</v>
      </c>
      <c r="Y26" s="10" t="s">
        <v>77</v>
      </c>
      <c r="Z26" s="10" t="s">
        <v>77</v>
      </c>
      <c r="AA26" s="10" t="s">
        <v>77</v>
      </c>
      <c r="AB26" s="10"/>
      <c r="AC26" s="10" t="s">
        <v>77</v>
      </c>
      <c r="AD26" s="10" t="s">
        <v>77</v>
      </c>
      <c r="AE26" s="10" t="s">
        <v>77</v>
      </c>
      <c r="AF26" s="10" t="s">
        <v>77</v>
      </c>
      <c r="AG26" s="10" t="s">
        <v>77</v>
      </c>
      <c r="AH26" s="10" t="s">
        <v>77</v>
      </c>
      <c r="AI26" s="10" t="s">
        <v>77</v>
      </c>
      <c r="AJ26" s="10" t="s">
        <v>77</v>
      </c>
      <c r="AK26" s="10" t="s">
        <v>77</v>
      </c>
      <c r="AL26" s="10" t="s">
        <v>77</v>
      </c>
      <c r="AM26" s="10" t="s">
        <v>77</v>
      </c>
      <c r="AN26" s="10" t="s">
        <v>77</v>
      </c>
      <c r="AO26" s="10"/>
      <c r="AP26" s="10" t="s">
        <v>73</v>
      </c>
      <c r="AQ26" s="10" t="s">
        <v>73</v>
      </c>
      <c r="AS26" s="10"/>
      <c r="AT26" s="10"/>
      <c r="AU26" s="10"/>
      <c r="AV26" s="10"/>
      <c r="AW26" s="10" t="s">
        <v>78</v>
      </c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R26" s="10" t="s">
        <v>78</v>
      </c>
      <c r="BS26" s="10"/>
      <c r="BT26" s="10"/>
      <c r="BU26" s="10"/>
      <c r="BV26" s="10"/>
      <c r="BW26" s="10"/>
      <c r="BX26" s="10"/>
      <c r="BY26" s="10"/>
      <c r="CA26" s="2" t="str">
        <f aca="false">IF(AS26="x","x",IF(AS26="-","-",""))</f>
        <v/>
      </c>
      <c r="CB26" s="2" t="str">
        <f aca="false">IF(AT26="x","x",IF(AT26="-","-",""))</f>
        <v/>
      </c>
      <c r="CC26" s="2" t="str">
        <f aca="false">IF(AU26="x","x",IF(AU26="-","-",""))</f>
        <v/>
      </c>
      <c r="CD26" s="2" t="str">
        <f aca="false">IF(AV26="x","x",IF(AV26="-","-",""))</f>
        <v/>
      </c>
      <c r="CE26" s="2" t="str">
        <f aca="false">IF(AW26="x","x",IF(AW26="-","-",""))</f>
        <v>x</v>
      </c>
      <c r="CF26" s="2" t="str">
        <f aca="false">IF(AX26="x","x",IF(AX26="-","-",""))</f>
        <v/>
      </c>
      <c r="CG26" s="2" t="str">
        <f aca="false">IF(AY26="x","x",IF(AY26="-","-",""))</f>
        <v/>
      </c>
      <c r="CH26" s="2" t="str">
        <f aca="false">IF(AZ26="x","x",IF(AZ26="-","-",""))</f>
        <v/>
      </c>
      <c r="CI26" s="2" t="str">
        <f aca="false">IF(BA26="x","x",IF(BA26="-","-",""))</f>
        <v/>
      </c>
      <c r="CJ26" s="2" t="str">
        <f aca="false">IF(BB26="x","x",IF(BB26="-","-",""))</f>
        <v/>
      </c>
      <c r="CK26" s="2" t="str">
        <f aca="false">IF(BC26="x","x",IF(BC26="-","-",""))</f>
        <v/>
      </c>
      <c r="CL26" s="2" t="str">
        <f aca="false">IF(BD26="x","x",IF(BD26="-","-",""))</f>
        <v/>
      </c>
      <c r="CM26" s="2" t="str">
        <f aca="false">IF(BE26="x","x",IF(BE26="-","-",""))</f>
        <v/>
      </c>
      <c r="CN26" s="2" t="str">
        <f aca="false">IF(BF26="x","x",IF(BF26="-","-",""))</f>
        <v/>
      </c>
      <c r="CO26" s="2" t="str">
        <f aca="false">IF(BG26="x","x",IF(BG26="-","-",""))</f>
        <v/>
      </c>
      <c r="CP26" s="2" t="str">
        <f aca="false">IF(BH26="x","x",IF(BH26="-","-",""))</f>
        <v/>
      </c>
      <c r="CQ26" s="2" t="str">
        <f aca="false">IF(BI26="x","x",IF(BI26="-","-",""))</f>
        <v/>
      </c>
      <c r="CR26" s="2" t="str">
        <f aca="false">IF(BJ26="x","x",IF(BJ26="-","-",""))</f>
        <v/>
      </c>
      <c r="CS26" s="2" t="str">
        <f aca="false">IF(BK26="x","x",IF(BK26="-","-",""))</f>
        <v/>
      </c>
      <c r="CT26" s="2" t="str">
        <f aca="false">IF(BL26="x","x",IF(BL26="-","-",""))</f>
        <v/>
      </c>
      <c r="CU26" s="2" t="str">
        <f aca="false">IF(BM26="x","x",IF(BM26="-","-",""))</f>
        <v/>
      </c>
      <c r="CV26" s="2" t="str">
        <f aca="false">IF(BN26="x","x",IF(BN26="-","-",""))</f>
        <v/>
      </c>
      <c r="CW26" s="2" t="str">
        <f aca="false">IF(BO26="x","x",IF(BO26="-","-",""))</f>
        <v/>
      </c>
      <c r="CX26" s="2" t="str">
        <f aca="false">IF(BP26="x","x",IF(BP26="-","-",""))</f>
        <v/>
      </c>
      <c r="CZ26" s="2" t="str">
        <f aca="false">IF(P26="x","x",IF(P26="-","-",""))</f>
        <v>-</v>
      </c>
      <c r="DA26" s="2" t="str">
        <f aca="false">IF(Q26="x","x",IF(Q26="-","-",""))</f>
        <v>-</v>
      </c>
      <c r="DB26" s="2" t="str">
        <f aca="false">IF(R26="x","x",IF(R26="-","-",""))</f>
        <v>-</v>
      </c>
      <c r="DC26" s="2" t="str">
        <f aca="false">IF(S26="x","x",IF(S26="-","-",""))</f>
        <v>-</v>
      </c>
      <c r="DD26" s="2" t="str">
        <f aca="false">IF(T26="x","x",IF(T26="-","-",""))</f>
        <v>-</v>
      </c>
      <c r="DE26" s="2" t="str">
        <f aca="false">IF(U26="x","x",IF(U26="-","-",""))</f>
        <v>-</v>
      </c>
      <c r="DF26" s="2" t="str">
        <f aca="false">IF(V26="x","x",IF(V26="-","-",""))</f>
        <v>-</v>
      </c>
      <c r="DG26" s="2" t="str">
        <f aca="false">IF(W26="x","x",IF(W26="-","-",""))</f>
        <v>-</v>
      </c>
      <c r="DH26" s="2" t="str">
        <f aca="false">IF(X26="x","x",IF(X26="-","-",""))</f>
        <v>-</v>
      </c>
      <c r="DI26" s="2" t="str">
        <f aca="false">IF(Y26="x","x",IF(Y26="-","-",""))</f>
        <v>-</v>
      </c>
      <c r="DJ26" s="2" t="str">
        <f aca="false">IF(Z26="x","x",IF(Z26="-","-",""))</f>
        <v>-</v>
      </c>
      <c r="DK26" s="2" t="str">
        <f aca="false">IF(AA26="x","x",IF(AA26="-","-",""))</f>
        <v>-</v>
      </c>
      <c r="DL26" s="10"/>
      <c r="DM26" s="2" t="str">
        <f aca="false">IF(AC26="x","x",IF(AC26="-","-",""))</f>
        <v>-</v>
      </c>
      <c r="DN26" s="2" t="str">
        <f aca="false">IF(AD26="x","x",IF(AD26="-","-",""))</f>
        <v>-</v>
      </c>
      <c r="DO26" s="2" t="str">
        <f aca="false">IF(AE26="x","x",IF(AE26="-","-",""))</f>
        <v>-</v>
      </c>
      <c r="DP26" s="2" t="str">
        <f aca="false">IF(AF26="x","x",IF(AF26="-","-",""))</f>
        <v>-</v>
      </c>
      <c r="DQ26" s="2" t="str">
        <f aca="false">IF(AG26="x","x",IF(AG26="-","-",""))</f>
        <v>-</v>
      </c>
      <c r="DR26" s="2" t="str">
        <f aca="false">IF(AH26="x","x",IF(AH26="-","-",""))</f>
        <v>-</v>
      </c>
      <c r="DS26" s="2" t="str">
        <f aca="false">IF(AI26="x","x",IF(AI26="-","-",""))</f>
        <v>-</v>
      </c>
      <c r="DT26" s="2" t="str">
        <f aca="false">IF(AJ26="x","x",IF(AJ26="-","-",""))</f>
        <v>-</v>
      </c>
      <c r="DU26" s="2" t="str">
        <f aca="false">IF(AK26="x","x",IF(AK26="-","-",""))</f>
        <v>-</v>
      </c>
      <c r="DV26" s="2" t="str">
        <f aca="false">IF(AL26="x","x",IF(AL26="-","-",""))</f>
        <v>-</v>
      </c>
      <c r="DW26" s="2" t="str">
        <f aca="false">IF(AM26="x","x",IF(AM26="-","-",""))</f>
        <v>-</v>
      </c>
      <c r="DX26" s="2" t="str">
        <f aca="false">IF(AN26="x","x",IF(AN26="-","-",""))</f>
        <v>-</v>
      </c>
    </row>
    <row r="27" customFormat="false" ht="13.8" hidden="false" customHeight="false" outlineLevel="0" collapsed="false">
      <c r="A27" s="10" t="s">
        <v>73</v>
      </c>
      <c r="B27" s="2" t="n">
        <v>26</v>
      </c>
      <c r="C27" s="11" t="s">
        <v>105</v>
      </c>
      <c r="D27" s="10" t="s">
        <v>104</v>
      </c>
      <c r="E27" s="10" t="s">
        <v>76</v>
      </c>
      <c r="F27" s="10" t="n">
        <v>26</v>
      </c>
      <c r="G27" s="10" t="s">
        <v>77</v>
      </c>
      <c r="H27" s="10" t="s">
        <v>77</v>
      </c>
      <c r="I27" s="10" t="s">
        <v>77</v>
      </c>
      <c r="J27" s="10" t="s">
        <v>77</v>
      </c>
      <c r="K27" s="10" t="s">
        <v>77</v>
      </c>
      <c r="L27" s="10" t="s">
        <v>77</v>
      </c>
      <c r="M27" s="2" t="n">
        <v>20</v>
      </c>
      <c r="N27" s="10" t="s">
        <v>77</v>
      </c>
      <c r="O27" s="10"/>
      <c r="P27" s="10" t="s">
        <v>77</v>
      </c>
      <c r="Q27" s="10" t="s">
        <v>77</v>
      </c>
      <c r="R27" s="10" t="s">
        <v>77</v>
      </c>
      <c r="S27" s="10" t="s">
        <v>77</v>
      </c>
      <c r="T27" s="10" t="s">
        <v>77</v>
      </c>
      <c r="U27" s="10" t="s">
        <v>77</v>
      </c>
      <c r="V27" s="10" t="s">
        <v>77</v>
      </c>
      <c r="W27" s="10" t="s">
        <v>77</v>
      </c>
      <c r="X27" s="10" t="s">
        <v>77</v>
      </c>
      <c r="Y27" s="10" t="s">
        <v>77</v>
      </c>
      <c r="Z27" s="10" t="s">
        <v>77</v>
      </c>
      <c r="AA27" s="10" t="s">
        <v>77</v>
      </c>
      <c r="AB27" s="10"/>
      <c r="AC27" s="10" t="s">
        <v>77</v>
      </c>
      <c r="AD27" s="10" t="s">
        <v>77</v>
      </c>
      <c r="AE27" s="10" t="s">
        <v>77</v>
      </c>
      <c r="AF27" s="10" t="s">
        <v>77</v>
      </c>
      <c r="AG27" s="10" t="s">
        <v>77</v>
      </c>
      <c r="AH27" s="10" t="s">
        <v>77</v>
      </c>
      <c r="AI27" s="10" t="s">
        <v>77</v>
      </c>
      <c r="AJ27" s="10" t="s">
        <v>77</v>
      </c>
      <c r="AK27" s="10" t="s">
        <v>77</v>
      </c>
      <c r="AL27" s="10" t="s">
        <v>77</v>
      </c>
      <c r="AM27" s="10" t="s">
        <v>77</v>
      </c>
      <c r="AN27" s="10" t="s">
        <v>77</v>
      </c>
      <c r="AO27" s="10"/>
      <c r="AP27" s="10" t="s">
        <v>73</v>
      </c>
      <c r="AQ27" s="10" t="s">
        <v>73</v>
      </c>
      <c r="AS27" s="10"/>
      <c r="AT27" s="10"/>
      <c r="AU27" s="10"/>
      <c r="AV27" s="10"/>
      <c r="AW27" s="10" t="s">
        <v>78</v>
      </c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R27" s="10" t="s">
        <v>78</v>
      </c>
      <c r="BS27" s="10"/>
      <c r="BT27" s="10"/>
      <c r="BU27" s="10"/>
      <c r="BV27" s="10"/>
      <c r="BW27" s="10"/>
      <c r="BX27" s="10"/>
      <c r="BY27" s="10"/>
      <c r="CA27" s="2" t="str">
        <f aca="false">IF(AS27="x","x",IF(AS27="-","-",""))</f>
        <v/>
      </c>
      <c r="CB27" s="2" t="str">
        <f aca="false">IF(AT27="x","x",IF(AT27="-","-",""))</f>
        <v/>
      </c>
      <c r="CC27" s="2" t="str">
        <f aca="false">IF(AU27="x","x",IF(AU27="-","-",""))</f>
        <v/>
      </c>
      <c r="CD27" s="2" t="str">
        <f aca="false">IF(AV27="x","x",IF(AV27="-","-",""))</f>
        <v/>
      </c>
      <c r="CE27" s="2" t="str">
        <f aca="false">IF(AW27="x","x",IF(AW27="-","-",""))</f>
        <v>x</v>
      </c>
      <c r="CF27" s="2" t="str">
        <f aca="false">IF(AX27="x","x",IF(AX27="-","-",""))</f>
        <v/>
      </c>
      <c r="CG27" s="2" t="str">
        <f aca="false">IF(AY27="x","x",IF(AY27="-","-",""))</f>
        <v/>
      </c>
      <c r="CH27" s="2" t="str">
        <f aca="false">IF(AZ27="x","x",IF(AZ27="-","-",""))</f>
        <v/>
      </c>
      <c r="CI27" s="2" t="str">
        <f aca="false">IF(BA27="x","x",IF(BA27="-","-",""))</f>
        <v/>
      </c>
      <c r="CJ27" s="2" t="str">
        <f aca="false">IF(BB27="x","x",IF(BB27="-","-",""))</f>
        <v/>
      </c>
      <c r="CK27" s="2" t="str">
        <f aca="false">IF(BC27="x","x",IF(BC27="-","-",""))</f>
        <v/>
      </c>
      <c r="CL27" s="2" t="str">
        <f aca="false">IF(BD27="x","x",IF(BD27="-","-",""))</f>
        <v/>
      </c>
      <c r="CM27" s="2" t="str">
        <f aca="false">IF(BE27="x","x",IF(BE27="-","-",""))</f>
        <v/>
      </c>
      <c r="CN27" s="2" t="str">
        <f aca="false">IF(BF27="x","x",IF(BF27="-","-",""))</f>
        <v/>
      </c>
      <c r="CO27" s="2" t="str">
        <f aca="false">IF(BG27="x","x",IF(BG27="-","-",""))</f>
        <v/>
      </c>
      <c r="CP27" s="2" t="str">
        <f aca="false">IF(BH27="x","x",IF(BH27="-","-",""))</f>
        <v/>
      </c>
      <c r="CQ27" s="2" t="str">
        <f aca="false">IF(BI27="x","x",IF(BI27="-","-",""))</f>
        <v/>
      </c>
      <c r="CR27" s="2" t="str">
        <f aca="false">IF(BJ27="x","x",IF(BJ27="-","-",""))</f>
        <v/>
      </c>
      <c r="CS27" s="2" t="str">
        <f aca="false">IF(BK27="x","x",IF(BK27="-","-",""))</f>
        <v/>
      </c>
      <c r="CT27" s="2" t="str">
        <f aca="false">IF(BL27="x","x",IF(BL27="-","-",""))</f>
        <v/>
      </c>
      <c r="CU27" s="2" t="str">
        <f aca="false">IF(BM27="x","x",IF(BM27="-","-",""))</f>
        <v/>
      </c>
      <c r="CV27" s="2" t="str">
        <f aca="false">IF(BN27="x","x",IF(BN27="-","-",""))</f>
        <v/>
      </c>
      <c r="CW27" s="2" t="str">
        <f aca="false">IF(BO27="x","x",IF(BO27="-","-",""))</f>
        <v/>
      </c>
      <c r="CX27" s="2" t="str">
        <f aca="false">IF(BP27="x","x",IF(BP27="-","-",""))</f>
        <v/>
      </c>
      <c r="CZ27" s="2" t="str">
        <f aca="false">IF(P27="x","x",IF(P27="-","-",""))</f>
        <v>-</v>
      </c>
      <c r="DA27" s="2" t="str">
        <f aca="false">IF(Q27="x","x",IF(Q27="-","-",""))</f>
        <v>-</v>
      </c>
      <c r="DB27" s="2" t="str">
        <f aca="false">IF(R27="x","x",IF(R27="-","-",""))</f>
        <v>-</v>
      </c>
      <c r="DC27" s="2" t="str">
        <f aca="false">IF(S27="x","x",IF(S27="-","-",""))</f>
        <v>-</v>
      </c>
      <c r="DD27" s="2" t="str">
        <f aca="false">IF(T27="x","x",IF(T27="-","-",""))</f>
        <v>-</v>
      </c>
      <c r="DE27" s="2" t="str">
        <f aca="false">IF(U27="x","x",IF(U27="-","-",""))</f>
        <v>-</v>
      </c>
      <c r="DF27" s="2" t="str">
        <f aca="false">IF(V27="x","x",IF(V27="-","-",""))</f>
        <v>-</v>
      </c>
      <c r="DG27" s="2" t="str">
        <f aca="false">IF(W27="x","x",IF(W27="-","-",""))</f>
        <v>-</v>
      </c>
      <c r="DH27" s="2" t="str">
        <f aca="false">IF(X27="x","x",IF(X27="-","-",""))</f>
        <v>-</v>
      </c>
      <c r="DI27" s="2" t="str">
        <f aca="false">IF(Y27="x","x",IF(Y27="-","-",""))</f>
        <v>-</v>
      </c>
      <c r="DJ27" s="2" t="str">
        <f aca="false">IF(Z27="x","x",IF(Z27="-","-",""))</f>
        <v>-</v>
      </c>
      <c r="DK27" s="2" t="str">
        <f aca="false">IF(AA27="x","x",IF(AA27="-","-",""))</f>
        <v>-</v>
      </c>
      <c r="DL27" s="10"/>
      <c r="DM27" s="2" t="str">
        <f aca="false">IF(AC27="x","x",IF(AC27="-","-",""))</f>
        <v>-</v>
      </c>
      <c r="DN27" s="2" t="str">
        <f aca="false">IF(AD27="x","x",IF(AD27="-","-",""))</f>
        <v>-</v>
      </c>
      <c r="DO27" s="2" t="str">
        <f aca="false">IF(AE27="x","x",IF(AE27="-","-",""))</f>
        <v>-</v>
      </c>
      <c r="DP27" s="2" t="str">
        <f aca="false">IF(AF27="x","x",IF(AF27="-","-",""))</f>
        <v>-</v>
      </c>
      <c r="DQ27" s="2" t="str">
        <f aca="false">IF(AG27="x","x",IF(AG27="-","-",""))</f>
        <v>-</v>
      </c>
      <c r="DR27" s="2" t="str">
        <f aca="false">IF(AH27="x","x",IF(AH27="-","-",""))</f>
        <v>-</v>
      </c>
      <c r="DS27" s="2" t="str">
        <f aca="false">IF(AI27="x","x",IF(AI27="-","-",""))</f>
        <v>-</v>
      </c>
      <c r="DT27" s="2" t="str">
        <f aca="false">IF(AJ27="x","x",IF(AJ27="-","-",""))</f>
        <v>-</v>
      </c>
      <c r="DU27" s="2" t="str">
        <f aca="false">IF(AK27="x","x",IF(AK27="-","-",""))</f>
        <v>-</v>
      </c>
      <c r="DV27" s="2" t="str">
        <f aca="false">IF(AL27="x","x",IF(AL27="-","-",""))</f>
        <v>-</v>
      </c>
      <c r="DW27" s="2" t="str">
        <f aca="false">IF(AM27="x","x",IF(AM27="-","-",""))</f>
        <v>-</v>
      </c>
      <c r="DX27" s="2" t="str">
        <f aca="false">IF(AN27="x","x",IF(AN27="-","-",""))</f>
        <v>-</v>
      </c>
    </row>
    <row r="28" customFormat="false" ht="13.8" hidden="false" customHeight="false" outlineLevel="0" collapsed="false">
      <c r="A28" s="10" t="s">
        <v>73</v>
      </c>
      <c r="B28" s="2" t="n">
        <v>27</v>
      </c>
      <c r="C28" s="11" t="s">
        <v>106</v>
      </c>
      <c r="D28" s="10" t="s">
        <v>104</v>
      </c>
      <c r="E28" s="10" t="s">
        <v>76</v>
      </c>
      <c r="F28" s="10" t="n">
        <v>27</v>
      </c>
      <c r="G28" s="3"/>
      <c r="H28" s="3"/>
      <c r="I28" s="3"/>
      <c r="J28" s="10" t="s">
        <v>77</v>
      </c>
      <c r="K28" s="10" t="s">
        <v>77</v>
      </c>
      <c r="L28" s="10" t="s">
        <v>77</v>
      </c>
      <c r="M28" s="2" t="n">
        <v>20</v>
      </c>
      <c r="N28" s="10" t="s">
        <v>77</v>
      </c>
      <c r="O28" s="10"/>
      <c r="P28" s="10" t="s">
        <v>77</v>
      </c>
      <c r="Q28" s="10" t="s">
        <v>77</v>
      </c>
      <c r="R28" s="10" t="s">
        <v>77</v>
      </c>
      <c r="S28" s="10" t="s">
        <v>77</v>
      </c>
      <c r="T28" s="10" t="s">
        <v>77</v>
      </c>
      <c r="U28" s="10" t="s">
        <v>77</v>
      </c>
      <c r="V28" s="10" t="s">
        <v>77</v>
      </c>
      <c r="W28" s="10" t="s">
        <v>77</v>
      </c>
      <c r="X28" s="10" t="s">
        <v>77</v>
      </c>
      <c r="Y28" s="10" t="s">
        <v>77</v>
      </c>
      <c r="Z28" s="10" t="s">
        <v>77</v>
      </c>
      <c r="AA28" s="10" t="s">
        <v>77</v>
      </c>
      <c r="AB28" s="10"/>
      <c r="AC28" s="10" t="s">
        <v>77</v>
      </c>
      <c r="AD28" s="10" t="s">
        <v>77</v>
      </c>
      <c r="AE28" s="10" t="s">
        <v>77</v>
      </c>
      <c r="AF28" s="10" t="s">
        <v>77</v>
      </c>
      <c r="AG28" s="10" t="s">
        <v>77</v>
      </c>
      <c r="AH28" s="10" t="s">
        <v>77</v>
      </c>
      <c r="AI28" s="10" t="s">
        <v>77</v>
      </c>
      <c r="AJ28" s="10" t="s">
        <v>77</v>
      </c>
      <c r="AK28" s="10" t="s">
        <v>77</v>
      </c>
      <c r="AL28" s="10" t="s">
        <v>77</v>
      </c>
      <c r="AM28" s="10" t="s">
        <v>77</v>
      </c>
      <c r="AN28" s="10" t="s">
        <v>77</v>
      </c>
      <c r="AO28" s="10"/>
      <c r="AP28" s="10" t="s">
        <v>73</v>
      </c>
      <c r="AQ28" s="10" t="s">
        <v>73</v>
      </c>
      <c r="AS28" s="10"/>
      <c r="AT28" s="10"/>
      <c r="AU28" s="10"/>
      <c r="AV28" s="10"/>
      <c r="AW28" s="10" t="s">
        <v>78</v>
      </c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R28" s="10" t="s">
        <v>78</v>
      </c>
      <c r="BS28" s="10"/>
      <c r="BT28" s="10"/>
      <c r="BU28" s="10"/>
      <c r="BV28" s="10"/>
      <c r="BW28" s="10"/>
      <c r="BX28" s="10"/>
      <c r="BY28" s="10"/>
      <c r="CA28" s="2" t="str">
        <f aca="false">IF(AS28="x","x",IF(AS28="-","-",""))</f>
        <v/>
      </c>
      <c r="CB28" s="2" t="str">
        <f aca="false">IF(AT28="x","x",IF(AT28="-","-",""))</f>
        <v/>
      </c>
      <c r="CC28" s="2" t="str">
        <f aca="false">IF(AU28="x","x",IF(AU28="-","-",""))</f>
        <v/>
      </c>
      <c r="CD28" s="2" t="str">
        <f aca="false">IF(AV28="x","x",IF(AV28="-","-",""))</f>
        <v/>
      </c>
      <c r="CE28" s="2" t="str">
        <f aca="false">IF(AW28="x","x",IF(AW28="-","-",""))</f>
        <v>x</v>
      </c>
      <c r="CF28" s="2" t="str">
        <f aca="false">IF(AX28="x","x",IF(AX28="-","-",""))</f>
        <v/>
      </c>
      <c r="CG28" s="2" t="str">
        <f aca="false">IF(AY28="x","x",IF(AY28="-","-",""))</f>
        <v/>
      </c>
      <c r="CH28" s="2" t="str">
        <f aca="false">IF(AZ28="x","x",IF(AZ28="-","-",""))</f>
        <v/>
      </c>
      <c r="CI28" s="2" t="str">
        <f aca="false">IF(BA28="x","x",IF(BA28="-","-",""))</f>
        <v/>
      </c>
      <c r="CJ28" s="2" t="str">
        <f aca="false">IF(BB28="x","x",IF(BB28="-","-",""))</f>
        <v/>
      </c>
      <c r="CK28" s="2" t="str">
        <f aca="false">IF(BC28="x","x",IF(BC28="-","-",""))</f>
        <v/>
      </c>
      <c r="CL28" s="2" t="str">
        <f aca="false">IF(BD28="x","x",IF(BD28="-","-",""))</f>
        <v/>
      </c>
      <c r="CM28" s="2" t="str">
        <f aca="false">IF(BE28="x","x",IF(BE28="-","-",""))</f>
        <v/>
      </c>
      <c r="CN28" s="2" t="str">
        <f aca="false">IF(BF28="x","x",IF(BF28="-","-",""))</f>
        <v/>
      </c>
      <c r="CO28" s="2" t="str">
        <f aca="false">IF(BG28="x","x",IF(BG28="-","-",""))</f>
        <v/>
      </c>
      <c r="CP28" s="2" t="str">
        <f aca="false">IF(BH28="x","x",IF(BH28="-","-",""))</f>
        <v/>
      </c>
      <c r="CQ28" s="2" t="str">
        <f aca="false">IF(BI28="x","x",IF(BI28="-","-",""))</f>
        <v/>
      </c>
      <c r="CR28" s="2" t="str">
        <f aca="false">IF(BJ28="x","x",IF(BJ28="-","-",""))</f>
        <v/>
      </c>
      <c r="CS28" s="2" t="str">
        <f aca="false">IF(BK28="x","x",IF(BK28="-","-",""))</f>
        <v/>
      </c>
      <c r="CT28" s="2" t="str">
        <f aca="false">IF(BL28="x","x",IF(BL28="-","-",""))</f>
        <v/>
      </c>
      <c r="CU28" s="2" t="str">
        <f aca="false">IF(BM28="x","x",IF(BM28="-","-",""))</f>
        <v/>
      </c>
      <c r="CV28" s="2" t="str">
        <f aca="false">IF(BN28="x","x",IF(BN28="-","-",""))</f>
        <v/>
      </c>
      <c r="CW28" s="2" t="str">
        <f aca="false">IF(BO28="x","x",IF(BO28="-","-",""))</f>
        <v/>
      </c>
      <c r="CX28" s="2" t="str">
        <f aca="false">IF(BP28="x","x",IF(BP28="-","-",""))</f>
        <v/>
      </c>
      <c r="CZ28" s="2" t="str">
        <f aca="false">IF(P28="x","x",IF(P28="-","-",""))</f>
        <v>-</v>
      </c>
      <c r="DA28" s="2" t="str">
        <f aca="false">IF(Q28="x","x",IF(Q28="-","-",""))</f>
        <v>-</v>
      </c>
      <c r="DB28" s="2" t="str">
        <f aca="false">IF(R28="x","x",IF(R28="-","-",""))</f>
        <v>-</v>
      </c>
      <c r="DC28" s="2" t="str">
        <f aca="false">IF(S28="x","x",IF(S28="-","-",""))</f>
        <v>-</v>
      </c>
      <c r="DD28" s="2" t="str">
        <f aca="false">IF(T28="x","x",IF(T28="-","-",""))</f>
        <v>-</v>
      </c>
      <c r="DE28" s="2" t="str">
        <f aca="false">IF(U28="x","x",IF(U28="-","-",""))</f>
        <v>-</v>
      </c>
      <c r="DF28" s="2" t="str">
        <f aca="false">IF(V28="x","x",IF(V28="-","-",""))</f>
        <v>-</v>
      </c>
      <c r="DG28" s="2" t="str">
        <f aca="false">IF(W28="x","x",IF(W28="-","-",""))</f>
        <v>-</v>
      </c>
      <c r="DH28" s="2" t="str">
        <f aca="false">IF(X28="x","x",IF(X28="-","-",""))</f>
        <v>-</v>
      </c>
      <c r="DI28" s="2" t="str">
        <f aca="false">IF(Y28="x","x",IF(Y28="-","-",""))</f>
        <v>-</v>
      </c>
      <c r="DJ28" s="2" t="str">
        <f aca="false">IF(Z28="x","x",IF(Z28="-","-",""))</f>
        <v>-</v>
      </c>
      <c r="DK28" s="2" t="str">
        <f aca="false">IF(AA28="x","x",IF(AA28="-","-",""))</f>
        <v>-</v>
      </c>
      <c r="DL28" s="10"/>
      <c r="DM28" s="2" t="str">
        <f aca="false">IF(AC28="x","x",IF(AC28="-","-",""))</f>
        <v>-</v>
      </c>
      <c r="DN28" s="2" t="str">
        <f aca="false">IF(AD28="x","x",IF(AD28="-","-",""))</f>
        <v>-</v>
      </c>
      <c r="DO28" s="2" t="str">
        <f aca="false">IF(AE28="x","x",IF(AE28="-","-",""))</f>
        <v>-</v>
      </c>
      <c r="DP28" s="2" t="str">
        <f aca="false">IF(AF28="x","x",IF(AF28="-","-",""))</f>
        <v>-</v>
      </c>
      <c r="DQ28" s="2" t="str">
        <f aca="false">IF(AG28="x","x",IF(AG28="-","-",""))</f>
        <v>-</v>
      </c>
      <c r="DR28" s="2" t="str">
        <f aca="false">IF(AH28="x","x",IF(AH28="-","-",""))</f>
        <v>-</v>
      </c>
      <c r="DS28" s="2" t="str">
        <f aca="false">IF(AI28="x","x",IF(AI28="-","-",""))</f>
        <v>-</v>
      </c>
      <c r="DT28" s="2" t="str">
        <f aca="false">IF(AJ28="x","x",IF(AJ28="-","-",""))</f>
        <v>-</v>
      </c>
      <c r="DU28" s="2" t="str">
        <f aca="false">IF(AK28="x","x",IF(AK28="-","-",""))</f>
        <v>-</v>
      </c>
      <c r="DV28" s="2" t="str">
        <f aca="false">IF(AL28="x","x",IF(AL28="-","-",""))</f>
        <v>-</v>
      </c>
      <c r="DW28" s="2" t="str">
        <f aca="false">IF(AM28="x","x",IF(AM28="-","-",""))</f>
        <v>-</v>
      </c>
      <c r="DX28" s="2" t="str">
        <f aca="false">IF(AN28="x","x",IF(AN28="-","-",""))</f>
        <v>-</v>
      </c>
    </row>
    <row r="29" customFormat="false" ht="13.8" hidden="false" customHeight="false" outlineLevel="0" collapsed="false">
      <c r="A29" s="10" t="s">
        <v>73</v>
      </c>
      <c r="B29" s="2" t="n">
        <v>28</v>
      </c>
      <c r="C29" s="11" t="s">
        <v>107</v>
      </c>
      <c r="D29" s="10" t="s">
        <v>104</v>
      </c>
      <c r="E29" s="10" t="s">
        <v>76</v>
      </c>
      <c r="F29" s="10" t="n">
        <v>28</v>
      </c>
      <c r="G29" s="10" t="s">
        <v>77</v>
      </c>
      <c r="H29" s="10" t="s">
        <v>77</v>
      </c>
      <c r="I29" s="10" t="s">
        <v>77</v>
      </c>
      <c r="J29" s="10" t="s">
        <v>77</v>
      </c>
      <c r="K29" s="10" t="s">
        <v>77</v>
      </c>
      <c r="L29" s="10" t="s">
        <v>77</v>
      </c>
      <c r="M29" s="2" t="n">
        <v>20</v>
      </c>
      <c r="N29" s="10" t="s">
        <v>77</v>
      </c>
      <c r="O29" s="10"/>
      <c r="P29" s="10" t="s">
        <v>77</v>
      </c>
      <c r="Q29" s="10" t="s">
        <v>77</v>
      </c>
      <c r="R29" s="10" t="s">
        <v>77</v>
      </c>
      <c r="S29" s="10" t="s">
        <v>77</v>
      </c>
      <c r="T29" s="10" t="s">
        <v>77</v>
      </c>
      <c r="U29" s="10" t="s">
        <v>77</v>
      </c>
      <c r="V29" s="10" t="s">
        <v>77</v>
      </c>
      <c r="W29" s="10" t="s">
        <v>77</v>
      </c>
      <c r="X29" s="10" t="s">
        <v>77</v>
      </c>
      <c r="Y29" s="10" t="s">
        <v>77</v>
      </c>
      <c r="Z29" s="10" t="s">
        <v>77</v>
      </c>
      <c r="AA29" s="10" t="s">
        <v>77</v>
      </c>
      <c r="AB29" s="10"/>
      <c r="AC29" s="10" t="s">
        <v>77</v>
      </c>
      <c r="AD29" s="10" t="s">
        <v>77</v>
      </c>
      <c r="AE29" s="10" t="s">
        <v>77</v>
      </c>
      <c r="AF29" s="10" t="s">
        <v>77</v>
      </c>
      <c r="AG29" s="10" t="s">
        <v>77</v>
      </c>
      <c r="AH29" s="10" t="s">
        <v>77</v>
      </c>
      <c r="AI29" s="10" t="s">
        <v>77</v>
      </c>
      <c r="AJ29" s="10" t="s">
        <v>77</v>
      </c>
      <c r="AK29" s="10" t="s">
        <v>77</v>
      </c>
      <c r="AL29" s="10" t="s">
        <v>77</v>
      </c>
      <c r="AM29" s="10" t="s">
        <v>77</v>
      </c>
      <c r="AN29" s="10" t="s">
        <v>77</v>
      </c>
      <c r="AO29" s="10"/>
      <c r="AP29" s="10" t="s">
        <v>73</v>
      </c>
      <c r="AQ29" s="10" t="s">
        <v>73</v>
      </c>
      <c r="AS29" s="10"/>
      <c r="AT29" s="10"/>
      <c r="AU29" s="10"/>
      <c r="AV29" s="10"/>
      <c r="AW29" s="10" t="s">
        <v>78</v>
      </c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R29" s="10" t="s">
        <v>78</v>
      </c>
      <c r="BS29" s="10"/>
      <c r="BT29" s="10"/>
      <c r="BU29" s="10"/>
      <c r="BV29" s="10"/>
      <c r="BW29" s="10"/>
      <c r="BX29" s="10"/>
      <c r="BY29" s="10"/>
      <c r="CA29" s="2" t="str">
        <f aca="false">IF(AS29="x","x",IF(AS29="-","-",""))</f>
        <v/>
      </c>
      <c r="CB29" s="2" t="str">
        <f aca="false">IF(AT29="x","x",IF(AT29="-","-",""))</f>
        <v/>
      </c>
      <c r="CC29" s="2" t="str">
        <f aca="false">IF(AU29="x","x",IF(AU29="-","-",""))</f>
        <v/>
      </c>
      <c r="CD29" s="2" t="str">
        <f aca="false">IF(AV29="x","x",IF(AV29="-","-",""))</f>
        <v/>
      </c>
      <c r="CE29" s="2" t="str">
        <f aca="false">IF(AW29="x","x",IF(AW29="-","-",""))</f>
        <v>x</v>
      </c>
      <c r="CF29" s="2" t="str">
        <f aca="false">IF(AX29="x","x",IF(AX29="-","-",""))</f>
        <v/>
      </c>
      <c r="CG29" s="2" t="str">
        <f aca="false">IF(AY29="x","x",IF(AY29="-","-",""))</f>
        <v/>
      </c>
      <c r="CH29" s="2" t="str">
        <f aca="false">IF(AZ29="x","x",IF(AZ29="-","-",""))</f>
        <v/>
      </c>
      <c r="CI29" s="2" t="str">
        <f aca="false">IF(BA29="x","x",IF(BA29="-","-",""))</f>
        <v/>
      </c>
      <c r="CJ29" s="2" t="str">
        <f aca="false">IF(BB29="x","x",IF(BB29="-","-",""))</f>
        <v/>
      </c>
      <c r="CK29" s="2" t="str">
        <f aca="false">IF(BC29="x","x",IF(BC29="-","-",""))</f>
        <v/>
      </c>
      <c r="CL29" s="2" t="str">
        <f aca="false">IF(BD29="x","x",IF(BD29="-","-",""))</f>
        <v/>
      </c>
      <c r="CM29" s="2" t="str">
        <f aca="false">IF(BE29="x","x",IF(BE29="-","-",""))</f>
        <v/>
      </c>
      <c r="CN29" s="2" t="str">
        <f aca="false">IF(BF29="x","x",IF(BF29="-","-",""))</f>
        <v/>
      </c>
      <c r="CO29" s="2" t="str">
        <f aca="false">IF(BG29="x","x",IF(BG29="-","-",""))</f>
        <v/>
      </c>
      <c r="CP29" s="2" t="str">
        <f aca="false">IF(BH29="x","x",IF(BH29="-","-",""))</f>
        <v/>
      </c>
      <c r="CQ29" s="2" t="str">
        <f aca="false">IF(BI29="x","x",IF(BI29="-","-",""))</f>
        <v/>
      </c>
      <c r="CR29" s="2" t="str">
        <f aca="false">IF(BJ29="x","x",IF(BJ29="-","-",""))</f>
        <v/>
      </c>
      <c r="CS29" s="2" t="str">
        <f aca="false">IF(BK29="x","x",IF(BK29="-","-",""))</f>
        <v/>
      </c>
      <c r="CT29" s="2" t="str">
        <f aca="false">IF(BL29="x","x",IF(BL29="-","-",""))</f>
        <v/>
      </c>
      <c r="CU29" s="2" t="str">
        <f aca="false">IF(BM29="x","x",IF(BM29="-","-",""))</f>
        <v/>
      </c>
      <c r="CV29" s="2" t="str">
        <f aca="false">IF(BN29="x","x",IF(BN29="-","-",""))</f>
        <v/>
      </c>
      <c r="CW29" s="2" t="str">
        <f aca="false">IF(BO29="x","x",IF(BO29="-","-",""))</f>
        <v/>
      </c>
      <c r="CX29" s="2" t="str">
        <f aca="false">IF(BP29="x","x",IF(BP29="-","-",""))</f>
        <v/>
      </c>
      <c r="CZ29" s="2" t="str">
        <f aca="false">IF(P29="x","x",IF(P29="-","-",""))</f>
        <v>-</v>
      </c>
      <c r="DA29" s="2" t="str">
        <f aca="false">IF(Q29="x","x",IF(Q29="-","-",""))</f>
        <v>-</v>
      </c>
      <c r="DB29" s="2" t="str">
        <f aca="false">IF(R29="x","x",IF(R29="-","-",""))</f>
        <v>-</v>
      </c>
      <c r="DC29" s="2" t="str">
        <f aca="false">IF(S29="x","x",IF(S29="-","-",""))</f>
        <v>-</v>
      </c>
      <c r="DD29" s="2" t="str">
        <f aca="false">IF(T29="x","x",IF(T29="-","-",""))</f>
        <v>-</v>
      </c>
      <c r="DE29" s="2" t="str">
        <f aca="false">IF(U29="x","x",IF(U29="-","-",""))</f>
        <v>-</v>
      </c>
      <c r="DF29" s="2" t="str">
        <f aca="false">IF(V29="x","x",IF(V29="-","-",""))</f>
        <v>-</v>
      </c>
      <c r="DG29" s="2" t="str">
        <f aca="false">IF(W29="x","x",IF(W29="-","-",""))</f>
        <v>-</v>
      </c>
      <c r="DH29" s="2" t="str">
        <f aca="false">IF(X29="x","x",IF(X29="-","-",""))</f>
        <v>-</v>
      </c>
      <c r="DI29" s="2" t="str">
        <f aca="false">IF(Y29="x","x",IF(Y29="-","-",""))</f>
        <v>-</v>
      </c>
      <c r="DJ29" s="2" t="str">
        <f aca="false">IF(Z29="x","x",IF(Z29="-","-",""))</f>
        <v>-</v>
      </c>
      <c r="DK29" s="2" t="str">
        <f aca="false">IF(AA29="x","x",IF(AA29="-","-",""))</f>
        <v>-</v>
      </c>
      <c r="DL29" s="10"/>
      <c r="DM29" s="2" t="str">
        <f aca="false">IF(AC29="x","x",IF(AC29="-","-",""))</f>
        <v>-</v>
      </c>
      <c r="DN29" s="2" t="str">
        <f aca="false">IF(AD29="x","x",IF(AD29="-","-",""))</f>
        <v>-</v>
      </c>
      <c r="DO29" s="2" t="str">
        <f aca="false">IF(AE29="x","x",IF(AE29="-","-",""))</f>
        <v>-</v>
      </c>
      <c r="DP29" s="2" t="str">
        <f aca="false">IF(AF29="x","x",IF(AF29="-","-",""))</f>
        <v>-</v>
      </c>
      <c r="DQ29" s="2" t="str">
        <f aca="false">IF(AG29="x","x",IF(AG29="-","-",""))</f>
        <v>-</v>
      </c>
      <c r="DR29" s="2" t="str">
        <f aca="false">IF(AH29="x","x",IF(AH29="-","-",""))</f>
        <v>-</v>
      </c>
      <c r="DS29" s="2" t="str">
        <f aca="false">IF(AI29="x","x",IF(AI29="-","-",""))</f>
        <v>-</v>
      </c>
      <c r="DT29" s="2" t="str">
        <f aca="false">IF(AJ29="x","x",IF(AJ29="-","-",""))</f>
        <v>-</v>
      </c>
      <c r="DU29" s="2" t="str">
        <f aca="false">IF(AK29="x","x",IF(AK29="-","-",""))</f>
        <v>-</v>
      </c>
      <c r="DV29" s="2" t="str">
        <f aca="false">IF(AL29="x","x",IF(AL29="-","-",""))</f>
        <v>-</v>
      </c>
      <c r="DW29" s="2" t="str">
        <f aca="false">IF(AM29="x","x",IF(AM29="-","-",""))</f>
        <v>-</v>
      </c>
      <c r="DX29" s="2" t="str">
        <f aca="false">IF(AN29="x","x",IF(AN29="-","-",""))</f>
        <v>-</v>
      </c>
    </row>
    <row r="30" customFormat="false" ht="13.8" hidden="false" customHeight="false" outlineLevel="0" collapsed="false">
      <c r="A30" s="10" t="s">
        <v>73</v>
      </c>
      <c r="B30" s="2" t="n">
        <v>29</v>
      </c>
      <c r="C30" s="11" t="s">
        <v>108</v>
      </c>
      <c r="D30" s="10" t="s">
        <v>109</v>
      </c>
      <c r="E30" s="10" t="s">
        <v>76</v>
      </c>
      <c r="F30" s="10" t="n">
        <v>29</v>
      </c>
      <c r="G30" s="10" t="s">
        <v>77</v>
      </c>
      <c r="H30" s="10" t="s">
        <v>77</v>
      </c>
      <c r="I30" s="10" t="s">
        <v>77</v>
      </c>
      <c r="J30" s="10" t="s">
        <v>77</v>
      </c>
      <c r="K30" s="10" t="s">
        <v>77</v>
      </c>
      <c r="L30" s="10" t="s">
        <v>77</v>
      </c>
      <c r="M30" s="2" t="n">
        <v>20</v>
      </c>
      <c r="N30" s="10" t="s">
        <v>77</v>
      </c>
      <c r="O30" s="10"/>
      <c r="P30" s="10" t="s">
        <v>77</v>
      </c>
      <c r="Q30" s="10" t="s">
        <v>77</v>
      </c>
      <c r="R30" s="10" t="s">
        <v>77</v>
      </c>
      <c r="S30" s="10" t="s">
        <v>77</v>
      </c>
      <c r="T30" s="10" t="s">
        <v>77</v>
      </c>
      <c r="U30" s="10" t="s">
        <v>77</v>
      </c>
      <c r="V30" s="10" t="s">
        <v>77</v>
      </c>
      <c r="W30" s="10" t="s">
        <v>77</v>
      </c>
      <c r="X30" s="10" t="s">
        <v>77</v>
      </c>
      <c r="Y30" s="10" t="s">
        <v>77</v>
      </c>
      <c r="Z30" s="10" t="s">
        <v>77</v>
      </c>
      <c r="AA30" s="10" t="s">
        <v>77</v>
      </c>
      <c r="AB30" s="10"/>
      <c r="AC30" s="10" t="s">
        <v>77</v>
      </c>
      <c r="AD30" s="10" t="s">
        <v>77</v>
      </c>
      <c r="AE30" s="10" t="s">
        <v>77</v>
      </c>
      <c r="AF30" s="10" t="s">
        <v>77</v>
      </c>
      <c r="AG30" s="10" t="s">
        <v>77</v>
      </c>
      <c r="AH30" s="10" t="s">
        <v>77</v>
      </c>
      <c r="AI30" s="10" t="s">
        <v>77</v>
      </c>
      <c r="AJ30" s="10" t="s">
        <v>77</v>
      </c>
      <c r="AK30" s="10" t="s">
        <v>77</v>
      </c>
      <c r="AL30" s="10" t="s">
        <v>77</v>
      </c>
      <c r="AM30" s="10" t="s">
        <v>77</v>
      </c>
      <c r="AN30" s="10" t="s">
        <v>77</v>
      </c>
      <c r="AO30" s="10"/>
      <c r="AP30" s="10" t="s">
        <v>73</v>
      </c>
      <c r="AQ30" s="10" t="s">
        <v>73</v>
      </c>
      <c r="AS30" s="10"/>
      <c r="AT30" s="10"/>
      <c r="AU30" s="10"/>
      <c r="AV30" s="10"/>
      <c r="AW30" s="10"/>
      <c r="AX30" s="10" t="s">
        <v>78</v>
      </c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R30" s="10" t="s">
        <v>78</v>
      </c>
      <c r="BS30" s="10"/>
      <c r="BT30" s="10"/>
      <c r="BU30" s="10"/>
      <c r="BV30" s="10"/>
      <c r="BW30" s="10"/>
      <c r="BX30" s="10"/>
      <c r="BY30" s="10"/>
      <c r="CA30" s="2" t="str">
        <f aca="false">IF(AS30="x","x",IF(AS30="-","-",""))</f>
        <v/>
      </c>
      <c r="CB30" s="2" t="str">
        <f aca="false">IF(AT30="x","x",IF(AT30="-","-",""))</f>
        <v/>
      </c>
      <c r="CC30" s="2" t="str">
        <f aca="false">IF(AU30="x","x",IF(AU30="-","-",""))</f>
        <v/>
      </c>
      <c r="CD30" s="2" t="str">
        <f aca="false">IF(AV30="x","x",IF(AV30="-","-",""))</f>
        <v/>
      </c>
      <c r="CE30" s="2" t="str">
        <f aca="false">IF(AW30="x","x",IF(AW30="-","-",""))</f>
        <v/>
      </c>
      <c r="CF30" s="2" t="str">
        <f aca="false">IF(AX30="x","x",IF(AX30="-","-",""))</f>
        <v>x</v>
      </c>
      <c r="CG30" s="2" t="str">
        <f aca="false">IF(AY30="x","x",IF(AY30="-","-",""))</f>
        <v/>
      </c>
      <c r="CH30" s="2" t="str">
        <f aca="false">IF(AZ30="x","x",IF(AZ30="-","-",""))</f>
        <v/>
      </c>
      <c r="CI30" s="2" t="str">
        <f aca="false">IF(BA30="x","x",IF(BA30="-","-",""))</f>
        <v/>
      </c>
      <c r="CJ30" s="2" t="str">
        <f aca="false">IF(BB30="x","x",IF(BB30="-","-",""))</f>
        <v/>
      </c>
      <c r="CK30" s="2" t="str">
        <f aca="false">IF(BC30="x","x",IF(BC30="-","-",""))</f>
        <v/>
      </c>
      <c r="CL30" s="2" t="str">
        <f aca="false">IF(BD30="x","x",IF(BD30="-","-",""))</f>
        <v/>
      </c>
      <c r="CM30" s="2" t="str">
        <f aca="false">IF(BE30="x","x",IF(BE30="-","-",""))</f>
        <v/>
      </c>
      <c r="CN30" s="2" t="str">
        <f aca="false">IF(BF30="x","x",IF(BF30="-","-",""))</f>
        <v/>
      </c>
      <c r="CO30" s="2" t="str">
        <f aca="false">IF(BG30="x","x",IF(BG30="-","-",""))</f>
        <v/>
      </c>
      <c r="CP30" s="2" t="str">
        <f aca="false">IF(BH30="x","x",IF(BH30="-","-",""))</f>
        <v/>
      </c>
      <c r="CQ30" s="2" t="str">
        <f aca="false">IF(BI30="x","x",IF(BI30="-","-",""))</f>
        <v/>
      </c>
      <c r="CR30" s="2" t="str">
        <f aca="false">IF(BJ30="x","x",IF(BJ30="-","-",""))</f>
        <v/>
      </c>
      <c r="CS30" s="2" t="str">
        <f aca="false">IF(BK30="x","x",IF(BK30="-","-",""))</f>
        <v/>
      </c>
      <c r="CT30" s="2" t="str">
        <f aca="false">IF(BL30="x","x",IF(BL30="-","-",""))</f>
        <v/>
      </c>
      <c r="CU30" s="2" t="str">
        <f aca="false">IF(BM30="x","x",IF(BM30="-","-",""))</f>
        <v/>
      </c>
      <c r="CV30" s="2" t="str">
        <f aca="false">IF(BN30="x","x",IF(BN30="-","-",""))</f>
        <v/>
      </c>
      <c r="CW30" s="2" t="str">
        <f aca="false">IF(BO30="x","x",IF(BO30="-","-",""))</f>
        <v/>
      </c>
      <c r="CX30" s="2" t="str">
        <f aca="false">IF(BP30="x","x",IF(BP30="-","-",""))</f>
        <v/>
      </c>
      <c r="CZ30" s="2" t="str">
        <f aca="false">IF(P30="x","x",IF(P30="-","-",""))</f>
        <v>-</v>
      </c>
      <c r="DA30" s="2" t="str">
        <f aca="false">IF(Q30="x","x",IF(Q30="-","-",""))</f>
        <v>-</v>
      </c>
      <c r="DB30" s="2" t="str">
        <f aca="false">IF(R30="x","x",IF(R30="-","-",""))</f>
        <v>-</v>
      </c>
      <c r="DC30" s="2" t="str">
        <f aca="false">IF(S30="x","x",IF(S30="-","-",""))</f>
        <v>-</v>
      </c>
      <c r="DD30" s="2" t="str">
        <f aca="false">IF(T30="x","x",IF(T30="-","-",""))</f>
        <v>-</v>
      </c>
      <c r="DE30" s="2" t="str">
        <f aca="false">IF(U30="x","x",IF(U30="-","-",""))</f>
        <v>-</v>
      </c>
      <c r="DF30" s="2" t="str">
        <f aca="false">IF(V30="x","x",IF(V30="-","-",""))</f>
        <v>-</v>
      </c>
      <c r="DG30" s="2" t="str">
        <f aca="false">IF(W30="x","x",IF(W30="-","-",""))</f>
        <v>-</v>
      </c>
      <c r="DH30" s="2" t="str">
        <f aca="false">IF(X30="x","x",IF(X30="-","-",""))</f>
        <v>-</v>
      </c>
      <c r="DI30" s="2" t="str">
        <f aca="false">IF(Y30="x","x",IF(Y30="-","-",""))</f>
        <v>-</v>
      </c>
      <c r="DJ30" s="2" t="str">
        <f aca="false">IF(Z30="x","x",IF(Z30="-","-",""))</f>
        <v>-</v>
      </c>
      <c r="DK30" s="2" t="str">
        <f aca="false">IF(AA30="x","x",IF(AA30="-","-",""))</f>
        <v>-</v>
      </c>
      <c r="DL30" s="10"/>
      <c r="DM30" s="2" t="str">
        <f aca="false">IF(AC30="x","x",IF(AC30="-","-",""))</f>
        <v>-</v>
      </c>
      <c r="DN30" s="2" t="str">
        <f aca="false">IF(AD30="x","x",IF(AD30="-","-",""))</f>
        <v>-</v>
      </c>
      <c r="DO30" s="2" t="str">
        <f aca="false">IF(AE30="x","x",IF(AE30="-","-",""))</f>
        <v>-</v>
      </c>
      <c r="DP30" s="2" t="str">
        <f aca="false">IF(AF30="x","x",IF(AF30="-","-",""))</f>
        <v>-</v>
      </c>
      <c r="DQ30" s="2" t="str">
        <f aca="false">IF(AG30="x","x",IF(AG30="-","-",""))</f>
        <v>-</v>
      </c>
      <c r="DR30" s="2" t="str">
        <f aca="false">IF(AH30="x","x",IF(AH30="-","-",""))</f>
        <v>-</v>
      </c>
      <c r="DS30" s="2" t="str">
        <f aca="false">IF(AI30="x","x",IF(AI30="-","-",""))</f>
        <v>-</v>
      </c>
      <c r="DT30" s="2" t="str">
        <f aca="false">IF(AJ30="x","x",IF(AJ30="-","-",""))</f>
        <v>-</v>
      </c>
      <c r="DU30" s="2" t="str">
        <f aca="false">IF(AK30="x","x",IF(AK30="-","-",""))</f>
        <v>-</v>
      </c>
      <c r="DV30" s="2" t="str">
        <f aca="false">IF(AL30="x","x",IF(AL30="-","-",""))</f>
        <v>-</v>
      </c>
      <c r="DW30" s="2" t="str">
        <f aca="false">IF(AM30="x","x",IF(AM30="-","-",""))</f>
        <v>-</v>
      </c>
      <c r="DX30" s="2" t="str">
        <f aca="false">IF(AN30="x","x",IF(AN30="-","-",""))</f>
        <v>-</v>
      </c>
    </row>
    <row r="31" customFormat="false" ht="13.8" hidden="false" customHeight="false" outlineLevel="0" collapsed="false">
      <c r="A31" s="10" t="s">
        <v>73</v>
      </c>
      <c r="B31" s="2" t="n">
        <v>30</v>
      </c>
      <c r="C31" s="11" t="s">
        <v>110</v>
      </c>
      <c r="D31" s="10" t="s">
        <v>109</v>
      </c>
      <c r="E31" s="10" t="s">
        <v>76</v>
      </c>
      <c r="F31" s="10" t="n">
        <v>30</v>
      </c>
      <c r="G31" s="10" t="s">
        <v>77</v>
      </c>
      <c r="H31" s="10" t="s">
        <v>77</v>
      </c>
      <c r="I31" s="10" t="s">
        <v>77</v>
      </c>
      <c r="J31" s="10" t="s">
        <v>77</v>
      </c>
      <c r="K31" s="10" t="s">
        <v>77</v>
      </c>
      <c r="L31" s="10" t="s">
        <v>77</v>
      </c>
      <c r="M31" s="2" t="n">
        <v>20</v>
      </c>
      <c r="N31" s="10" t="s">
        <v>77</v>
      </c>
      <c r="O31" s="10"/>
      <c r="P31" s="10" t="s">
        <v>77</v>
      </c>
      <c r="Q31" s="10" t="s">
        <v>77</v>
      </c>
      <c r="R31" s="10" t="s">
        <v>77</v>
      </c>
      <c r="S31" s="10" t="s">
        <v>77</v>
      </c>
      <c r="T31" s="10" t="s">
        <v>77</v>
      </c>
      <c r="U31" s="10" t="s">
        <v>77</v>
      </c>
      <c r="V31" s="10" t="s">
        <v>77</v>
      </c>
      <c r="W31" s="10" t="s">
        <v>77</v>
      </c>
      <c r="X31" s="10" t="s">
        <v>77</v>
      </c>
      <c r="Y31" s="10" t="s">
        <v>77</v>
      </c>
      <c r="Z31" s="10" t="s">
        <v>77</v>
      </c>
      <c r="AA31" s="10" t="s">
        <v>77</v>
      </c>
      <c r="AB31" s="10"/>
      <c r="AC31" s="10" t="s">
        <v>77</v>
      </c>
      <c r="AD31" s="10" t="s">
        <v>77</v>
      </c>
      <c r="AE31" s="10" t="s">
        <v>77</v>
      </c>
      <c r="AF31" s="10" t="s">
        <v>77</v>
      </c>
      <c r="AG31" s="10" t="s">
        <v>77</v>
      </c>
      <c r="AH31" s="10" t="s">
        <v>77</v>
      </c>
      <c r="AI31" s="10" t="s">
        <v>77</v>
      </c>
      <c r="AJ31" s="10" t="s">
        <v>77</v>
      </c>
      <c r="AK31" s="10" t="s">
        <v>77</v>
      </c>
      <c r="AL31" s="10" t="s">
        <v>77</v>
      </c>
      <c r="AM31" s="10" t="s">
        <v>77</v>
      </c>
      <c r="AN31" s="10" t="s">
        <v>77</v>
      </c>
      <c r="AO31" s="10"/>
      <c r="AP31" s="10" t="s">
        <v>73</v>
      </c>
      <c r="AQ31" s="10" t="s">
        <v>73</v>
      </c>
      <c r="AS31" s="10"/>
      <c r="AT31" s="10"/>
      <c r="AU31" s="10"/>
      <c r="AV31" s="10"/>
      <c r="AW31" s="10"/>
      <c r="AX31" s="10" t="s">
        <v>78</v>
      </c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R31" s="10" t="s">
        <v>78</v>
      </c>
      <c r="BS31" s="10"/>
      <c r="BT31" s="10"/>
      <c r="BU31" s="10"/>
      <c r="BV31" s="10"/>
      <c r="BW31" s="10"/>
      <c r="BX31" s="10"/>
      <c r="BY31" s="10"/>
      <c r="CA31" s="2" t="str">
        <f aca="false">IF(AS31="x","x",IF(AS31="-","-",""))</f>
        <v/>
      </c>
      <c r="CB31" s="2" t="str">
        <f aca="false">IF(AT31="x","x",IF(AT31="-","-",""))</f>
        <v/>
      </c>
      <c r="CC31" s="2" t="str">
        <f aca="false">IF(AU31="x","x",IF(AU31="-","-",""))</f>
        <v/>
      </c>
      <c r="CD31" s="2" t="str">
        <f aca="false">IF(AV31="x","x",IF(AV31="-","-",""))</f>
        <v/>
      </c>
      <c r="CE31" s="2" t="str">
        <f aca="false">IF(AW31="x","x",IF(AW31="-","-",""))</f>
        <v/>
      </c>
      <c r="CF31" s="2" t="str">
        <f aca="false">IF(AX31="x","x",IF(AX31="-","-",""))</f>
        <v>x</v>
      </c>
      <c r="CG31" s="2" t="str">
        <f aca="false">IF(AY31="x","x",IF(AY31="-","-",""))</f>
        <v/>
      </c>
      <c r="CH31" s="2" t="str">
        <f aca="false">IF(AZ31="x","x",IF(AZ31="-","-",""))</f>
        <v/>
      </c>
      <c r="CI31" s="2" t="str">
        <f aca="false">IF(BA31="x","x",IF(BA31="-","-",""))</f>
        <v/>
      </c>
      <c r="CJ31" s="2" t="str">
        <f aca="false">IF(BB31="x","x",IF(BB31="-","-",""))</f>
        <v/>
      </c>
      <c r="CK31" s="2" t="str">
        <f aca="false">IF(BC31="x","x",IF(BC31="-","-",""))</f>
        <v/>
      </c>
      <c r="CL31" s="2" t="str">
        <f aca="false">IF(BD31="x","x",IF(BD31="-","-",""))</f>
        <v/>
      </c>
      <c r="CM31" s="2" t="str">
        <f aca="false">IF(BE31="x","x",IF(BE31="-","-",""))</f>
        <v/>
      </c>
      <c r="CN31" s="2" t="str">
        <f aca="false">IF(BF31="x","x",IF(BF31="-","-",""))</f>
        <v/>
      </c>
      <c r="CO31" s="2" t="str">
        <f aca="false">IF(BG31="x","x",IF(BG31="-","-",""))</f>
        <v/>
      </c>
      <c r="CP31" s="2" t="str">
        <f aca="false">IF(BH31="x","x",IF(BH31="-","-",""))</f>
        <v/>
      </c>
      <c r="CQ31" s="2" t="str">
        <f aca="false">IF(BI31="x","x",IF(BI31="-","-",""))</f>
        <v/>
      </c>
      <c r="CR31" s="2" t="str">
        <f aca="false">IF(BJ31="x","x",IF(BJ31="-","-",""))</f>
        <v/>
      </c>
      <c r="CS31" s="2" t="str">
        <f aca="false">IF(BK31="x","x",IF(BK31="-","-",""))</f>
        <v/>
      </c>
      <c r="CT31" s="2" t="str">
        <f aca="false">IF(BL31="x","x",IF(BL31="-","-",""))</f>
        <v/>
      </c>
      <c r="CU31" s="2" t="str">
        <f aca="false">IF(BM31="x","x",IF(BM31="-","-",""))</f>
        <v/>
      </c>
      <c r="CV31" s="2" t="str">
        <f aca="false">IF(BN31="x","x",IF(BN31="-","-",""))</f>
        <v/>
      </c>
      <c r="CW31" s="2" t="str">
        <f aca="false">IF(BO31="x","x",IF(BO31="-","-",""))</f>
        <v/>
      </c>
      <c r="CX31" s="2" t="str">
        <f aca="false">IF(BP31="x","x",IF(BP31="-","-",""))</f>
        <v/>
      </c>
      <c r="CZ31" s="2" t="str">
        <f aca="false">IF(P31="x","x",IF(P31="-","-",""))</f>
        <v>-</v>
      </c>
      <c r="DA31" s="2" t="str">
        <f aca="false">IF(Q31="x","x",IF(Q31="-","-",""))</f>
        <v>-</v>
      </c>
      <c r="DB31" s="2" t="str">
        <f aca="false">IF(R31="x","x",IF(R31="-","-",""))</f>
        <v>-</v>
      </c>
      <c r="DC31" s="2" t="str">
        <f aca="false">IF(S31="x","x",IF(S31="-","-",""))</f>
        <v>-</v>
      </c>
      <c r="DD31" s="2" t="str">
        <f aca="false">IF(T31="x","x",IF(T31="-","-",""))</f>
        <v>-</v>
      </c>
      <c r="DE31" s="2" t="str">
        <f aca="false">IF(U31="x","x",IF(U31="-","-",""))</f>
        <v>-</v>
      </c>
      <c r="DF31" s="2" t="str">
        <f aca="false">IF(V31="x","x",IF(V31="-","-",""))</f>
        <v>-</v>
      </c>
      <c r="DG31" s="2" t="str">
        <f aca="false">IF(W31="x","x",IF(W31="-","-",""))</f>
        <v>-</v>
      </c>
      <c r="DH31" s="2" t="str">
        <f aca="false">IF(X31="x","x",IF(X31="-","-",""))</f>
        <v>-</v>
      </c>
      <c r="DI31" s="2" t="str">
        <f aca="false">IF(Y31="x","x",IF(Y31="-","-",""))</f>
        <v>-</v>
      </c>
      <c r="DJ31" s="2" t="str">
        <f aca="false">IF(Z31="x","x",IF(Z31="-","-",""))</f>
        <v>-</v>
      </c>
      <c r="DK31" s="2" t="str">
        <f aca="false">IF(AA31="x","x",IF(AA31="-","-",""))</f>
        <v>-</v>
      </c>
      <c r="DL31" s="10"/>
      <c r="DM31" s="2" t="str">
        <f aca="false">IF(AC31="x","x",IF(AC31="-","-",""))</f>
        <v>-</v>
      </c>
      <c r="DN31" s="2" t="str">
        <f aca="false">IF(AD31="x","x",IF(AD31="-","-",""))</f>
        <v>-</v>
      </c>
      <c r="DO31" s="2" t="str">
        <f aca="false">IF(AE31="x","x",IF(AE31="-","-",""))</f>
        <v>-</v>
      </c>
      <c r="DP31" s="2" t="str">
        <f aca="false">IF(AF31="x","x",IF(AF31="-","-",""))</f>
        <v>-</v>
      </c>
      <c r="DQ31" s="2" t="str">
        <f aca="false">IF(AG31="x","x",IF(AG31="-","-",""))</f>
        <v>-</v>
      </c>
      <c r="DR31" s="2" t="str">
        <f aca="false">IF(AH31="x","x",IF(AH31="-","-",""))</f>
        <v>-</v>
      </c>
      <c r="DS31" s="2" t="str">
        <f aca="false">IF(AI31="x","x",IF(AI31="-","-",""))</f>
        <v>-</v>
      </c>
      <c r="DT31" s="2" t="str">
        <f aca="false">IF(AJ31="x","x",IF(AJ31="-","-",""))</f>
        <v>-</v>
      </c>
      <c r="DU31" s="2" t="str">
        <f aca="false">IF(AK31="x","x",IF(AK31="-","-",""))</f>
        <v>-</v>
      </c>
      <c r="DV31" s="2" t="str">
        <f aca="false">IF(AL31="x","x",IF(AL31="-","-",""))</f>
        <v>-</v>
      </c>
      <c r="DW31" s="2" t="str">
        <f aca="false">IF(AM31="x","x",IF(AM31="-","-",""))</f>
        <v>-</v>
      </c>
      <c r="DX31" s="2" t="str">
        <f aca="false">IF(AN31="x","x",IF(AN31="-","-",""))</f>
        <v>-</v>
      </c>
    </row>
    <row r="32" customFormat="false" ht="13.8" hidden="false" customHeight="false" outlineLevel="0" collapsed="false">
      <c r="A32" s="10" t="s">
        <v>73</v>
      </c>
      <c r="B32" s="2" t="n">
        <v>31</v>
      </c>
      <c r="C32" s="11" t="s">
        <v>111</v>
      </c>
      <c r="D32" s="10" t="s">
        <v>109</v>
      </c>
      <c r="E32" s="10" t="s">
        <v>76</v>
      </c>
      <c r="F32" s="10" t="n">
        <v>31</v>
      </c>
      <c r="G32" s="10" t="s">
        <v>77</v>
      </c>
      <c r="H32" s="10" t="s">
        <v>77</v>
      </c>
      <c r="I32" s="10" t="s">
        <v>77</v>
      </c>
      <c r="J32" s="10" t="s">
        <v>77</v>
      </c>
      <c r="K32" s="10" t="s">
        <v>77</v>
      </c>
      <c r="L32" s="10" t="s">
        <v>77</v>
      </c>
      <c r="M32" s="2" t="n">
        <v>20</v>
      </c>
      <c r="N32" s="10" t="s">
        <v>77</v>
      </c>
      <c r="O32" s="10"/>
      <c r="P32" s="10" t="s">
        <v>77</v>
      </c>
      <c r="Q32" s="10" t="s">
        <v>77</v>
      </c>
      <c r="R32" s="10" t="s">
        <v>77</v>
      </c>
      <c r="S32" s="10" t="s">
        <v>77</v>
      </c>
      <c r="T32" s="10" t="s">
        <v>77</v>
      </c>
      <c r="U32" s="10" t="s">
        <v>77</v>
      </c>
      <c r="V32" s="10" t="s">
        <v>77</v>
      </c>
      <c r="W32" s="10" t="s">
        <v>77</v>
      </c>
      <c r="X32" s="10" t="s">
        <v>77</v>
      </c>
      <c r="Y32" s="10" t="s">
        <v>77</v>
      </c>
      <c r="Z32" s="10" t="s">
        <v>77</v>
      </c>
      <c r="AA32" s="10" t="s">
        <v>77</v>
      </c>
      <c r="AB32" s="10"/>
      <c r="AC32" s="10" t="s">
        <v>77</v>
      </c>
      <c r="AD32" s="10" t="s">
        <v>77</v>
      </c>
      <c r="AE32" s="10" t="s">
        <v>77</v>
      </c>
      <c r="AF32" s="10" t="s">
        <v>77</v>
      </c>
      <c r="AG32" s="10" t="s">
        <v>77</v>
      </c>
      <c r="AH32" s="10" t="s">
        <v>77</v>
      </c>
      <c r="AI32" s="10" t="s">
        <v>77</v>
      </c>
      <c r="AJ32" s="10" t="s">
        <v>77</v>
      </c>
      <c r="AK32" s="10" t="s">
        <v>77</v>
      </c>
      <c r="AL32" s="10" t="s">
        <v>77</v>
      </c>
      <c r="AM32" s="10" t="s">
        <v>77</v>
      </c>
      <c r="AN32" s="10" t="s">
        <v>77</v>
      </c>
      <c r="AO32" s="10"/>
      <c r="AP32" s="10" t="s">
        <v>73</v>
      </c>
      <c r="AQ32" s="10" t="s">
        <v>73</v>
      </c>
      <c r="AS32" s="10"/>
      <c r="AT32" s="10"/>
      <c r="AU32" s="10"/>
      <c r="AV32" s="10"/>
      <c r="AW32" s="10"/>
      <c r="AX32" s="10" t="s">
        <v>78</v>
      </c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R32" s="10" t="s">
        <v>78</v>
      </c>
      <c r="BS32" s="10"/>
      <c r="BT32" s="10"/>
      <c r="BU32" s="10"/>
      <c r="BV32" s="10"/>
      <c r="BW32" s="10"/>
      <c r="BX32" s="10"/>
      <c r="BY32" s="10"/>
      <c r="CA32" s="2" t="str">
        <f aca="false">IF(AS32="x","x",IF(AS32="-","-",""))</f>
        <v/>
      </c>
      <c r="CB32" s="2" t="str">
        <f aca="false">IF(AT32="x","x",IF(AT32="-","-",""))</f>
        <v/>
      </c>
      <c r="CC32" s="2" t="str">
        <f aca="false">IF(AU32="x","x",IF(AU32="-","-",""))</f>
        <v/>
      </c>
      <c r="CD32" s="2" t="str">
        <f aca="false">IF(AV32="x","x",IF(AV32="-","-",""))</f>
        <v/>
      </c>
      <c r="CE32" s="2" t="str">
        <f aca="false">IF(AW32="x","x",IF(AW32="-","-",""))</f>
        <v/>
      </c>
      <c r="CF32" s="2" t="str">
        <f aca="false">IF(AX32="x","x",IF(AX32="-","-",""))</f>
        <v>x</v>
      </c>
      <c r="CG32" s="2" t="str">
        <f aca="false">IF(AY32="x","x",IF(AY32="-","-",""))</f>
        <v/>
      </c>
      <c r="CH32" s="2" t="str">
        <f aca="false">IF(AZ32="x","x",IF(AZ32="-","-",""))</f>
        <v/>
      </c>
      <c r="CI32" s="2" t="str">
        <f aca="false">IF(BA32="x","x",IF(BA32="-","-",""))</f>
        <v/>
      </c>
      <c r="CJ32" s="2" t="str">
        <f aca="false">IF(BB32="x","x",IF(BB32="-","-",""))</f>
        <v/>
      </c>
      <c r="CK32" s="2" t="str">
        <f aca="false">IF(BC32="x","x",IF(BC32="-","-",""))</f>
        <v/>
      </c>
      <c r="CL32" s="2" t="str">
        <f aca="false">IF(BD32="x","x",IF(BD32="-","-",""))</f>
        <v/>
      </c>
      <c r="CM32" s="2" t="str">
        <f aca="false">IF(BE32="x","x",IF(BE32="-","-",""))</f>
        <v/>
      </c>
      <c r="CN32" s="2" t="str">
        <f aca="false">IF(BF32="x","x",IF(BF32="-","-",""))</f>
        <v/>
      </c>
      <c r="CO32" s="2" t="str">
        <f aca="false">IF(BG32="x","x",IF(BG32="-","-",""))</f>
        <v/>
      </c>
      <c r="CP32" s="2" t="str">
        <f aca="false">IF(BH32="x","x",IF(BH32="-","-",""))</f>
        <v/>
      </c>
      <c r="CQ32" s="2" t="str">
        <f aca="false">IF(BI32="x","x",IF(BI32="-","-",""))</f>
        <v/>
      </c>
      <c r="CR32" s="2" t="str">
        <f aca="false">IF(BJ32="x","x",IF(BJ32="-","-",""))</f>
        <v/>
      </c>
      <c r="CS32" s="2" t="str">
        <f aca="false">IF(BK32="x","x",IF(BK32="-","-",""))</f>
        <v/>
      </c>
      <c r="CT32" s="2" t="str">
        <f aca="false">IF(BL32="x","x",IF(BL32="-","-",""))</f>
        <v/>
      </c>
      <c r="CU32" s="2" t="str">
        <f aca="false">IF(BM32="x","x",IF(BM32="-","-",""))</f>
        <v/>
      </c>
      <c r="CV32" s="2" t="str">
        <f aca="false">IF(BN32="x","x",IF(BN32="-","-",""))</f>
        <v/>
      </c>
      <c r="CW32" s="2" t="str">
        <f aca="false">IF(BO32="x","x",IF(BO32="-","-",""))</f>
        <v/>
      </c>
      <c r="CX32" s="2" t="str">
        <f aca="false">IF(BP32="x","x",IF(BP32="-","-",""))</f>
        <v/>
      </c>
      <c r="CZ32" s="2" t="str">
        <f aca="false">IF(P32="x","x",IF(P32="-","-",""))</f>
        <v>-</v>
      </c>
      <c r="DA32" s="2" t="str">
        <f aca="false">IF(Q32="x","x",IF(Q32="-","-",""))</f>
        <v>-</v>
      </c>
      <c r="DB32" s="2" t="str">
        <f aca="false">IF(R32="x","x",IF(R32="-","-",""))</f>
        <v>-</v>
      </c>
      <c r="DC32" s="2" t="str">
        <f aca="false">IF(S32="x","x",IF(S32="-","-",""))</f>
        <v>-</v>
      </c>
      <c r="DD32" s="2" t="str">
        <f aca="false">IF(T32="x","x",IF(T32="-","-",""))</f>
        <v>-</v>
      </c>
      <c r="DE32" s="2" t="str">
        <f aca="false">IF(U32="x","x",IF(U32="-","-",""))</f>
        <v>-</v>
      </c>
      <c r="DF32" s="2" t="str">
        <f aca="false">IF(V32="x","x",IF(V32="-","-",""))</f>
        <v>-</v>
      </c>
      <c r="DG32" s="2" t="str">
        <f aca="false">IF(W32="x","x",IF(W32="-","-",""))</f>
        <v>-</v>
      </c>
      <c r="DH32" s="2" t="str">
        <f aca="false">IF(X32="x","x",IF(X32="-","-",""))</f>
        <v>-</v>
      </c>
      <c r="DI32" s="2" t="str">
        <f aca="false">IF(Y32="x","x",IF(Y32="-","-",""))</f>
        <v>-</v>
      </c>
      <c r="DJ32" s="2" t="str">
        <f aca="false">IF(Z32="x","x",IF(Z32="-","-",""))</f>
        <v>-</v>
      </c>
      <c r="DK32" s="2" t="str">
        <f aca="false">IF(AA32="x","x",IF(AA32="-","-",""))</f>
        <v>-</v>
      </c>
      <c r="DL32" s="10"/>
      <c r="DM32" s="2" t="str">
        <f aca="false">IF(AC32="x","x",IF(AC32="-","-",""))</f>
        <v>-</v>
      </c>
      <c r="DN32" s="2" t="str">
        <f aca="false">IF(AD32="x","x",IF(AD32="-","-",""))</f>
        <v>-</v>
      </c>
      <c r="DO32" s="2" t="str">
        <f aca="false">IF(AE32="x","x",IF(AE32="-","-",""))</f>
        <v>-</v>
      </c>
      <c r="DP32" s="2" t="str">
        <f aca="false">IF(AF32="x","x",IF(AF32="-","-",""))</f>
        <v>-</v>
      </c>
      <c r="DQ32" s="2" t="str">
        <f aca="false">IF(AG32="x","x",IF(AG32="-","-",""))</f>
        <v>-</v>
      </c>
      <c r="DR32" s="2" t="str">
        <f aca="false">IF(AH32="x","x",IF(AH32="-","-",""))</f>
        <v>-</v>
      </c>
      <c r="DS32" s="2" t="str">
        <f aca="false">IF(AI32="x","x",IF(AI32="-","-",""))</f>
        <v>-</v>
      </c>
      <c r="DT32" s="2" t="str">
        <f aca="false">IF(AJ32="x","x",IF(AJ32="-","-",""))</f>
        <v>-</v>
      </c>
      <c r="DU32" s="2" t="str">
        <f aca="false">IF(AK32="x","x",IF(AK32="-","-",""))</f>
        <v>-</v>
      </c>
      <c r="DV32" s="2" t="str">
        <f aca="false">IF(AL32="x","x",IF(AL32="-","-",""))</f>
        <v>-</v>
      </c>
      <c r="DW32" s="2" t="str">
        <f aca="false">IF(AM32="x","x",IF(AM32="-","-",""))</f>
        <v>-</v>
      </c>
      <c r="DX32" s="2" t="str">
        <f aca="false">IF(AN32="x","x",IF(AN32="-","-",""))</f>
        <v>-</v>
      </c>
    </row>
    <row r="33" customFormat="false" ht="13.8" hidden="false" customHeight="false" outlineLevel="0" collapsed="false">
      <c r="A33" s="10" t="s">
        <v>73</v>
      </c>
      <c r="B33" s="2" t="n">
        <v>32</v>
      </c>
      <c r="C33" s="11" t="s">
        <v>112</v>
      </c>
      <c r="D33" s="10" t="s">
        <v>109</v>
      </c>
      <c r="E33" s="10" t="s">
        <v>76</v>
      </c>
      <c r="F33" s="10" t="n">
        <v>32</v>
      </c>
      <c r="G33" s="10" t="s">
        <v>77</v>
      </c>
      <c r="H33" s="10" t="s">
        <v>77</v>
      </c>
      <c r="I33" s="10" t="s">
        <v>77</v>
      </c>
      <c r="J33" s="10" t="s">
        <v>77</v>
      </c>
      <c r="K33" s="10" t="s">
        <v>77</v>
      </c>
      <c r="L33" s="10" t="s">
        <v>77</v>
      </c>
      <c r="M33" s="2" t="n">
        <v>20</v>
      </c>
      <c r="N33" s="10" t="s">
        <v>77</v>
      </c>
      <c r="O33" s="10"/>
      <c r="P33" s="10" t="s">
        <v>77</v>
      </c>
      <c r="Q33" s="10" t="s">
        <v>77</v>
      </c>
      <c r="R33" s="10" t="s">
        <v>77</v>
      </c>
      <c r="S33" s="10" t="s">
        <v>77</v>
      </c>
      <c r="T33" s="10" t="s">
        <v>77</v>
      </c>
      <c r="U33" s="10" t="s">
        <v>77</v>
      </c>
      <c r="V33" s="10" t="s">
        <v>77</v>
      </c>
      <c r="W33" s="10" t="s">
        <v>77</v>
      </c>
      <c r="X33" s="10" t="s">
        <v>77</v>
      </c>
      <c r="Y33" s="10" t="s">
        <v>77</v>
      </c>
      <c r="Z33" s="10" t="s">
        <v>77</v>
      </c>
      <c r="AA33" s="10" t="s">
        <v>77</v>
      </c>
      <c r="AB33" s="10"/>
      <c r="AC33" s="10" t="s">
        <v>77</v>
      </c>
      <c r="AD33" s="10" t="s">
        <v>77</v>
      </c>
      <c r="AE33" s="10" t="s">
        <v>77</v>
      </c>
      <c r="AF33" s="10" t="s">
        <v>77</v>
      </c>
      <c r="AG33" s="10" t="s">
        <v>77</v>
      </c>
      <c r="AH33" s="10" t="s">
        <v>77</v>
      </c>
      <c r="AI33" s="10" t="s">
        <v>77</v>
      </c>
      <c r="AJ33" s="10" t="s">
        <v>77</v>
      </c>
      <c r="AK33" s="10" t="s">
        <v>77</v>
      </c>
      <c r="AL33" s="10" t="s">
        <v>77</v>
      </c>
      <c r="AM33" s="10" t="s">
        <v>77</v>
      </c>
      <c r="AN33" s="10" t="s">
        <v>77</v>
      </c>
      <c r="AO33" s="10"/>
      <c r="AP33" s="10" t="s">
        <v>73</v>
      </c>
      <c r="AQ33" s="10" t="s">
        <v>73</v>
      </c>
      <c r="AS33" s="10"/>
      <c r="AT33" s="10"/>
      <c r="AU33" s="10"/>
      <c r="AV33" s="10"/>
      <c r="AW33" s="10"/>
      <c r="AX33" s="10" t="s">
        <v>78</v>
      </c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R33" s="10" t="s">
        <v>78</v>
      </c>
      <c r="BS33" s="10"/>
      <c r="BT33" s="10"/>
      <c r="BU33" s="10"/>
      <c r="BV33" s="10"/>
      <c r="BW33" s="10"/>
      <c r="BX33" s="10"/>
      <c r="BY33" s="10"/>
      <c r="CA33" s="2" t="str">
        <f aca="false">IF(AS33="x","x",IF(AS33="-","-",""))</f>
        <v/>
      </c>
      <c r="CB33" s="2" t="str">
        <f aca="false">IF(AT33="x","x",IF(AT33="-","-",""))</f>
        <v/>
      </c>
      <c r="CC33" s="2" t="str">
        <f aca="false">IF(AU33="x","x",IF(AU33="-","-",""))</f>
        <v/>
      </c>
      <c r="CD33" s="2" t="str">
        <f aca="false">IF(AV33="x","x",IF(AV33="-","-",""))</f>
        <v/>
      </c>
      <c r="CE33" s="2" t="str">
        <f aca="false">IF(AW33="x","x",IF(AW33="-","-",""))</f>
        <v/>
      </c>
      <c r="CF33" s="2" t="str">
        <f aca="false">IF(AX33="x","x",IF(AX33="-","-",""))</f>
        <v>x</v>
      </c>
      <c r="CG33" s="2" t="str">
        <f aca="false">IF(AY33="x","x",IF(AY33="-","-",""))</f>
        <v/>
      </c>
      <c r="CH33" s="2" t="str">
        <f aca="false">IF(AZ33="x","x",IF(AZ33="-","-",""))</f>
        <v/>
      </c>
      <c r="CI33" s="2" t="str">
        <f aca="false">IF(BA33="x","x",IF(BA33="-","-",""))</f>
        <v/>
      </c>
      <c r="CJ33" s="2" t="str">
        <f aca="false">IF(BB33="x","x",IF(BB33="-","-",""))</f>
        <v/>
      </c>
      <c r="CK33" s="2" t="str">
        <f aca="false">IF(BC33="x","x",IF(BC33="-","-",""))</f>
        <v/>
      </c>
      <c r="CL33" s="2" t="str">
        <f aca="false">IF(BD33="x","x",IF(BD33="-","-",""))</f>
        <v/>
      </c>
      <c r="CM33" s="2" t="str">
        <f aca="false">IF(BE33="x","x",IF(BE33="-","-",""))</f>
        <v/>
      </c>
      <c r="CN33" s="2" t="str">
        <f aca="false">IF(BF33="x","x",IF(BF33="-","-",""))</f>
        <v/>
      </c>
      <c r="CO33" s="2" t="str">
        <f aca="false">IF(BG33="x","x",IF(BG33="-","-",""))</f>
        <v/>
      </c>
      <c r="CP33" s="2" t="str">
        <f aca="false">IF(BH33="x","x",IF(BH33="-","-",""))</f>
        <v/>
      </c>
      <c r="CQ33" s="2" t="str">
        <f aca="false">IF(BI33="x","x",IF(BI33="-","-",""))</f>
        <v/>
      </c>
      <c r="CR33" s="2" t="str">
        <f aca="false">IF(BJ33="x","x",IF(BJ33="-","-",""))</f>
        <v/>
      </c>
      <c r="CS33" s="2" t="str">
        <f aca="false">IF(BK33="x","x",IF(BK33="-","-",""))</f>
        <v/>
      </c>
      <c r="CT33" s="2" t="str">
        <f aca="false">IF(BL33="x","x",IF(BL33="-","-",""))</f>
        <v/>
      </c>
      <c r="CU33" s="2" t="str">
        <f aca="false">IF(BM33="x","x",IF(BM33="-","-",""))</f>
        <v/>
      </c>
      <c r="CV33" s="2" t="str">
        <f aca="false">IF(BN33="x","x",IF(BN33="-","-",""))</f>
        <v/>
      </c>
      <c r="CW33" s="2" t="str">
        <f aca="false">IF(BO33="x","x",IF(BO33="-","-",""))</f>
        <v/>
      </c>
      <c r="CX33" s="2" t="str">
        <f aca="false">IF(BP33="x","x",IF(BP33="-","-",""))</f>
        <v/>
      </c>
      <c r="CZ33" s="2" t="str">
        <f aca="false">IF(P33="x","x",IF(P33="-","-",""))</f>
        <v>-</v>
      </c>
      <c r="DA33" s="2" t="str">
        <f aca="false">IF(Q33="x","x",IF(Q33="-","-",""))</f>
        <v>-</v>
      </c>
      <c r="DB33" s="2" t="str">
        <f aca="false">IF(R33="x","x",IF(R33="-","-",""))</f>
        <v>-</v>
      </c>
      <c r="DC33" s="2" t="str">
        <f aca="false">IF(S33="x","x",IF(S33="-","-",""))</f>
        <v>-</v>
      </c>
      <c r="DD33" s="2" t="str">
        <f aca="false">IF(T33="x","x",IF(T33="-","-",""))</f>
        <v>-</v>
      </c>
      <c r="DE33" s="2" t="str">
        <f aca="false">IF(U33="x","x",IF(U33="-","-",""))</f>
        <v>-</v>
      </c>
      <c r="DF33" s="2" t="str">
        <f aca="false">IF(V33="x","x",IF(V33="-","-",""))</f>
        <v>-</v>
      </c>
      <c r="DG33" s="2" t="str">
        <f aca="false">IF(W33="x","x",IF(W33="-","-",""))</f>
        <v>-</v>
      </c>
      <c r="DH33" s="2" t="str">
        <f aca="false">IF(X33="x","x",IF(X33="-","-",""))</f>
        <v>-</v>
      </c>
      <c r="DI33" s="2" t="str">
        <f aca="false">IF(Y33="x","x",IF(Y33="-","-",""))</f>
        <v>-</v>
      </c>
      <c r="DJ33" s="2" t="str">
        <f aca="false">IF(Z33="x","x",IF(Z33="-","-",""))</f>
        <v>-</v>
      </c>
      <c r="DK33" s="2" t="str">
        <f aca="false">IF(AA33="x","x",IF(AA33="-","-",""))</f>
        <v>-</v>
      </c>
      <c r="DL33" s="10"/>
      <c r="DM33" s="2" t="str">
        <f aca="false">IF(AC33="x","x",IF(AC33="-","-",""))</f>
        <v>-</v>
      </c>
      <c r="DN33" s="2" t="str">
        <f aca="false">IF(AD33="x","x",IF(AD33="-","-",""))</f>
        <v>-</v>
      </c>
      <c r="DO33" s="2" t="str">
        <f aca="false">IF(AE33="x","x",IF(AE33="-","-",""))</f>
        <v>-</v>
      </c>
      <c r="DP33" s="2" t="str">
        <f aca="false">IF(AF33="x","x",IF(AF33="-","-",""))</f>
        <v>-</v>
      </c>
      <c r="DQ33" s="2" t="str">
        <f aca="false">IF(AG33="x","x",IF(AG33="-","-",""))</f>
        <v>-</v>
      </c>
      <c r="DR33" s="2" t="str">
        <f aca="false">IF(AH33="x","x",IF(AH33="-","-",""))</f>
        <v>-</v>
      </c>
      <c r="DS33" s="2" t="str">
        <f aca="false">IF(AI33="x","x",IF(AI33="-","-",""))</f>
        <v>-</v>
      </c>
      <c r="DT33" s="2" t="str">
        <f aca="false">IF(AJ33="x","x",IF(AJ33="-","-",""))</f>
        <v>-</v>
      </c>
      <c r="DU33" s="2" t="str">
        <f aca="false">IF(AK33="x","x",IF(AK33="-","-",""))</f>
        <v>-</v>
      </c>
      <c r="DV33" s="2" t="str">
        <f aca="false">IF(AL33="x","x",IF(AL33="-","-",""))</f>
        <v>-</v>
      </c>
      <c r="DW33" s="2" t="str">
        <f aca="false">IF(AM33="x","x",IF(AM33="-","-",""))</f>
        <v>-</v>
      </c>
      <c r="DX33" s="2" t="str">
        <f aca="false">IF(AN33="x","x",IF(AN33="-","-",""))</f>
        <v>-</v>
      </c>
    </row>
    <row r="34" customFormat="false" ht="13.8" hidden="false" customHeight="false" outlineLevel="0" collapsed="false">
      <c r="A34" s="10" t="s">
        <v>73</v>
      </c>
      <c r="B34" s="2" t="n">
        <v>33</v>
      </c>
      <c r="C34" s="11" t="s">
        <v>113</v>
      </c>
      <c r="D34" s="10" t="s">
        <v>109</v>
      </c>
      <c r="E34" s="10" t="s">
        <v>76</v>
      </c>
      <c r="F34" s="10" t="n">
        <v>33</v>
      </c>
      <c r="G34" s="10" t="s">
        <v>77</v>
      </c>
      <c r="H34" s="10" t="s">
        <v>77</v>
      </c>
      <c r="I34" s="10" t="s">
        <v>77</v>
      </c>
      <c r="J34" s="10" t="s">
        <v>77</v>
      </c>
      <c r="K34" s="10" t="s">
        <v>77</v>
      </c>
      <c r="L34" s="10" t="s">
        <v>77</v>
      </c>
      <c r="M34" s="2" t="n">
        <v>20</v>
      </c>
      <c r="N34" s="10" t="s">
        <v>77</v>
      </c>
      <c r="O34" s="10"/>
      <c r="P34" s="10" t="s">
        <v>77</v>
      </c>
      <c r="Q34" s="10" t="s">
        <v>77</v>
      </c>
      <c r="R34" s="10" t="s">
        <v>77</v>
      </c>
      <c r="S34" s="10" t="s">
        <v>77</v>
      </c>
      <c r="T34" s="10" t="s">
        <v>77</v>
      </c>
      <c r="U34" s="10" t="s">
        <v>77</v>
      </c>
      <c r="V34" s="10" t="s">
        <v>77</v>
      </c>
      <c r="W34" s="10" t="s">
        <v>77</v>
      </c>
      <c r="X34" s="10" t="s">
        <v>77</v>
      </c>
      <c r="Y34" s="10" t="s">
        <v>77</v>
      </c>
      <c r="Z34" s="10" t="s">
        <v>77</v>
      </c>
      <c r="AA34" s="10" t="s">
        <v>77</v>
      </c>
      <c r="AB34" s="10"/>
      <c r="AC34" s="10" t="s">
        <v>77</v>
      </c>
      <c r="AD34" s="10" t="s">
        <v>77</v>
      </c>
      <c r="AE34" s="10" t="s">
        <v>77</v>
      </c>
      <c r="AF34" s="10" t="s">
        <v>77</v>
      </c>
      <c r="AG34" s="10" t="s">
        <v>77</v>
      </c>
      <c r="AH34" s="10" t="s">
        <v>77</v>
      </c>
      <c r="AI34" s="10" t="s">
        <v>77</v>
      </c>
      <c r="AJ34" s="10" t="s">
        <v>77</v>
      </c>
      <c r="AK34" s="10" t="s">
        <v>77</v>
      </c>
      <c r="AL34" s="10" t="s">
        <v>77</v>
      </c>
      <c r="AM34" s="10" t="s">
        <v>77</v>
      </c>
      <c r="AN34" s="10" t="s">
        <v>77</v>
      </c>
      <c r="AO34" s="10"/>
      <c r="AP34" s="10" t="s">
        <v>73</v>
      </c>
      <c r="AQ34" s="10" t="s">
        <v>73</v>
      </c>
      <c r="AS34" s="10"/>
      <c r="AT34" s="10"/>
      <c r="AU34" s="10"/>
      <c r="AV34" s="10"/>
      <c r="AW34" s="10"/>
      <c r="AX34" s="10" t="s">
        <v>78</v>
      </c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R34" s="10" t="s">
        <v>78</v>
      </c>
      <c r="BS34" s="10"/>
      <c r="BT34" s="10"/>
      <c r="BU34" s="10"/>
      <c r="BV34" s="10"/>
      <c r="BW34" s="10"/>
      <c r="BX34" s="10"/>
      <c r="BY34" s="10"/>
      <c r="CA34" s="2" t="str">
        <f aca="false">IF(AS34="x","x",IF(AS34="-","-",""))</f>
        <v/>
      </c>
      <c r="CB34" s="2" t="str">
        <f aca="false">IF(AT34="x","x",IF(AT34="-","-",""))</f>
        <v/>
      </c>
      <c r="CC34" s="2" t="str">
        <f aca="false">IF(AU34="x","x",IF(AU34="-","-",""))</f>
        <v/>
      </c>
      <c r="CD34" s="2" t="str">
        <f aca="false">IF(AV34="x","x",IF(AV34="-","-",""))</f>
        <v/>
      </c>
      <c r="CE34" s="2" t="str">
        <f aca="false">IF(AW34="x","x",IF(AW34="-","-",""))</f>
        <v/>
      </c>
      <c r="CF34" s="2" t="str">
        <f aca="false">IF(AX34="x","x",IF(AX34="-","-",""))</f>
        <v>x</v>
      </c>
      <c r="CG34" s="2" t="str">
        <f aca="false">IF(AY34="x","x",IF(AY34="-","-",""))</f>
        <v/>
      </c>
      <c r="CH34" s="2" t="str">
        <f aca="false">IF(AZ34="x","x",IF(AZ34="-","-",""))</f>
        <v/>
      </c>
      <c r="CI34" s="2" t="str">
        <f aca="false">IF(BA34="x","x",IF(BA34="-","-",""))</f>
        <v/>
      </c>
      <c r="CJ34" s="2" t="str">
        <f aca="false">IF(BB34="x","x",IF(BB34="-","-",""))</f>
        <v/>
      </c>
      <c r="CK34" s="2" t="str">
        <f aca="false">IF(BC34="x","x",IF(BC34="-","-",""))</f>
        <v/>
      </c>
      <c r="CL34" s="2" t="str">
        <f aca="false">IF(BD34="x","x",IF(BD34="-","-",""))</f>
        <v/>
      </c>
      <c r="CM34" s="2" t="str">
        <f aca="false">IF(BE34="x","x",IF(BE34="-","-",""))</f>
        <v/>
      </c>
      <c r="CN34" s="2" t="str">
        <f aca="false">IF(BF34="x","x",IF(BF34="-","-",""))</f>
        <v/>
      </c>
      <c r="CO34" s="2" t="str">
        <f aca="false">IF(BG34="x","x",IF(BG34="-","-",""))</f>
        <v/>
      </c>
      <c r="CP34" s="2" t="str">
        <f aca="false">IF(BH34="x","x",IF(BH34="-","-",""))</f>
        <v/>
      </c>
      <c r="CQ34" s="2" t="str">
        <f aca="false">IF(BI34="x","x",IF(BI34="-","-",""))</f>
        <v/>
      </c>
      <c r="CR34" s="2" t="str">
        <f aca="false">IF(BJ34="x","x",IF(BJ34="-","-",""))</f>
        <v/>
      </c>
      <c r="CS34" s="2" t="str">
        <f aca="false">IF(BK34="x","x",IF(BK34="-","-",""))</f>
        <v/>
      </c>
      <c r="CT34" s="2" t="str">
        <f aca="false">IF(BL34="x","x",IF(BL34="-","-",""))</f>
        <v/>
      </c>
      <c r="CU34" s="2" t="str">
        <f aca="false">IF(BM34="x","x",IF(BM34="-","-",""))</f>
        <v/>
      </c>
      <c r="CV34" s="2" t="str">
        <f aca="false">IF(BN34="x","x",IF(BN34="-","-",""))</f>
        <v/>
      </c>
      <c r="CW34" s="2" t="str">
        <f aca="false">IF(BO34="x","x",IF(BO34="-","-",""))</f>
        <v/>
      </c>
      <c r="CX34" s="2" t="str">
        <f aca="false">IF(BP34="x","x",IF(BP34="-","-",""))</f>
        <v/>
      </c>
      <c r="CZ34" s="2" t="str">
        <f aca="false">IF(P34="x","x",IF(P34="-","-",""))</f>
        <v>-</v>
      </c>
      <c r="DA34" s="2" t="str">
        <f aca="false">IF(Q34="x","x",IF(Q34="-","-",""))</f>
        <v>-</v>
      </c>
      <c r="DB34" s="2" t="str">
        <f aca="false">IF(R34="x","x",IF(R34="-","-",""))</f>
        <v>-</v>
      </c>
      <c r="DC34" s="2" t="str">
        <f aca="false">IF(S34="x","x",IF(S34="-","-",""))</f>
        <v>-</v>
      </c>
      <c r="DD34" s="2" t="str">
        <f aca="false">IF(T34="x","x",IF(T34="-","-",""))</f>
        <v>-</v>
      </c>
      <c r="DE34" s="2" t="str">
        <f aca="false">IF(U34="x","x",IF(U34="-","-",""))</f>
        <v>-</v>
      </c>
      <c r="DF34" s="2" t="str">
        <f aca="false">IF(V34="x","x",IF(V34="-","-",""))</f>
        <v>-</v>
      </c>
      <c r="DG34" s="2" t="str">
        <f aca="false">IF(W34="x","x",IF(W34="-","-",""))</f>
        <v>-</v>
      </c>
      <c r="DH34" s="2" t="str">
        <f aca="false">IF(X34="x","x",IF(X34="-","-",""))</f>
        <v>-</v>
      </c>
      <c r="DI34" s="2" t="str">
        <f aca="false">IF(Y34="x","x",IF(Y34="-","-",""))</f>
        <v>-</v>
      </c>
      <c r="DJ34" s="2" t="str">
        <f aca="false">IF(Z34="x","x",IF(Z34="-","-",""))</f>
        <v>-</v>
      </c>
      <c r="DK34" s="2" t="str">
        <f aca="false">IF(AA34="x","x",IF(AA34="-","-",""))</f>
        <v>-</v>
      </c>
      <c r="DL34" s="10"/>
      <c r="DM34" s="2" t="str">
        <f aca="false">IF(AC34="x","x",IF(AC34="-","-",""))</f>
        <v>-</v>
      </c>
      <c r="DN34" s="2" t="str">
        <f aca="false">IF(AD34="x","x",IF(AD34="-","-",""))</f>
        <v>-</v>
      </c>
      <c r="DO34" s="2" t="str">
        <f aca="false">IF(AE34="x","x",IF(AE34="-","-",""))</f>
        <v>-</v>
      </c>
      <c r="DP34" s="2" t="str">
        <f aca="false">IF(AF34="x","x",IF(AF34="-","-",""))</f>
        <v>-</v>
      </c>
      <c r="DQ34" s="2" t="str">
        <f aca="false">IF(AG34="x","x",IF(AG34="-","-",""))</f>
        <v>-</v>
      </c>
      <c r="DR34" s="2" t="str">
        <f aca="false">IF(AH34="x","x",IF(AH34="-","-",""))</f>
        <v>-</v>
      </c>
      <c r="DS34" s="2" t="str">
        <f aca="false">IF(AI34="x","x",IF(AI34="-","-",""))</f>
        <v>-</v>
      </c>
      <c r="DT34" s="2" t="str">
        <f aca="false">IF(AJ34="x","x",IF(AJ34="-","-",""))</f>
        <v>-</v>
      </c>
      <c r="DU34" s="2" t="str">
        <f aca="false">IF(AK34="x","x",IF(AK34="-","-",""))</f>
        <v>-</v>
      </c>
      <c r="DV34" s="2" t="str">
        <f aca="false">IF(AL34="x","x",IF(AL34="-","-",""))</f>
        <v>-</v>
      </c>
      <c r="DW34" s="2" t="str">
        <f aca="false">IF(AM34="x","x",IF(AM34="-","-",""))</f>
        <v>-</v>
      </c>
      <c r="DX34" s="2" t="str">
        <f aca="false">IF(AN34="x","x",IF(AN34="-","-",""))</f>
        <v>-</v>
      </c>
    </row>
    <row r="35" customFormat="false" ht="13.8" hidden="false" customHeight="false" outlineLevel="0" collapsed="false">
      <c r="A35" s="10" t="s">
        <v>73</v>
      </c>
      <c r="B35" s="2" t="n">
        <v>34</v>
      </c>
      <c r="C35" s="11" t="s">
        <v>114</v>
      </c>
      <c r="D35" s="10" t="s">
        <v>109</v>
      </c>
      <c r="E35" s="10" t="s">
        <v>76</v>
      </c>
      <c r="F35" s="10" t="n">
        <v>34</v>
      </c>
      <c r="G35" s="10" t="s">
        <v>77</v>
      </c>
      <c r="H35" s="10" t="s">
        <v>77</v>
      </c>
      <c r="I35" s="10" t="s">
        <v>77</v>
      </c>
      <c r="J35" s="10" t="s">
        <v>77</v>
      </c>
      <c r="K35" s="10" t="s">
        <v>77</v>
      </c>
      <c r="L35" s="10" t="s">
        <v>77</v>
      </c>
      <c r="M35" s="2" t="n">
        <v>20</v>
      </c>
      <c r="N35" s="10" t="s">
        <v>77</v>
      </c>
      <c r="O35" s="10"/>
      <c r="P35" s="10" t="s">
        <v>77</v>
      </c>
      <c r="Q35" s="10" t="s">
        <v>77</v>
      </c>
      <c r="R35" s="10" t="s">
        <v>77</v>
      </c>
      <c r="S35" s="10" t="s">
        <v>77</v>
      </c>
      <c r="T35" s="10" t="s">
        <v>77</v>
      </c>
      <c r="U35" s="10" t="s">
        <v>77</v>
      </c>
      <c r="V35" s="10" t="s">
        <v>77</v>
      </c>
      <c r="W35" s="10" t="s">
        <v>77</v>
      </c>
      <c r="X35" s="10" t="s">
        <v>77</v>
      </c>
      <c r="Y35" s="10" t="s">
        <v>77</v>
      </c>
      <c r="Z35" s="10" t="s">
        <v>77</v>
      </c>
      <c r="AA35" s="10" t="s">
        <v>77</v>
      </c>
      <c r="AB35" s="10"/>
      <c r="AC35" s="10" t="s">
        <v>77</v>
      </c>
      <c r="AD35" s="10" t="s">
        <v>77</v>
      </c>
      <c r="AE35" s="10" t="s">
        <v>77</v>
      </c>
      <c r="AF35" s="10" t="s">
        <v>77</v>
      </c>
      <c r="AG35" s="10" t="s">
        <v>77</v>
      </c>
      <c r="AH35" s="10" t="s">
        <v>77</v>
      </c>
      <c r="AI35" s="10" t="s">
        <v>77</v>
      </c>
      <c r="AJ35" s="10" t="s">
        <v>77</v>
      </c>
      <c r="AK35" s="10" t="s">
        <v>77</v>
      </c>
      <c r="AL35" s="10" t="s">
        <v>77</v>
      </c>
      <c r="AM35" s="10" t="s">
        <v>77</v>
      </c>
      <c r="AN35" s="10" t="s">
        <v>77</v>
      </c>
      <c r="AO35" s="10"/>
      <c r="AP35" s="10" t="s">
        <v>73</v>
      </c>
      <c r="AQ35" s="10" t="s">
        <v>73</v>
      </c>
      <c r="AS35" s="10"/>
      <c r="AT35" s="10"/>
      <c r="AU35" s="10"/>
      <c r="AV35" s="10"/>
      <c r="AW35" s="10"/>
      <c r="AX35" s="10" t="s">
        <v>78</v>
      </c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R35" s="10" t="s">
        <v>78</v>
      </c>
      <c r="BS35" s="10"/>
      <c r="BT35" s="10"/>
      <c r="BU35" s="10"/>
      <c r="BV35" s="10"/>
      <c r="BW35" s="10"/>
      <c r="BX35" s="10"/>
      <c r="BY35" s="10"/>
      <c r="CA35" s="2" t="str">
        <f aca="false">IF(AS35="x","x",IF(AS35="-","-",""))</f>
        <v/>
      </c>
      <c r="CB35" s="2" t="str">
        <f aca="false">IF(AT35="x","x",IF(AT35="-","-",""))</f>
        <v/>
      </c>
      <c r="CC35" s="2" t="str">
        <f aca="false">IF(AU35="x","x",IF(AU35="-","-",""))</f>
        <v/>
      </c>
      <c r="CD35" s="2" t="str">
        <f aca="false">IF(AV35="x","x",IF(AV35="-","-",""))</f>
        <v/>
      </c>
      <c r="CE35" s="2" t="str">
        <f aca="false">IF(AW35="x","x",IF(AW35="-","-",""))</f>
        <v/>
      </c>
      <c r="CF35" s="2" t="str">
        <f aca="false">IF(AX35="x","x",IF(AX35="-","-",""))</f>
        <v>x</v>
      </c>
      <c r="CG35" s="2" t="str">
        <f aca="false">IF(AY35="x","x",IF(AY35="-","-",""))</f>
        <v/>
      </c>
      <c r="CH35" s="2" t="str">
        <f aca="false">IF(AZ35="x","x",IF(AZ35="-","-",""))</f>
        <v/>
      </c>
      <c r="CI35" s="2" t="str">
        <f aca="false">IF(BA35="x","x",IF(BA35="-","-",""))</f>
        <v/>
      </c>
      <c r="CJ35" s="2" t="str">
        <f aca="false">IF(BB35="x","x",IF(BB35="-","-",""))</f>
        <v/>
      </c>
      <c r="CK35" s="2" t="str">
        <f aca="false">IF(BC35="x","x",IF(BC35="-","-",""))</f>
        <v/>
      </c>
      <c r="CL35" s="2" t="str">
        <f aca="false">IF(BD35="x","x",IF(BD35="-","-",""))</f>
        <v/>
      </c>
      <c r="CM35" s="2" t="str">
        <f aca="false">IF(BE35="x","x",IF(BE35="-","-",""))</f>
        <v/>
      </c>
      <c r="CN35" s="2" t="str">
        <f aca="false">IF(BF35="x","x",IF(BF35="-","-",""))</f>
        <v/>
      </c>
      <c r="CO35" s="2" t="str">
        <f aca="false">IF(BG35="x","x",IF(BG35="-","-",""))</f>
        <v/>
      </c>
      <c r="CP35" s="2" t="str">
        <f aca="false">IF(BH35="x","x",IF(BH35="-","-",""))</f>
        <v/>
      </c>
      <c r="CQ35" s="2" t="str">
        <f aca="false">IF(BI35="x","x",IF(BI35="-","-",""))</f>
        <v/>
      </c>
      <c r="CR35" s="2" t="str">
        <f aca="false">IF(BJ35="x","x",IF(BJ35="-","-",""))</f>
        <v/>
      </c>
      <c r="CS35" s="2" t="str">
        <f aca="false">IF(BK35="x","x",IF(BK35="-","-",""))</f>
        <v/>
      </c>
      <c r="CT35" s="2" t="str">
        <f aca="false">IF(BL35="x","x",IF(BL35="-","-",""))</f>
        <v/>
      </c>
      <c r="CU35" s="2" t="str">
        <f aca="false">IF(BM35="x","x",IF(BM35="-","-",""))</f>
        <v/>
      </c>
      <c r="CV35" s="2" t="str">
        <f aca="false">IF(BN35="x","x",IF(BN35="-","-",""))</f>
        <v/>
      </c>
      <c r="CW35" s="2" t="str">
        <f aca="false">IF(BO35="x","x",IF(BO35="-","-",""))</f>
        <v/>
      </c>
      <c r="CX35" s="2" t="str">
        <f aca="false">IF(BP35="x","x",IF(BP35="-","-",""))</f>
        <v/>
      </c>
      <c r="CZ35" s="2" t="str">
        <f aca="false">IF(P35="x","x",IF(P35="-","-",""))</f>
        <v>-</v>
      </c>
      <c r="DA35" s="2" t="str">
        <f aca="false">IF(Q35="x","x",IF(Q35="-","-",""))</f>
        <v>-</v>
      </c>
      <c r="DB35" s="2" t="str">
        <f aca="false">IF(R35="x","x",IF(R35="-","-",""))</f>
        <v>-</v>
      </c>
      <c r="DC35" s="2" t="str">
        <f aca="false">IF(S35="x","x",IF(S35="-","-",""))</f>
        <v>-</v>
      </c>
      <c r="DD35" s="2" t="str">
        <f aca="false">IF(T35="x","x",IF(T35="-","-",""))</f>
        <v>-</v>
      </c>
      <c r="DE35" s="2" t="str">
        <f aca="false">IF(U35="x","x",IF(U35="-","-",""))</f>
        <v>-</v>
      </c>
      <c r="DF35" s="2" t="str">
        <f aca="false">IF(V35="x","x",IF(V35="-","-",""))</f>
        <v>-</v>
      </c>
      <c r="DG35" s="2" t="str">
        <f aca="false">IF(W35="x","x",IF(W35="-","-",""))</f>
        <v>-</v>
      </c>
      <c r="DH35" s="2" t="str">
        <f aca="false">IF(X35="x","x",IF(X35="-","-",""))</f>
        <v>-</v>
      </c>
      <c r="DI35" s="2" t="str">
        <f aca="false">IF(Y35="x","x",IF(Y35="-","-",""))</f>
        <v>-</v>
      </c>
      <c r="DJ35" s="2" t="str">
        <f aca="false">IF(Z35="x","x",IF(Z35="-","-",""))</f>
        <v>-</v>
      </c>
      <c r="DK35" s="2" t="str">
        <f aca="false">IF(AA35="x","x",IF(AA35="-","-",""))</f>
        <v>-</v>
      </c>
      <c r="DL35" s="10"/>
      <c r="DM35" s="2" t="str">
        <f aca="false">IF(AC35="x","x",IF(AC35="-","-",""))</f>
        <v>-</v>
      </c>
      <c r="DN35" s="2" t="str">
        <f aca="false">IF(AD35="x","x",IF(AD35="-","-",""))</f>
        <v>-</v>
      </c>
      <c r="DO35" s="2" t="str">
        <f aca="false">IF(AE35="x","x",IF(AE35="-","-",""))</f>
        <v>-</v>
      </c>
      <c r="DP35" s="2" t="str">
        <f aca="false">IF(AF35="x","x",IF(AF35="-","-",""))</f>
        <v>-</v>
      </c>
      <c r="DQ35" s="2" t="str">
        <f aca="false">IF(AG35="x","x",IF(AG35="-","-",""))</f>
        <v>-</v>
      </c>
      <c r="DR35" s="2" t="str">
        <f aca="false">IF(AH35="x","x",IF(AH35="-","-",""))</f>
        <v>-</v>
      </c>
      <c r="DS35" s="2" t="str">
        <f aca="false">IF(AI35="x","x",IF(AI35="-","-",""))</f>
        <v>-</v>
      </c>
      <c r="DT35" s="2" t="str">
        <f aca="false">IF(AJ35="x","x",IF(AJ35="-","-",""))</f>
        <v>-</v>
      </c>
      <c r="DU35" s="2" t="str">
        <f aca="false">IF(AK35="x","x",IF(AK35="-","-",""))</f>
        <v>-</v>
      </c>
      <c r="DV35" s="2" t="str">
        <f aca="false">IF(AL35="x","x",IF(AL35="-","-",""))</f>
        <v>-</v>
      </c>
      <c r="DW35" s="2" t="str">
        <f aca="false">IF(AM35="x","x",IF(AM35="-","-",""))</f>
        <v>-</v>
      </c>
      <c r="DX35" s="2" t="str">
        <f aca="false">IF(AN35="x","x",IF(AN35="-","-",""))</f>
        <v>-</v>
      </c>
    </row>
    <row r="36" customFormat="false" ht="13.8" hidden="false" customHeight="false" outlineLevel="0" collapsed="false">
      <c r="A36" s="10" t="s">
        <v>73</v>
      </c>
      <c r="B36" s="2" t="n">
        <v>35</v>
      </c>
      <c r="C36" s="11" t="s">
        <v>115</v>
      </c>
      <c r="D36" s="10" t="s">
        <v>109</v>
      </c>
      <c r="E36" s="10" t="s">
        <v>76</v>
      </c>
      <c r="F36" s="10" t="n">
        <v>35</v>
      </c>
      <c r="G36" s="10" t="s">
        <v>77</v>
      </c>
      <c r="H36" s="10" t="s">
        <v>77</v>
      </c>
      <c r="I36" s="10" t="s">
        <v>77</v>
      </c>
      <c r="J36" s="10" t="s">
        <v>77</v>
      </c>
      <c r="K36" s="10" t="s">
        <v>77</v>
      </c>
      <c r="L36" s="10" t="s">
        <v>77</v>
      </c>
      <c r="M36" s="2" t="n">
        <v>20</v>
      </c>
      <c r="N36" s="10" t="s">
        <v>77</v>
      </c>
      <c r="O36" s="10"/>
      <c r="P36" s="10" t="s">
        <v>77</v>
      </c>
      <c r="Q36" s="10" t="s">
        <v>77</v>
      </c>
      <c r="R36" s="10" t="s">
        <v>77</v>
      </c>
      <c r="S36" s="10" t="s">
        <v>77</v>
      </c>
      <c r="T36" s="10" t="s">
        <v>77</v>
      </c>
      <c r="U36" s="10" t="s">
        <v>77</v>
      </c>
      <c r="V36" s="10" t="s">
        <v>77</v>
      </c>
      <c r="W36" s="10" t="s">
        <v>77</v>
      </c>
      <c r="X36" s="10" t="s">
        <v>77</v>
      </c>
      <c r="Y36" s="10" t="s">
        <v>77</v>
      </c>
      <c r="Z36" s="10" t="s">
        <v>77</v>
      </c>
      <c r="AA36" s="10" t="s">
        <v>77</v>
      </c>
      <c r="AB36" s="10"/>
      <c r="AC36" s="10" t="s">
        <v>77</v>
      </c>
      <c r="AD36" s="10" t="s">
        <v>77</v>
      </c>
      <c r="AE36" s="10" t="s">
        <v>77</v>
      </c>
      <c r="AF36" s="10" t="s">
        <v>77</v>
      </c>
      <c r="AG36" s="10" t="s">
        <v>77</v>
      </c>
      <c r="AH36" s="10" t="s">
        <v>77</v>
      </c>
      <c r="AI36" s="10" t="s">
        <v>77</v>
      </c>
      <c r="AJ36" s="10" t="s">
        <v>77</v>
      </c>
      <c r="AK36" s="10" t="s">
        <v>77</v>
      </c>
      <c r="AL36" s="10" t="s">
        <v>77</v>
      </c>
      <c r="AM36" s="10" t="s">
        <v>77</v>
      </c>
      <c r="AN36" s="10" t="s">
        <v>77</v>
      </c>
      <c r="AO36" s="10"/>
      <c r="AP36" s="10" t="s">
        <v>73</v>
      </c>
      <c r="AQ36" s="10" t="s">
        <v>73</v>
      </c>
      <c r="AS36" s="10"/>
      <c r="AT36" s="10"/>
      <c r="AU36" s="10"/>
      <c r="AV36" s="10"/>
      <c r="AW36" s="10"/>
      <c r="AX36" s="10" t="s">
        <v>78</v>
      </c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R36" s="10" t="s">
        <v>78</v>
      </c>
      <c r="BS36" s="10"/>
      <c r="BT36" s="10"/>
      <c r="BU36" s="10"/>
      <c r="BV36" s="10"/>
      <c r="BW36" s="10"/>
      <c r="BX36" s="10"/>
      <c r="BY36" s="10"/>
      <c r="CA36" s="2" t="str">
        <f aca="false">IF(AS36="x","x",IF(AS36="-","-",""))</f>
        <v/>
      </c>
      <c r="CB36" s="2" t="str">
        <f aca="false">IF(AT36="x","x",IF(AT36="-","-",""))</f>
        <v/>
      </c>
      <c r="CC36" s="2" t="str">
        <f aca="false">IF(AU36="x","x",IF(AU36="-","-",""))</f>
        <v/>
      </c>
      <c r="CD36" s="2" t="str">
        <f aca="false">IF(AV36="x","x",IF(AV36="-","-",""))</f>
        <v/>
      </c>
      <c r="CE36" s="2" t="str">
        <f aca="false">IF(AW36="x","x",IF(AW36="-","-",""))</f>
        <v/>
      </c>
      <c r="CF36" s="2" t="str">
        <f aca="false">IF(AX36="x","x",IF(AX36="-","-",""))</f>
        <v>x</v>
      </c>
      <c r="CG36" s="2" t="str">
        <f aca="false">IF(AY36="x","x",IF(AY36="-","-",""))</f>
        <v/>
      </c>
      <c r="CH36" s="2" t="str">
        <f aca="false">IF(AZ36="x","x",IF(AZ36="-","-",""))</f>
        <v/>
      </c>
      <c r="CI36" s="2" t="str">
        <f aca="false">IF(BA36="x","x",IF(BA36="-","-",""))</f>
        <v/>
      </c>
      <c r="CJ36" s="2" t="str">
        <f aca="false">IF(BB36="x","x",IF(BB36="-","-",""))</f>
        <v/>
      </c>
      <c r="CK36" s="2" t="str">
        <f aca="false">IF(BC36="x","x",IF(BC36="-","-",""))</f>
        <v/>
      </c>
      <c r="CL36" s="2" t="str">
        <f aca="false">IF(BD36="x","x",IF(BD36="-","-",""))</f>
        <v/>
      </c>
      <c r="CM36" s="2" t="str">
        <f aca="false">IF(BE36="x","x",IF(BE36="-","-",""))</f>
        <v/>
      </c>
      <c r="CN36" s="2" t="str">
        <f aca="false">IF(BF36="x","x",IF(BF36="-","-",""))</f>
        <v/>
      </c>
      <c r="CO36" s="2" t="str">
        <f aca="false">IF(BG36="x","x",IF(BG36="-","-",""))</f>
        <v/>
      </c>
      <c r="CP36" s="2" t="str">
        <f aca="false">IF(BH36="x","x",IF(BH36="-","-",""))</f>
        <v/>
      </c>
      <c r="CQ36" s="2" t="str">
        <f aca="false">IF(BI36="x","x",IF(BI36="-","-",""))</f>
        <v/>
      </c>
      <c r="CR36" s="2" t="str">
        <f aca="false">IF(BJ36="x","x",IF(BJ36="-","-",""))</f>
        <v/>
      </c>
      <c r="CS36" s="2" t="str">
        <f aca="false">IF(BK36="x","x",IF(BK36="-","-",""))</f>
        <v/>
      </c>
      <c r="CT36" s="2" t="str">
        <f aca="false">IF(BL36="x","x",IF(BL36="-","-",""))</f>
        <v/>
      </c>
      <c r="CU36" s="2" t="str">
        <f aca="false">IF(BM36="x","x",IF(BM36="-","-",""))</f>
        <v/>
      </c>
      <c r="CV36" s="2" t="str">
        <f aca="false">IF(BN36="x","x",IF(BN36="-","-",""))</f>
        <v/>
      </c>
      <c r="CW36" s="2" t="str">
        <f aca="false">IF(BO36="x","x",IF(BO36="-","-",""))</f>
        <v/>
      </c>
      <c r="CX36" s="2" t="str">
        <f aca="false">IF(BP36="x","x",IF(BP36="-","-",""))</f>
        <v/>
      </c>
      <c r="CZ36" s="2" t="str">
        <f aca="false">IF(P36="x","x",IF(P36="-","-",""))</f>
        <v>-</v>
      </c>
      <c r="DA36" s="2" t="str">
        <f aca="false">IF(Q36="x","x",IF(Q36="-","-",""))</f>
        <v>-</v>
      </c>
      <c r="DB36" s="2" t="str">
        <f aca="false">IF(R36="x","x",IF(R36="-","-",""))</f>
        <v>-</v>
      </c>
      <c r="DC36" s="2" t="str">
        <f aca="false">IF(S36="x","x",IF(S36="-","-",""))</f>
        <v>-</v>
      </c>
      <c r="DD36" s="2" t="str">
        <f aca="false">IF(T36="x","x",IF(T36="-","-",""))</f>
        <v>-</v>
      </c>
      <c r="DE36" s="2" t="str">
        <f aca="false">IF(U36="x","x",IF(U36="-","-",""))</f>
        <v>-</v>
      </c>
      <c r="DF36" s="2" t="str">
        <f aca="false">IF(V36="x","x",IF(V36="-","-",""))</f>
        <v>-</v>
      </c>
      <c r="DG36" s="2" t="str">
        <f aca="false">IF(W36="x","x",IF(W36="-","-",""))</f>
        <v>-</v>
      </c>
      <c r="DH36" s="2" t="str">
        <f aca="false">IF(X36="x","x",IF(X36="-","-",""))</f>
        <v>-</v>
      </c>
      <c r="DI36" s="2" t="str">
        <f aca="false">IF(Y36="x","x",IF(Y36="-","-",""))</f>
        <v>-</v>
      </c>
      <c r="DJ36" s="2" t="str">
        <f aca="false">IF(Z36="x","x",IF(Z36="-","-",""))</f>
        <v>-</v>
      </c>
      <c r="DK36" s="2" t="str">
        <f aca="false">IF(AA36="x","x",IF(AA36="-","-",""))</f>
        <v>-</v>
      </c>
      <c r="DL36" s="10"/>
      <c r="DM36" s="2" t="str">
        <f aca="false">IF(AC36="x","x",IF(AC36="-","-",""))</f>
        <v>-</v>
      </c>
      <c r="DN36" s="2" t="str">
        <f aca="false">IF(AD36="x","x",IF(AD36="-","-",""))</f>
        <v>-</v>
      </c>
      <c r="DO36" s="2" t="str">
        <f aca="false">IF(AE36="x","x",IF(AE36="-","-",""))</f>
        <v>-</v>
      </c>
      <c r="DP36" s="2" t="str">
        <f aca="false">IF(AF36="x","x",IF(AF36="-","-",""))</f>
        <v>-</v>
      </c>
      <c r="DQ36" s="2" t="str">
        <f aca="false">IF(AG36="x","x",IF(AG36="-","-",""))</f>
        <v>-</v>
      </c>
      <c r="DR36" s="2" t="str">
        <f aca="false">IF(AH36="x","x",IF(AH36="-","-",""))</f>
        <v>-</v>
      </c>
      <c r="DS36" s="2" t="str">
        <f aca="false">IF(AI36="x","x",IF(AI36="-","-",""))</f>
        <v>-</v>
      </c>
      <c r="DT36" s="2" t="str">
        <f aca="false">IF(AJ36="x","x",IF(AJ36="-","-",""))</f>
        <v>-</v>
      </c>
      <c r="DU36" s="2" t="str">
        <f aca="false">IF(AK36="x","x",IF(AK36="-","-",""))</f>
        <v>-</v>
      </c>
      <c r="DV36" s="2" t="str">
        <f aca="false">IF(AL36="x","x",IF(AL36="-","-",""))</f>
        <v>-</v>
      </c>
      <c r="DW36" s="2" t="str">
        <f aca="false">IF(AM36="x","x",IF(AM36="-","-",""))</f>
        <v>-</v>
      </c>
      <c r="DX36" s="2" t="str">
        <f aca="false">IF(AN36="x","x",IF(AN36="-","-",""))</f>
        <v>-</v>
      </c>
    </row>
    <row r="37" customFormat="false" ht="13.8" hidden="false" customHeight="false" outlineLevel="0" collapsed="false">
      <c r="A37" s="10" t="s">
        <v>73</v>
      </c>
      <c r="B37" s="2" t="n">
        <v>36</v>
      </c>
      <c r="C37" s="11" t="s">
        <v>116</v>
      </c>
      <c r="D37" s="10" t="s">
        <v>109</v>
      </c>
      <c r="E37" s="10" t="s">
        <v>76</v>
      </c>
      <c r="F37" s="10" t="n">
        <v>36</v>
      </c>
      <c r="G37" s="10" t="s">
        <v>77</v>
      </c>
      <c r="H37" s="10" t="s">
        <v>77</v>
      </c>
      <c r="I37" s="10" t="s">
        <v>77</v>
      </c>
      <c r="J37" s="10" t="s">
        <v>77</v>
      </c>
      <c r="K37" s="10" t="s">
        <v>77</v>
      </c>
      <c r="L37" s="10" t="s">
        <v>77</v>
      </c>
      <c r="M37" s="2" t="n">
        <v>20</v>
      </c>
      <c r="N37" s="10" t="s">
        <v>77</v>
      </c>
      <c r="O37" s="10"/>
      <c r="P37" s="10" t="s">
        <v>77</v>
      </c>
      <c r="Q37" s="10" t="s">
        <v>77</v>
      </c>
      <c r="R37" s="10" t="s">
        <v>77</v>
      </c>
      <c r="S37" s="10" t="s">
        <v>77</v>
      </c>
      <c r="T37" s="10" t="s">
        <v>77</v>
      </c>
      <c r="U37" s="10" t="s">
        <v>77</v>
      </c>
      <c r="V37" s="10" t="s">
        <v>77</v>
      </c>
      <c r="W37" s="10" t="s">
        <v>77</v>
      </c>
      <c r="X37" s="10" t="s">
        <v>77</v>
      </c>
      <c r="Y37" s="10" t="s">
        <v>77</v>
      </c>
      <c r="Z37" s="10" t="s">
        <v>77</v>
      </c>
      <c r="AA37" s="10" t="s">
        <v>77</v>
      </c>
      <c r="AB37" s="10"/>
      <c r="AC37" s="10" t="s">
        <v>77</v>
      </c>
      <c r="AD37" s="10" t="s">
        <v>77</v>
      </c>
      <c r="AE37" s="10" t="s">
        <v>77</v>
      </c>
      <c r="AF37" s="10" t="s">
        <v>77</v>
      </c>
      <c r="AG37" s="10" t="s">
        <v>77</v>
      </c>
      <c r="AH37" s="10" t="s">
        <v>77</v>
      </c>
      <c r="AI37" s="10" t="s">
        <v>77</v>
      </c>
      <c r="AJ37" s="10" t="s">
        <v>77</v>
      </c>
      <c r="AK37" s="10" t="s">
        <v>77</v>
      </c>
      <c r="AL37" s="10" t="s">
        <v>77</v>
      </c>
      <c r="AM37" s="10" t="s">
        <v>77</v>
      </c>
      <c r="AN37" s="10" t="s">
        <v>77</v>
      </c>
      <c r="AO37" s="10"/>
      <c r="AP37" s="10" t="s">
        <v>73</v>
      </c>
      <c r="AQ37" s="10" t="s">
        <v>73</v>
      </c>
      <c r="AS37" s="10"/>
      <c r="AT37" s="10"/>
      <c r="AU37" s="10"/>
      <c r="AV37" s="10"/>
      <c r="AW37" s="10"/>
      <c r="AX37" s="10" t="s">
        <v>78</v>
      </c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R37" s="10" t="s">
        <v>78</v>
      </c>
      <c r="BS37" s="10"/>
      <c r="BT37" s="10"/>
      <c r="BU37" s="10"/>
      <c r="BV37" s="10"/>
      <c r="BW37" s="10"/>
      <c r="BX37" s="10"/>
      <c r="BY37" s="10"/>
      <c r="CA37" s="2" t="str">
        <f aca="false">IF(AS37="x","x",IF(AS37="-","-",""))</f>
        <v/>
      </c>
      <c r="CB37" s="2" t="str">
        <f aca="false">IF(AT37="x","x",IF(AT37="-","-",""))</f>
        <v/>
      </c>
      <c r="CC37" s="2" t="str">
        <f aca="false">IF(AU37="x","x",IF(AU37="-","-",""))</f>
        <v/>
      </c>
      <c r="CD37" s="2" t="str">
        <f aca="false">IF(AV37="x","x",IF(AV37="-","-",""))</f>
        <v/>
      </c>
      <c r="CE37" s="2" t="str">
        <f aca="false">IF(AW37="x","x",IF(AW37="-","-",""))</f>
        <v/>
      </c>
      <c r="CF37" s="2" t="str">
        <f aca="false">IF(AX37="x","x",IF(AX37="-","-",""))</f>
        <v>x</v>
      </c>
      <c r="CG37" s="2" t="str">
        <f aca="false">IF(AY37="x","x",IF(AY37="-","-",""))</f>
        <v/>
      </c>
      <c r="CH37" s="2" t="str">
        <f aca="false">IF(AZ37="x","x",IF(AZ37="-","-",""))</f>
        <v/>
      </c>
      <c r="CI37" s="2" t="str">
        <f aca="false">IF(BA37="x","x",IF(BA37="-","-",""))</f>
        <v/>
      </c>
      <c r="CJ37" s="2" t="str">
        <f aca="false">IF(BB37="x","x",IF(BB37="-","-",""))</f>
        <v/>
      </c>
      <c r="CK37" s="2" t="str">
        <f aca="false">IF(BC37="x","x",IF(BC37="-","-",""))</f>
        <v/>
      </c>
      <c r="CL37" s="2" t="str">
        <f aca="false">IF(BD37="x","x",IF(BD37="-","-",""))</f>
        <v/>
      </c>
      <c r="CM37" s="2" t="str">
        <f aca="false">IF(BE37="x","x",IF(BE37="-","-",""))</f>
        <v/>
      </c>
      <c r="CN37" s="2" t="str">
        <f aca="false">IF(BF37="x","x",IF(BF37="-","-",""))</f>
        <v/>
      </c>
      <c r="CO37" s="2" t="str">
        <f aca="false">IF(BG37="x","x",IF(BG37="-","-",""))</f>
        <v/>
      </c>
      <c r="CP37" s="2" t="str">
        <f aca="false">IF(BH37="x","x",IF(BH37="-","-",""))</f>
        <v/>
      </c>
      <c r="CQ37" s="2" t="str">
        <f aca="false">IF(BI37="x","x",IF(BI37="-","-",""))</f>
        <v/>
      </c>
      <c r="CR37" s="2" t="str">
        <f aca="false">IF(BJ37="x","x",IF(BJ37="-","-",""))</f>
        <v/>
      </c>
      <c r="CS37" s="2" t="str">
        <f aca="false">IF(BK37="x","x",IF(BK37="-","-",""))</f>
        <v/>
      </c>
      <c r="CT37" s="2" t="str">
        <f aca="false">IF(BL37="x","x",IF(BL37="-","-",""))</f>
        <v/>
      </c>
      <c r="CU37" s="2" t="str">
        <f aca="false">IF(BM37="x","x",IF(BM37="-","-",""))</f>
        <v/>
      </c>
      <c r="CV37" s="2" t="str">
        <f aca="false">IF(BN37="x","x",IF(BN37="-","-",""))</f>
        <v/>
      </c>
      <c r="CW37" s="2" t="str">
        <f aca="false">IF(BO37="x","x",IF(BO37="-","-",""))</f>
        <v/>
      </c>
      <c r="CX37" s="2" t="str">
        <f aca="false">IF(BP37="x","x",IF(BP37="-","-",""))</f>
        <v/>
      </c>
      <c r="CZ37" s="2" t="str">
        <f aca="false">IF(P37="x","x",IF(P37="-","-",""))</f>
        <v>-</v>
      </c>
      <c r="DA37" s="2" t="str">
        <f aca="false">IF(Q37="x","x",IF(Q37="-","-",""))</f>
        <v>-</v>
      </c>
      <c r="DB37" s="2" t="str">
        <f aca="false">IF(R37="x","x",IF(R37="-","-",""))</f>
        <v>-</v>
      </c>
      <c r="DC37" s="2" t="str">
        <f aca="false">IF(S37="x","x",IF(S37="-","-",""))</f>
        <v>-</v>
      </c>
      <c r="DD37" s="2" t="str">
        <f aca="false">IF(T37="x","x",IF(T37="-","-",""))</f>
        <v>-</v>
      </c>
      <c r="DE37" s="2" t="str">
        <f aca="false">IF(U37="x","x",IF(U37="-","-",""))</f>
        <v>-</v>
      </c>
      <c r="DF37" s="2" t="str">
        <f aca="false">IF(V37="x","x",IF(V37="-","-",""))</f>
        <v>-</v>
      </c>
      <c r="DG37" s="2" t="str">
        <f aca="false">IF(W37="x","x",IF(W37="-","-",""))</f>
        <v>-</v>
      </c>
      <c r="DH37" s="2" t="str">
        <f aca="false">IF(X37="x","x",IF(X37="-","-",""))</f>
        <v>-</v>
      </c>
      <c r="DI37" s="2" t="str">
        <f aca="false">IF(Y37="x","x",IF(Y37="-","-",""))</f>
        <v>-</v>
      </c>
      <c r="DJ37" s="2" t="str">
        <f aca="false">IF(Z37="x","x",IF(Z37="-","-",""))</f>
        <v>-</v>
      </c>
      <c r="DK37" s="2" t="str">
        <f aca="false">IF(AA37="x","x",IF(AA37="-","-",""))</f>
        <v>-</v>
      </c>
      <c r="DL37" s="10"/>
      <c r="DM37" s="2" t="str">
        <f aca="false">IF(AC37="x","x",IF(AC37="-","-",""))</f>
        <v>-</v>
      </c>
      <c r="DN37" s="2" t="str">
        <f aca="false">IF(AD37="x","x",IF(AD37="-","-",""))</f>
        <v>-</v>
      </c>
      <c r="DO37" s="2" t="str">
        <f aca="false">IF(AE37="x","x",IF(AE37="-","-",""))</f>
        <v>-</v>
      </c>
      <c r="DP37" s="2" t="str">
        <f aca="false">IF(AF37="x","x",IF(AF37="-","-",""))</f>
        <v>-</v>
      </c>
      <c r="DQ37" s="2" t="str">
        <f aca="false">IF(AG37="x","x",IF(AG37="-","-",""))</f>
        <v>-</v>
      </c>
      <c r="DR37" s="2" t="str">
        <f aca="false">IF(AH37="x","x",IF(AH37="-","-",""))</f>
        <v>-</v>
      </c>
      <c r="DS37" s="2" t="str">
        <f aca="false">IF(AI37="x","x",IF(AI37="-","-",""))</f>
        <v>-</v>
      </c>
      <c r="DT37" s="2" t="str">
        <f aca="false">IF(AJ37="x","x",IF(AJ37="-","-",""))</f>
        <v>-</v>
      </c>
      <c r="DU37" s="2" t="str">
        <f aca="false">IF(AK37="x","x",IF(AK37="-","-",""))</f>
        <v>-</v>
      </c>
      <c r="DV37" s="2" t="str">
        <f aca="false">IF(AL37="x","x",IF(AL37="-","-",""))</f>
        <v>-</v>
      </c>
      <c r="DW37" s="2" t="str">
        <f aca="false">IF(AM37="x","x",IF(AM37="-","-",""))</f>
        <v>-</v>
      </c>
      <c r="DX37" s="2" t="str">
        <f aca="false">IF(AN37="x","x",IF(AN37="-","-",""))</f>
        <v>-</v>
      </c>
    </row>
    <row r="38" customFormat="false" ht="13.8" hidden="false" customHeight="false" outlineLevel="0" collapsed="false">
      <c r="A38" s="10" t="s">
        <v>73</v>
      </c>
      <c r="B38" s="2" t="n">
        <v>37</v>
      </c>
      <c r="C38" s="11" t="s">
        <v>91</v>
      </c>
      <c r="D38" s="10" t="s">
        <v>92</v>
      </c>
      <c r="E38" s="10" t="s">
        <v>76</v>
      </c>
      <c r="F38" s="10" t="n">
        <v>37</v>
      </c>
      <c r="G38" s="10" t="s">
        <v>77</v>
      </c>
      <c r="H38" s="10" t="s">
        <v>77</v>
      </c>
      <c r="I38" s="10" t="s">
        <v>77</v>
      </c>
      <c r="J38" s="10" t="s">
        <v>77</v>
      </c>
      <c r="K38" s="10" t="s">
        <v>77</v>
      </c>
      <c r="L38" s="10" t="s">
        <v>77</v>
      </c>
      <c r="M38" s="2" t="n">
        <v>20</v>
      </c>
      <c r="N38" s="10" t="s">
        <v>77</v>
      </c>
      <c r="O38" s="10"/>
      <c r="P38" s="10" t="s">
        <v>77</v>
      </c>
      <c r="Q38" s="10" t="s">
        <v>77</v>
      </c>
      <c r="R38" s="10" t="s">
        <v>77</v>
      </c>
      <c r="S38" s="10" t="s">
        <v>77</v>
      </c>
      <c r="T38" s="10" t="s">
        <v>77</v>
      </c>
      <c r="U38" s="10" t="s">
        <v>77</v>
      </c>
      <c r="V38" s="10" t="s">
        <v>77</v>
      </c>
      <c r="W38" s="10" t="s">
        <v>77</v>
      </c>
      <c r="X38" s="10" t="s">
        <v>77</v>
      </c>
      <c r="Y38" s="10" t="s">
        <v>77</v>
      </c>
      <c r="Z38" s="10" t="s">
        <v>77</v>
      </c>
      <c r="AA38" s="10" t="s">
        <v>77</v>
      </c>
      <c r="AB38" s="10"/>
      <c r="AC38" s="10" t="s">
        <v>77</v>
      </c>
      <c r="AD38" s="10" t="s">
        <v>77</v>
      </c>
      <c r="AE38" s="10" t="s">
        <v>77</v>
      </c>
      <c r="AF38" s="10" t="s">
        <v>77</v>
      </c>
      <c r="AG38" s="10" t="s">
        <v>77</v>
      </c>
      <c r="AH38" s="10" t="s">
        <v>77</v>
      </c>
      <c r="AI38" s="10" t="s">
        <v>77</v>
      </c>
      <c r="AJ38" s="10" t="s">
        <v>77</v>
      </c>
      <c r="AK38" s="10" t="s">
        <v>77</v>
      </c>
      <c r="AL38" s="10" t="s">
        <v>77</v>
      </c>
      <c r="AM38" s="10" t="s">
        <v>77</v>
      </c>
      <c r="AN38" s="10" t="s">
        <v>77</v>
      </c>
      <c r="AO38" s="10"/>
      <c r="AP38" s="10" t="s">
        <v>73</v>
      </c>
      <c r="AQ38" s="10" t="s">
        <v>73</v>
      </c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R38" s="10" t="s">
        <v>78</v>
      </c>
      <c r="BS38" s="10"/>
      <c r="BT38" s="10"/>
      <c r="BU38" s="10"/>
      <c r="BV38" s="10"/>
      <c r="BW38" s="10"/>
      <c r="BX38" s="10"/>
      <c r="BY38" s="10"/>
      <c r="CA38" s="2" t="str">
        <f aca="false">IF(AS38="x","x",IF(AS38="-","-",""))</f>
        <v/>
      </c>
      <c r="CB38" s="2" t="str">
        <f aca="false">IF(AT38="x","x",IF(AT38="-","-",""))</f>
        <v/>
      </c>
      <c r="CC38" s="2" t="str">
        <f aca="false">IF(AU38="x","x",IF(AU38="-","-",""))</f>
        <v/>
      </c>
      <c r="CD38" s="2" t="str">
        <f aca="false">IF(AV38="x","x",IF(AV38="-","-",""))</f>
        <v/>
      </c>
      <c r="CE38" s="2" t="str">
        <f aca="false">IF(AW38="x","x",IF(AW38="-","-",""))</f>
        <v/>
      </c>
      <c r="CF38" s="2" t="str">
        <f aca="false">IF(AX38="x","x",IF(AX38="-","-",""))</f>
        <v/>
      </c>
      <c r="CG38" s="2" t="str">
        <f aca="false">IF(AY38="x","x",IF(AY38="-","-",""))</f>
        <v/>
      </c>
      <c r="CH38" s="2" t="str">
        <f aca="false">IF(AZ38="x","x",IF(AZ38="-","-",""))</f>
        <v/>
      </c>
      <c r="CI38" s="2" t="str">
        <f aca="false">IF(BA38="x","x",IF(BA38="-","-",""))</f>
        <v/>
      </c>
      <c r="CJ38" s="2" t="str">
        <f aca="false">IF(BB38="x","x",IF(BB38="-","-",""))</f>
        <v/>
      </c>
      <c r="CK38" s="2" t="str">
        <f aca="false">IF(BC38="x","x",IF(BC38="-","-",""))</f>
        <v/>
      </c>
      <c r="CL38" s="2" t="str">
        <f aca="false">IF(BD38="x","x",IF(BD38="-","-",""))</f>
        <v/>
      </c>
      <c r="CM38" s="2" t="str">
        <f aca="false">IF(BE38="x","x",IF(BE38="-","-",""))</f>
        <v/>
      </c>
      <c r="CN38" s="2" t="str">
        <f aca="false">IF(BF38="x","x",IF(BF38="-","-",""))</f>
        <v/>
      </c>
      <c r="CO38" s="2" t="str">
        <f aca="false">IF(BG38="x","x",IF(BG38="-","-",""))</f>
        <v/>
      </c>
      <c r="CP38" s="2" t="str">
        <f aca="false">IF(BH38="x","x",IF(BH38="-","-",""))</f>
        <v/>
      </c>
      <c r="CQ38" s="2" t="str">
        <f aca="false">IF(BI38="x","x",IF(BI38="-","-",""))</f>
        <v/>
      </c>
      <c r="CR38" s="2" t="str">
        <f aca="false">IF(BJ38="x","x",IF(BJ38="-","-",""))</f>
        <v/>
      </c>
      <c r="CS38" s="2" t="str">
        <f aca="false">IF(BK38="x","x",IF(BK38="-","-",""))</f>
        <v/>
      </c>
      <c r="CT38" s="2" t="str">
        <f aca="false">IF(BL38="x","x",IF(BL38="-","-",""))</f>
        <v/>
      </c>
      <c r="CU38" s="2" t="str">
        <f aca="false">IF(BM38="x","x",IF(BM38="-","-",""))</f>
        <v/>
      </c>
      <c r="CV38" s="2" t="str">
        <f aca="false">IF(BN38="x","x",IF(BN38="-","-",""))</f>
        <v/>
      </c>
      <c r="CW38" s="2" t="str">
        <f aca="false">IF(BO38="x","x",IF(BO38="-","-",""))</f>
        <v/>
      </c>
      <c r="CX38" s="2" t="str">
        <f aca="false">IF(BP38="x","x",IF(BP38="-","-",""))</f>
        <v/>
      </c>
      <c r="CZ38" s="2" t="str">
        <f aca="false">IF(P38="x","x",IF(P38="-","-",""))</f>
        <v>-</v>
      </c>
      <c r="DA38" s="2" t="str">
        <f aca="false">IF(Q38="x","x",IF(Q38="-","-",""))</f>
        <v>-</v>
      </c>
      <c r="DB38" s="2" t="str">
        <f aca="false">IF(R38="x","x",IF(R38="-","-",""))</f>
        <v>-</v>
      </c>
      <c r="DC38" s="2" t="str">
        <f aca="false">IF(S38="x","x",IF(S38="-","-",""))</f>
        <v>-</v>
      </c>
      <c r="DD38" s="2" t="str">
        <f aca="false">IF(T38="x","x",IF(T38="-","-",""))</f>
        <v>-</v>
      </c>
      <c r="DE38" s="2" t="str">
        <f aca="false">IF(U38="x","x",IF(U38="-","-",""))</f>
        <v>-</v>
      </c>
      <c r="DF38" s="2" t="str">
        <f aca="false">IF(V38="x","x",IF(V38="-","-",""))</f>
        <v>-</v>
      </c>
      <c r="DG38" s="2" t="str">
        <f aca="false">IF(W38="x","x",IF(W38="-","-",""))</f>
        <v>-</v>
      </c>
      <c r="DH38" s="2" t="str">
        <f aca="false">IF(X38="x","x",IF(X38="-","-",""))</f>
        <v>-</v>
      </c>
      <c r="DI38" s="2" t="str">
        <f aca="false">IF(Y38="x","x",IF(Y38="-","-",""))</f>
        <v>-</v>
      </c>
      <c r="DJ38" s="2" t="str">
        <f aca="false">IF(Z38="x","x",IF(Z38="-","-",""))</f>
        <v>-</v>
      </c>
      <c r="DK38" s="2" t="str">
        <f aca="false">IF(AA38="x","x",IF(AA38="-","-",""))</f>
        <v>-</v>
      </c>
      <c r="DL38" s="10"/>
      <c r="DM38" s="2" t="str">
        <f aca="false">IF(AC38="x","x",IF(AC38="-","-",""))</f>
        <v>-</v>
      </c>
      <c r="DN38" s="2" t="str">
        <f aca="false">IF(AD38="x","x",IF(AD38="-","-",""))</f>
        <v>-</v>
      </c>
      <c r="DO38" s="2" t="str">
        <f aca="false">IF(AE38="x","x",IF(AE38="-","-",""))</f>
        <v>-</v>
      </c>
      <c r="DP38" s="2" t="str">
        <f aca="false">IF(AF38="x","x",IF(AF38="-","-",""))</f>
        <v>-</v>
      </c>
      <c r="DQ38" s="2" t="str">
        <f aca="false">IF(AG38="x","x",IF(AG38="-","-",""))</f>
        <v>-</v>
      </c>
      <c r="DR38" s="2" t="str">
        <f aca="false">IF(AH38="x","x",IF(AH38="-","-",""))</f>
        <v>-</v>
      </c>
      <c r="DS38" s="2" t="str">
        <f aca="false">IF(AI38="x","x",IF(AI38="-","-",""))</f>
        <v>-</v>
      </c>
      <c r="DT38" s="2" t="str">
        <f aca="false">IF(AJ38="x","x",IF(AJ38="-","-",""))</f>
        <v>-</v>
      </c>
      <c r="DU38" s="2" t="str">
        <f aca="false">IF(AK38="x","x",IF(AK38="-","-",""))</f>
        <v>-</v>
      </c>
      <c r="DV38" s="2" t="str">
        <f aca="false">IF(AL38="x","x",IF(AL38="-","-",""))</f>
        <v>-</v>
      </c>
      <c r="DW38" s="2" t="str">
        <f aca="false">IF(AM38="x","x",IF(AM38="-","-",""))</f>
        <v>-</v>
      </c>
      <c r="DX38" s="2" t="str">
        <f aca="false">IF(AN38="x","x",IF(AN38="-","-",""))</f>
        <v>-</v>
      </c>
    </row>
    <row r="39" customFormat="false" ht="13.8" hidden="false" customHeight="false" outlineLevel="0" collapsed="false">
      <c r="A39" s="10" t="s">
        <v>73</v>
      </c>
      <c r="B39" s="2" t="n">
        <v>38</v>
      </c>
      <c r="C39" s="11" t="s">
        <v>91</v>
      </c>
      <c r="D39" s="10" t="s">
        <v>92</v>
      </c>
      <c r="E39" s="10" t="s">
        <v>76</v>
      </c>
      <c r="F39" s="10" t="n">
        <v>38</v>
      </c>
      <c r="G39" s="10" t="s">
        <v>77</v>
      </c>
      <c r="H39" s="10" t="s">
        <v>77</v>
      </c>
      <c r="I39" s="10" t="s">
        <v>77</v>
      </c>
      <c r="J39" s="10" t="s">
        <v>77</v>
      </c>
      <c r="K39" s="10" t="s">
        <v>77</v>
      </c>
      <c r="L39" s="10" t="s">
        <v>77</v>
      </c>
      <c r="M39" s="2" t="n">
        <v>20</v>
      </c>
      <c r="N39" s="10" t="s">
        <v>77</v>
      </c>
      <c r="O39" s="10"/>
      <c r="P39" s="10" t="s">
        <v>77</v>
      </c>
      <c r="Q39" s="10" t="s">
        <v>77</v>
      </c>
      <c r="R39" s="10" t="s">
        <v>77</v>
      </c>
      <c r="S39" s="10" t="s">
        <v>77</v>
      </c>
      <c r="T39" s="10" t="s">
        <v>77</v>
      </c>
      <c r="U39" s="10" t="s">
        <v>77</v>
      </c>
      <c r="V39" s="10" t="s">
        <v>77</v>
      </c>
      <c r="W39" s="10" t="s">
        <v>77</v>
      </c>
      <c r="X39" s="10" t="s">
        <v>77</v>
      </c>
      <c r="Y39" s="10" t="s">
        <v>77</v>
      </c>
      <c r="Z39" s="10" t="s">
        <v>77</v>
      </c>
      <c r="AA39" s="10" t="s">
        <v>77</v>
      </c>
      <c r="AB39" s="10"/>
      <c r="AC39" s="10" t="s">
        <v>77</v>
      </c>
      <c r="AD39" s="10" t="s">
        <v>77</v>
      </c>
      <c r="AE39" s="10" t="s">
        <v>77</v>
      </c>
      <c r="AF39" s="10" t="s">
        <v>77</v>
      </c>
      <c r="AG39" s="10" t="s">
        <v>77</v>
      </c>
      <c r="AH39" s="10" t="s">
        <v>77</v>
      </c>
      <c r="AI39" s="10" t="s">
        <v>77</v>
      </c>
      <c r="AJ39" s="10" t="s">
        <v>77</v>
      </c>
      <c r="AK39" s="10" t="s">
        <v>77</v>
      </c>
      <c r="AL39" s="10" t="s">
        <v>77</v>
      </c>
      <c r="AM39" s="10" t="s">
        <v>77</v>
      </c>
      <c r="AN39" s="10" t="s">
        <v>77</v>
      </c>
      <c r="AO39" s="10"/>
      <c r="AP39" s="10" t="s">
        <v>73</v>
      </c>
      <c r="AQ39" s="10" t="s">
        <v>73</v>
      </c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R39" s="10" t="s">
        <v>78</v>
      </c>
      <c r="BS39" s="10"/>
      <c r="BT39" s="10"/>
      <c r="BU39" s="10"/>
      <c r="BV39" s="10"/>
      <c r="BW39" s="10"/>
      <c r="BX39" s="10"/>
      <c r="BY39" s="10"/>
      <c r="CA39" s="2" t="str">
        <f aca="false">IF(AS39="x","x",IF(AS39="-","-",""))</f>
        <v/>
      </c>
      <c r="CB39" s="2" t="str">
        <f aca="false">IF(AT39="x","x",IF(AT39="-","-",""))</f>
        <v/>
      </c>
      <c r="CC39" s="2" t="str">
        <f aca="false">IF(AU39="x","x",IF(AU39="-","-",""))</f>
        <v/>
      </c>
      <c r="CD39" s="2" t="str">
        <f aca="false">IF(AV39="x","x",IF(AV39="-","-",""))</f>
        <v/>
      </c>
      <c r="CE39" s="2" t="str">
        <f aca="false">IF(AW39="x","x",IF(AW39="-","-",""))</f>
        <v/>
      </c>
      <c r="CF39" s="2" t="str">
        <f aca="false">IF(AX39="x","x",IF(AX39="-","-",""))</f>
        <v/>
      </c>
      <c r="CG39" s="2" t="str">
        <f aca="false">IF(AY39="x","x",IF(AY39="-","-",""))</f>
        <v/>
      </c>
      <c r="CH39" s="2" t="str">
        <f aca="false">IF(AZ39="x","x",IF(AZ39="-","-",""))</f>
        <v/>
      </c>
      <c r="CI39" s="2" t="str">
        <f aca="false">IF(BA39="x","x",IF(BA39="-","-",""))</f>
        <v/>
      </c>
      <c r="CJ39" s="2" t="str">
        <f aca="false">IF(BB39="x","x",IF(BB39="-","-",""))</f>
        <v/>
      </c>
      <c r="CK39" s="2" t="str">
        <f aca="false">IF(BC39="x","x",IF(BC39="-","-",""))</f>
        <v/>
      </c>
      <c r="CL39" s="2" t="str">
        <f aca="false">IF(BD39="x","x",IF(BD39="-","-",""))</f>
        <v/>
      </c>
      <c r="CM39" s="2" t="str">
        <f aca="false">IF(BE39="x","x",IF(BE39="-","-",""))</f>
        <v/>
      </c>
      <c r="CN39" s="2" t="str">
        <f aca="false">IF(BF39="x","x",IF(BF39="-","-",""))</f>
        <v/>
      </c>
      <c r="CO39" s="2" t="str">
        <f aca="false">IF(BG39="x","x",IF(BG39="-","-",""))</f>
        <v/>
      </c>
      <c r="CP39" s="2" t="str">
        <f aca="false">IF(BH39="x","x",IF(BH39="-","-",""))</f>
        <v/>
      </c>
      <c r="CQ39" s="2" t="str">
        <f aca="false">IF(BI39="x","x",IF(BI39="-","-",""))</f>
        <v/>
      </c>
      <c r="CR39" s="2" t="str">
        <f aca="false">IF(BJ39="x","x",IF(BJ39="-","-",""))</f>
        <v/>
      </c>
      <c r="CS39" s="2" t="str">
        <f aca="false">IF(BK39="x","x",IF(BK39="-","-",""))</f>
        <v/>
      </c>
      <c r="CT39" s="2" t="str">
        <f aca="false">IF(BL39="x","x",IF(BL39="-","-",""))</f>
        <v/>
      </c>
      <c r="CU39" s="2" t="str">
        <f aca="false">IF(BM39="x","x",IF(BM39="-","-",""))</f>
        <v/>
      </c>
      <c r="CV39" s="2" t="str">
        <f aca="false">IF(BN39="x","x",IF(BN39="-","-",""))</f>
        <v/>
      </c>
      <c r="CW39" s="2" t="str">
        <f aca="false">IF(BO39="x","x",IF(BO39="-","-",""))</f>
        <v/>
      </c>
      <c r="CX39" s="2" t="str">
        <f aca="false">IF(BP39="x","x",IF(BP39="-","-",""))</f>
        <v/>
      </c>
      <c r="CZ39" s="2" t="str">
        <f aca="false">IF(P39="x","x",IF(P39="-","-",""))</f>
        <v>-</v>
      </c>
      <c r="DA39" s="2" t="str">
        <f aca="false">IF(Q39="x","x",IF(Q39="-","-",""))</f>
        <v>-</v>
      </c>
      <c r="DB39" s="2" t="str">
        <f aca="false">IF(R39="x","x",IF(R39="-","-",""))</f>
        <v>-</v>
      </c>
      <c r="DC39" s="2" t="str">
        <f aca="false">IF(S39="x","x",IF(S39="-","-",""))</f>
        <v>-</v>
      </c>
      <c r="DD39" s="2" t="str">
        <f aca="false">IF(T39="x","x",IF(T39="-","-",""))</f>
        <v>-</v>
      </c>
      <c r="DE39" s="2" t="str">
        <f aca="false">IF(U39="x","x",IF(U39="-","-",""))</f>
        <v>-</v>
      </c>
      <c r="DF39" s="2" t="str">
        <f aca="false">IF(V39="x","x",IF(V39="-","-",""))</f>
        <v>-</v>
      </c>
      <c r="DG39" s="2" t="str">
        <f aca="false">IF(W39="x","x",IF(W39="-","-",""))</f>
        <v>-</v>
      </c>
      <c r="DH39" s="2" t="str">
        <f aca="false">IF(X39="x","x",IF(X39="-","-",""))</f>
        <v>-</v>
      </c>
      <c r="DI39" s="2" t="str">
        <f aca="false">IF(Y39="x","x",IF(Y39="-","-",""))</f>
        <v>-</v>
      </c>
      <c r="DJ39" s="2" t="str">
        <f aca="false">IF(Z39="x","x",IF(Z39="-","-",""))</f>
        <v>-</v>
      </c>
      <c r="DK39" s="2" t="str">
        <f aca="false">IF(AA39="x","x",IF(AA39="-","-",""))</f>
        <v>-</v>
      </c>
      <c r="DL39" s="10"/>
      <c r="DM39" s="2" t="str">
        <f aca="false">IF(AC39="x","x",IF(AC39="-","-",""))</f>
        <v>-</v>
      </c>
      <c r="DN39" s="2" t="str">
        <f aca="false">IF(AD39="x","x",IF(AD39="-","-",""))</f>
        <v>-</v>
      </c>
      <c r="DO39" s="2" t="str">
        <f aca="false">IF(AE39="x","x",IF(AE39="-","-",""))</f>
        <v>-</v>
      </c>
      <c r="DP39" s="2" t="str">
        <f aca="false">IF(AF39="x","x",IF(AF39="-","-",""))</f>
        <v>-</v>
      </c>
      <c r="DQ39" s="2" t="str">
        <f aca="false">IF(AG39="x","x",IF(AG39="-","-",""))</f>
        <v>-</v>
      </c>
      <c r="DR39" s="2" t="str">
        <f aca="false">IF(AH39="x","x",IF(AH39="-","-",""))</f>
        <v>-</v>
      </c>
      <c r="DS39" s="2" t="str">
        <f aca="false">IF(AI39="x","x",IF(AI39="-","-",""))</f>
        <v>-</v>
      </c>
      <c r="DT39" s="2" t="str">
        <f aca="false">IF(AJ39="x","x",IF(AJ39="-","-",""))</f>
        <v>-</v>
      </c>
      <c r="DU39" s="2" t="str">
        <f aca="false">IF(AK39="x","x",IF(AK39="-","-",""))</f>
        <v>-</v>
      </c>
      <c r="DV39" s="2" t="str">
        <f aca="false">IF(AL39="x","x",IF(AL39="-","-",""))</f>
        <v>-</v>
      </c>
      <c r="DW39" s="2" t="str">
        <f aca="false">IF(AM39="x","x",IF(AM39="-","-",""))</f>
        <v>-</v>
      </c>
      <c r="DX39" s="2" t="str">
        <f aca="false">IF(AN39="x","x",IF(AN39="-","-",""))</f>
        <v>-</v>
      </c>
    </row>
    <row r="40" customFormat="false" ht="13.8" hidden="false" customHeight="false" outlineLevel="0" collapsed="false">
      <c r="A40" s="10" t="s">
        <v>73</v>
      </c>
      <c r="B40" s="2" t="n">
        <v>39</v>
      </c>
      <c r="C40" s="11" t="s">
        <v>91</v>
      </c>
      <c r="D40" s="10" t="s">
        <v>92</v>
      </c>
      <c r="E40" s="10" t="s">
        <v>76</v>
      </c>
      <c r="F40" s="10" t="n">
        <v>39</v>
      </c>
      <c r="G40" s="10" t="s">
        <v>77</v>
      </c>
      <c r="H40" s="10" t="s">
        <v>77</v>
      </c>
      <c r="I40" s="10" t="s">
        <v>77</v>
      </c>
      <c r="J40" s="10" t="s">
        <v>77</v>
      </c>
      <c r="K40" s="10" t="s">
        <v>77</v>
      </c>
      <c r="L40" s="10" t="s">
        <v>77</v>
      </c>
      <c r="M40" s="2" t="n">
        <v>20</v>
      </c>
      <c r="N40" s="10" t="s">
        <v>77</v>
      </c>
      <c r="O40" s="10"/>
      <c r="P40" s="10" t="s">
        <v>77</v>
      </c>
      <c r="Q40" s="10" t="s">
        <v>77</v>
      </c>
      <c r="R40" s="10" t="s">
        <v>77</v>
      </c>
      <c r="S40" s="10" t="s">
        <v>77</v>
      </c>
      <c r="T40" s="10" t="s">
        <v>77</v>
      </c>
      <c r="U40" s="10" t="s">
        <v>77</v>
      </c>
      <c r="V40" s="10" t="s">
        <v>77</v>
      </c>
      <c r="W40" s="10" t="s">
        <v>77</v>
      </c>
      <c r="X40" s="10" t="s">
        <v>77</v>
      </c>
      <c r="Y40" s="10" t="s">
        <v>77</v>
      </c>
      <c r="Z40" s="10" t="s">
        <v>77</v>
      </c>
      <c r="AA40" s="10" t="s">
        <v>77</v>
      </c>
      <c r="AB40" s="10"/>
      <c r="AC40" s="10" t="s">
        <v>77</v>
      </c>
      <c r="AD40" s="10" t="s">
        <v>77</v>
      </c>
      <c r="AE40" s="10" t="s">
        <v>77</v>
      </c>
      <c r="AF40" s="10" t="s">
        <v>77</v>
      </c>
      <c r="AG40" s="10" t="s">
        <v>77</v>
      </c>
      <c r="AH40" s="10" t="s">
        <v>77</v>
      </c>
      <c r="AI40" s="10" t="s">
        <v>77</v>
      </c>
      <c r="AJ40" s="10" t="s">
        <v>77</v>
      </c>
      <c r="AK40" s="10" t="s">
        <v>77</v>
      </c>
      <c r="AL40" s="10" t="s">
        <v>77</v>
      </c>
      <c r="AM40" s="10" t="s">
        <v>77</v>
      </c>
      <c r="AN40" s="10" t="s">
        <v>77</v>
      </c>
      <c r="AO40" s="10"/>
      <c r="AP40" s="10" t="s">
        <v>73</v>
      </c>
      <c r="AQ40" s="10" t="s">
        <v>73</v>
      </c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R40" s="10" t="s">
        <v>78</v>
      </c>
      <c r="BS40" s="10"/>
      <c r="BT40" s="10"/>
      <c r="BU40" s="10"/>
      <c r="BV40" s="10"/>
      <c r="BW40" s="10"/>
      <c r="BX40" s="10"/>
      <c r="BY40" s="10"/>
      <c r="CA40" s="2" t="str">
        <f aca="false">IF(AS40="x","x",IF(AS40="-","-",""))</f>
        <v/>
      </c>
      <c r="CB40" s="2" t="str">
        <f aca="false">IF(AT40="x","x",IF(AT40="-","-",""))</f>
        <v/>
      </c>
      <c r="CC40" s="2" t="str">
        <f aca="false">IF(AU40="x","x",IF(AU40="-","-",""))</f>
        <v/>
      </c>
      <c r="CD40" s="2" t="str">
        <f aca="false">IF(AV40="x","x",IF(AV40="-","-",""))</f>
        <v/>
      </c>
      <c r="CE40" s="2" t="str">
        <f aca="false">IF(AW40="x","x",IF(AW40="-","-",""))</f>
        <v/>
      </c>
      <c r="CF40" s="2" t="str">
        <f aca="false">IF(AX40="x","x",IF(AX40="-","-",""))</f>
        <v/>
      </c>
      <c r="CG40" s="2" t="str">
        <f aca="false">IF(AY40="x","x",IF(AY40="-","-",""))</f>
        <v/>
      </c>
      <c r="CH40" s="2" t="str">
        <f aca="false">IF(AZ40="x","x",IF(AZ40="-","-",""))</f>
        <v/>
      </c>
      <c r="CI40" s="2" t="str">
        <f aca="false">IF(BA40="x","x",IF(BA40="-","-",""))</f>
        <v/>
      </c>
      <c r="CJ40" s="2" t="str">
        <f aca="false">IF(BB40="x","x",IF(BB40="-","-",""))</f>
        <v/>
      </c>
      <c r="CK40" s="2" t="str">
        <f aca="false">IF(BC40="x","x",IF(BC40="-","-",""))</f>
        <v/>
      </c>
      <c r="CL40" s="2" t="str">
        <f aca="false">IF(BD40="x","x",IF(BD40="-","-",""))</f>
        <v/>
      </c>
      <c r="CM40" s="2" t="str">
        <f aca="false">IF(BE40="x","x",IF(BE40="-","-",""))</f>
        <v/>
      </c>
      <c r="CN40" s="2" t="str">
        <f aca="false">IF(BF40="x","x",IF(BF40="-","-",""))</f>
        <v/>
      </c>
      <c r="CO40" s="2" t="str">
        <f aca="false">IF(BG40="x","x",IF(BG40="-","-",""))</f>
        <v/>
      </c>
      <c r="CP40" s="2" t="str">
        <f aca="false">IF(BH40="x","x",IF(BH40="-","-",""))</f>
        <v/>
      </c>
      <c r="CQ40" s="2" t="str">
        <f aca="false">IF(BI40="x","x",IF(BI40="-","-",""))</f>
        <v/>
      </c>
      <c r="CR40" s="2" t="str">
        <f aca="false">IF(BJ40="x","x",IF(BJ40="-","-",""))</f>
        <v/>
      </c>
      <c r="CS40" s="2" t="str">
        <f aca="false">IF(BK40="x","x",IF(BK40="-","-",""))</f>
        <v/>
      </c>
      <c r="CT40" s="2" t="str">
        <f aca="false">IF(BL40="x","x",IF(BL40="-","-",""))</f>
        <v/>
      </c>
      <c r="CU40" s="2" t="str">
        <f aca="false">IF(BM40="x","x",IF(BM40="-","-",""))</f>
        <v/>
      </c>
      <c r="CV40" s="2" t="str">
        <f aca="false">IF(BN40="x","x",IF(BN40="-","-",""))</f>
        <v/>
      </c>
      <c r="CW40" s="2" t="str">
        <f aca="false">IF(BO40="x","x",IF(BO40="-","-",""))</f>
        <v/>
      </c>
      <c r="CX40" s="2" t="str">
        <f aca="false">IF(BP40="x","x",IF(BP40="-","-",""))</f>
        <v/>
      </c>
      <c r="CZ40" s="2" t="str">
        <f aca="false">IF(P40="x","x",IF(P40="-","-",""))</f>
        <v>-</v>
      </c>
      <c r="DA40" s="2" t="str">
        <f aca="false">IF(Q40="x","x",IF(Q40="-","-",""))</f>
        <v>-</v>
      </c>
      <c r="DB40" s="2" t="str">
        <f aca="false">IF(R40="x","x",IF(R40="-","-",""))</f>
        <v>-</v>
      </c>
      <c r="DC40" s="2" t="str">
        <f aca="false">IF(S40="x","x",IF(S40="-","-",""))</f>
        <v>-</v>
      </c>
      <c r="DD40" s="2" t="str">
        <f aca="false">IF(T40="x","x",IF(T40="-","-",""))</f>
        <v>-</v>
      </c>
      <c r="DE40" s="2" t="str">
        <f aca="false">IF(U40="x","x",IF(U40="-","-",""))</f>
        <v>-</v>
      </c>
      <c r="DF40" s="2" t="str">
        <f aca="false">IF(V40="x","x",IF(V40="-","-",""))</f>
        <v>-</v>
      </c>
      <c r="DG40" s="2" t="str">
        <f aca="false">IF(W40="x","x",IF(W40="-","-",""))</f>
        <v>-</v>
      </c>
      <c r="DH40" s="2" t="str">
        <f aca="false">IF(X40="x","x",IF(X40="-","-",""))</f>
        <v>-</v>
      </c>
      <c r="DI40" s="2" t="str">
        <f aca="false">IF(Y40="x","x",IF(Y40="-","-",""))</f>
        <v>-</v>
      </c>
      <c r="DJ40" s="2" t="str">
        <f aca="false">IF(Z40="x","x",IF(Z40="-","-",""))</f>
        <v>-</v>
      </c>
      <c r="DK40" s="2" t="str">
        <f aca="false">IF(AA40="x","x",IF(AA40="-","-",""))</f>
        <v>-</v>
      </c>
      <c r="DL40" s="10"/>
      <c r="DM40" s="2" t="str">
        <f aca="false">IF(AC40="x","x",IF(AC40="-","-",""))</f>
        <v>-</v>
      </c>
      <c r="DN40" s="2" t="str">
        <f aca="false">IF(AD40="x","x",IF(AD40="-","-",""))</f>
        <v>-</v>
      </c>
      <c r="DO40" s="2" t="str">
        <f aca="false">IF(AE40="x","x",IF(AE40="-","-",""))</f>
        <v>-</v>
      </c>
      <c r="DP40" s="2" t="str">
        <f aca="false">IF(AF40="x","x",IF(AF40="-","-",""))</f>
        <v>-</v>
      </c>
      <c r="DQ40" s="2" t="str">
        <f aca="false">IF(AG40="x","x",IF(AG40="-","-",""))</f>
        <v>-</v>
      </c>
      <c r="DR40" s="2" t="str">
        <f aca="false">IF(AH40="x","x",IF(AH40="-","-",""))</f>
        <v>-</v>
      </c>
      <c r="DS40" s="2" t="str">
        <f aca="false">IF(AI40="x","x",IF(AI40="-","-",""))</f>
        <v>-</v>
      </c>
      <c r="DT40" s="2" t="str">
        <f aca="false">IF(AJ40="x","x",IF(AJ40="-","-",""))</f>
        <v>-</v>
      </c>
      <c r="DU40" s="2" t="str">
        <f aca="false">IF(AK40="x","x",IF(AK40="-","-",""))</f>
        <v>-</v>
      </c>
      <c r="DV40" s="2" t="str">
        <f aca="false">IF(AL40="x","x",IF(AL40="-","-",""))</f>
        <v>-</v>
      </c>
      <c r="DW40" s="2" t="str">
        <f aca="false">IF(AM40="x","x",IF(AM40="-","-",""))</f>
        <v>-</v>
      </c>
      <c r="DX40" s="2" t="str">
        <f aca="false">IF(AN40="x","x",IF(AN40="-","-",""))</f>
        <v>-</v>
      </c>
    </row>
    <row r="41" customFormat="false" ht="13.8" hidden="false" customHeight="false" outlineLevel="0" collapsed="false">
      <c r="A41" s="10" t="s">
        <v>73</v>
      </c>
      <c r="B41" s="2" t="n">
        <v>40</v>
      </c>
      <c r="C41" s="11" t="s">
        <v>91</v>
      </c>
      <c r="D41" s="10" t="s">
        <v>92</v>
      </c>
      <c r="E41" s="10" t="s">
        <v>76</v>
      </c>
      <c r="F41" s="10" t="n">
        <v>40</v>
      </c>
      <c r="G41" s="10" t="s">
        <v>77</v>
      </c>
      <c r="H41" s="10" t="s">
        <v>77</v>
      </c>
      <c r="I41" s="10" t="s">
        <v>77</v>
      </c>
      <c r="J41" s="10" t="s">
        <v>77</v>
      </c>
      <c r="K41" s="10" t="s">
        <v>77</v>
      </c>
      <c r="L41" s="10" t="s">
        <v>77</v>
      </c>
      <c r="M41" s="2" t="n">
        <v>20</v>
      </c>
      <c r="N41" s="10" t="s">
        <v>77</v>
      </c>
      <c r="O41" s="10"/>
      <c r="P41" s="10" t="s">
        <v>77</v>
      </c>
      <c r="Q41" s="10" t="s">
        <v>77</v>
      </c>
      <c r="R41" s="10" t="s">
        <v>77</v>
      </c>
      <c r="S41" s="10" t="s">
        <v>77</v>
      </c>
      <c r="T41" s="10" t="s">
        <v>77</v>
      </c>
      <c r="U41" s="10" t="s">
        <v>77</v>
      </c>
      <c r="V41" s="10" t="s">
        <v>77</v>
      </c>
      <c r="W41" s="10" t="s">
        <v>77</v>
      </c>
      <c r="X41" s="10" t="s">
        <v>77</v>
      </c>
      <c r="Y41" s="10" t="s">
        <v>77</v>
      </c>
      <c r="Z41" s="10" t="s">
        <v>77</v>
      </c>
      <c r="AA41" s="10" t="s">
        <v>77</v>
      </c>
      <c r="AB41" s="10"/>
      <c r="AC41" s="10" t="s">
        <v>77</v>
      </c>
      <c r="AD41" s="10" t="s">
        <v>77</v>
      </c>
      <c r="AE41" s="10" t="s">
        <v>77</v>
      </c>
      <c r="AF41" s="10" t="s">
        <v>77</v>
      </c>
      <c r="AG41" s="10" t="s">
        <v>77</v>
      </c>
      <c r="AH41" s="10" t="s">
        <v>77</v>
      </c>
      <c r="AI41" s="10" t="s">
        <v>77</v>
      </c>
      <c r="AJ41" s="10" t="s">
        <v>77</v>
      </c>
      <c r="AK41" s="10" t="s">
        <v>77</v>
      </c>
      <c r="AL41" s="10" t="s">
        <v>77</v>
      </c>
      <c r="AM41" s="10" t="s">
        <v>77</v>
      </c>
      <c r="AN41" s="10" t="s">
        <v>77</v>
      </c>
      <c r="AO41" s="10"/>
      <c r="AP41" s="10" t="s">
        <v>73</v>
      </c>
      <c r="AQ41" s="10" t="s">
        <v>73</v>
      </c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R41" s="10" t="s">
        <v>78</v>
      </c>
      <c r="BS41" s="10"/>
      <c r="BT41" s="10"/>
      <c r="BU41" s="10"/>
      <c r="BV41" s="10"/>
      <c r="BW41" s="10"/>
      <c r="BX41" s="10"/>
      <c r="BY41" s="10"/>
      <c r="CA41" s="2" t="str">
        <f aca="false">IF(AS41="x","x",IF(AS41="-","-",""))</f>
        <v/>
      </c>
      <c r="CB41" s="2" t="str">
        <f aca="false">IF(AT41="x","x",IF(AT41="-","-",""))</f>
        <v/>
      </c>
      <c r="CC41" s="2" t="str">
        <f aca="false">IF(AU41="x","x",IF(AU41="-","-",""))</f>
        <v/>
      </c>
      <c r="CD41" s="2" t="str">
        <f aca="false">IF(AV41="x","x",IF(AV41="-","-",""))</f>
        <v/>
      </c>
      <c r="CE41" s="2" t="str">
        <f aca="false">IF(AW41="x","x",IF(AW41="-","-",""))</f>
        <v/>
      </c>
      <c r="CF41" s="2" t="str">
        <f aca="false">IF(AX41="x","x",IF(AX41="-","-",""))</f>
        <v/>
      </c>
      <c r="CG41" s="2" t="str">
        <f aca="false">IF(AY41="x","x",IF(AY41="-","-",""))</f>
        <v/>
      </c>
      <c r="CH41" s="2" t="str">
        <f aca="false">IF(AZ41="x","x",IF(AZ41="-","-",""))</f>
        <v/>
      </c>
      <c r="CI41" s="2" t="str">
        <f aca="false">IF(BA41="x","x",IF(BA41="-","-",""))</f>
        <v/>
      </c>
      <c r="CJ41" s="2" t="str">
        <f aca="false">IF(BB41="x","x",IF(BB41="-","-",""))</f>
        <v/>
      </c>
      <c r="CK41" s="2" t="str">
        <f aca="false">IF(BC41="x","x",IF(BC41="-","-",""))</f>
        <v/>
      </c>
      <c r="CL41" s="2" t="str">
        <f aca="false">IF(BD41="x","x",IF(BD41="-","-",""))</f>
        <v/>
      </c>
      <c r="CM41" s="2" t="str">
        <f aca="false">IF(BE41="x","x",IF(BE41="-","-",""))</f>
        <v/>
      </c>
      <c r="CN41" s="2" t="str">
        <f aca="false">IF(BF41="x","x",IF(BF41="-","-",""))</f>
        <v/>
      </c>
      <c r="CO41" s="2" t="str">
        <f aca="false">IF(BG41="x","x",IF(BG41="-","-",""))</f>
        <v/>
      </c>
      <c r="CP41" s="2" t="str">
        <f aca="false">IF(BH41="x","x",IF(BH41="-","-",""))</f>
        <v/>
      </c>
      <c r="CQ41" s="2" t="str">
        <f aca="false">IF(BI41="x","x",IF(BI41="-","-",""))</f>
        <v/>
      </c>
      <c r="CR41" s="2" t="str">
        <f aca="false">IF(BJ41="x","x",IF(BJ41="-","-",""))</f>
        <v/>
      </c>
      <c r="CS41" s="2" t="str">
        <f aca="false">IF(BK41="x","x",IF(BK41="-","-",""))</f>
        <v/>
      </c>
      <c r="CT41" s="2" t="str">
        <f aca="false">IF(BL41="x","x",IF(BL41="-","-",""))</f>
        <v/>
      </c>
      <c r="CU41" s="2" t="str">
        <f aca="false">IF(BM41="x","x",IF(BM41="-","-",""))</f>
        <v/>
      </c>
      <c r="CV41" s="2" t="str">
        <f aca="false">IF(BN41="x","x",IF(BN41="-","-",""))</f>
        <v/>
      </c>
      <c r="CW41" s="2" t="str">
        <f aca="false">IF(BO41="x","x",IF(BO41="-","-",""))</f>
        <v/>
      </c>
      <c r="CX41" s="2" t="str">
        <f aca="false">IF(BP41="x","x",IF(BP41="-","-",""))</f>
        <v/>
      </c>
      <c r="CZ41" s="2" t="str">
        <f aca="false">IF(P41="x","x",IF(P41="-","-",""))</f>
        <v>-</v>
      </c>
      <c r="DA41" s="2" t="str">
        <f aca="false">IF(Q41="x","x",IF(Q41="-","-",""))</f>
        <v>-</v>
      </c>
      <c r="DB41" s="2" t="str">
        <f aca="false">IF(R41="x","x",IF(R41="-","-",""))</f>
        <v>-</v>
      </c>
      <c r="DC41" s="2" t="str">
        <f aca="false">IF(S41="x","x",IF(S41="-","-",""))</f>
        <v>-</v>
      </c>
      <c r="DD41" s="2" t="str">
        <f aca="false">IF(T41="x","x",IF(T41="-","-",""))</f>
        <v>-</v>
      </c>
      <c r="DE41" s="2" t="str">
        <f aca="false">IF(U41="x","x",IF(U41="-","-",""))</f>
        <v>-</v>
      </c>
      <c r="DF41" s="2" t="str">
        <f aca="false">IF(V41="x","x",IF(V41="-","-",""))</f>
        <v>-</v>
      </c>
      <c r="DG41" s="2" t="str">
        <f aca="false">IF(W41="x","x",IF(W41="-","-",""))</f>
        <v>-</v>
      </c>
      <c r="DH41" s="2" t="str">
        <f aca="false">IF(X41="x","x",IF(X41="-","-",""))</f>
        <v>-</v>
      </c>
      <c r="DI41" s="2" t="str">
        <f aca="false">IF(Y41="x","x",IF(Y41="-","-",""))</f>
        <v>-</v>
      </c>
      <c r="DJ41" s="2" t="str">
        <f aca="false">IF(Z41="x","x",IF(Z41="-","-",""))</f>
        <v>-</v>
      </c>
      <c r="DK41" s="2" t="str">
        <f aca="false">IF(AA41="x","x",IF(AA41="-","-",""))</f>
        <v>-</v>
      </c>
      <c r="DL41" s="10"/>
      <c r="DM41" s="2" t="str">
        <f aca="false">IF(AC41="x","x",IF(AC41="-","-",""))</f>
        <v>-</v>
      </c>
      <c r="DN41" s="2" t="str">
        <f aca="false">IF(AD41="x","x",IF(AD41="-","-",""))</f>
        <v>-</v>
      </c>
      <c r="DO41" s="2" t="str">
        <f aca="false">IF(AE41="x","x",IF(AE41="-","-",""))</f>
        <v>-</v>
      </c>
      <c r="DP41" s="2" t="str">
        <f aca="false">IF(AF41="x","x",IF(AF41="-","-",""))</f>
        <v>-</v>
      </c>
      <c r="DQ41" s="2" t="str">
        <f aca="false">IF(AG41="x","x",IF(AG41="-","-",""))</f>
        <v>-</v>
      </c>
      <c r="DR41" s="2" t="str">
        <f aca="false">IF(AH41="x","x",IF(AH41="-","-",""))</f>
        <v>-</v>
      </c>
      <c r="DS41" s="2" t="str">
        <f aca="false">IF(AI41="x","x",IF(AI41="-","-",""))</f>
        <v>-</v>
      </c>
      <c r="DT41" s="2" t="str">
        <f aca="false">IF(AJ41="x","x",IF(AJ41="-","-",""))</f>
        <v>-</v>
      </c>
      <c r="DU41" s="2" t="str">
        <f aca="false">IF(AK41="x","x",IF(AK41="-","-",""))</f>
        <v>-</v>
      </c>
      <c r="DV41" s="2" t="str">
        <f aca="false">IF(AL41="x","x",IF(AL41="-","-",""))</f>
        <v>-</v>
      </c>
      <c r="DW41" s="2" t="str">
        <f aca="false">IF(AM41="x","x",IF(AM41="-","-",""))</f>
        <v>-</v>
      </c>
      <c r="DX41" s="2" t="str">
        <f aca="false">IF(AN41="x","x",IF(AN41="-","-",""))</f>
        <v>-</v>
      </c>
    </row>
    <row r="42" customFormat="false" ht="13.8" hidden="false" customHeight="false" outlineLevel="0" collapsed="false">
      <c r="A42" s="10" t="s">
        <v>73</v>
      </c>
      <c r="B42" s="2" t="n">
        <v>41</v>
      </c>
      <c r="C42" s="11" t="s">
        <v>117</v>
      </c>
      <c r="D42" s="10" t="s">
        <v>118</v>
      </c>
      <c r="E42" s="10" t="s">
        <v>76</v>
      </c>
      <c r="F42" s="10" t="n">
        <v>41</v>
      </c>
      <c r="G42" s="10" t="s">
        <v>77</v>
      </c>
      <c r="H42" s="10" t="s">
        <v>77</v>
      </c>
      <c r="I42" s="10" t="s">
        <v>77</v>
      </c>
      <c r="J42" s="10" t="s">
        <v>77</v>
      </c>
      <c r="K42" s="10" t="s">
        <v>77</v>
      </c>
      <c r="L42" s="10" t="s">
        <v>77</v>
      </c>
      <c r="M42" s="2" t="n">
        <v>20</v>
      </c>
      <c r="N42" s="10" t="s">
        <v>77</v>
      </c>
      <c r="O42" s="10"/>
      <c r="P42" s="10" t="s">
        <v>77</v>
      </c>
      <c r="Q42" s="10" t="s">
        <v>77</v>
      </c>
      <c r="R42" s="10" t="s">
        <v>77</v>
      </c>
      <c r="S42" s="10" t="s">
        <v>77</v>
      </c>
      <c r="T42" s="10" t="s">
        <v>77</v>
      </c>
      <c r="U42" s="10" t="s">
        <v>77</v>
      </c>
      <c r="V42" s="10" t="s">
        <v>77</v>
      </c>
      <c r="W42" s="10" t="s">
        <v>77</v>
      </c>
      <c r="X42" s="10" t="s">
        <v>77</v>
      </c>
      <c r="Y42" s="10" t="s">
        <v>77</v>
      </c>
      <c r="Z42" s="10" t="s">
        <v>77</v>
      </c>
      <c r="AA42" s="10" t="s">
        <v>77</v>
      </c>
      <c r="AB42" s="10"/>
      <c r="AC42" s="10" t="s">
        <v>77</v>
      </c>
      <c r="AD42" s="10" t="s">
        <v>77</v>
      </c>
      <c r="AE42" s="10" t="s">
        <v>77</v>
      </c>
      <c r="AF42" s="10" t="s">
        <v>77</v>
      </c>
      <c r="AG42" s="10" t="s">
        <v>77</v>
      </c>
      <c r="AH42" s="10" t="s">
        <v>77</v>
      </c>
      <c r="AI42" s="10" t="s">
        <v>77</v>
      </c>
      <c r="AJ42" s="10" t="s">
        <v>77</v>
      </c>
      <c r="AK42" s="10" t="s">
        <v>77</v>
      </c>
      <c r="AL42" s="10" t="s">
        <v>77</v>
      </c>
      <c r="AM42" s="10" t="s">
        <v>77</v>
      </c>
      <c r="AN42" s="10" t="s">
        <v>77</v>
      </c>
      <c r="AO42" s="10"/>
      <c r="AP42" s="10" t="s">
        <v>73</v>
      </c>
      <c r="AQ42" s="10" t="s">
        <v>73</v>
      </c>
      <c r="AS42" s="10"/>
      <c r="AT42" s="10"/>
      <c r="AU42" s="10"/>
      <c r="AV42" s="10"/>
      <c r="AW42" s="10"/>
      <c r="AX42" s="10"/>
      <c r="AY42" s="10" t="s">
        <v>78</v>
      </c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R42" s="10"/>
      <c r="BS42" s="10" t="s">
        <v>78</v>
      </c>
      <c r="BT42" s="10"/>
      <c r="BU42" s="10"/>
      <c r="BV42" s="10"/>
      <c r="BW42" s="10"/>
      <c r="BX42" s="10"/>
      <c r="BY42" s="10"/>
      <c r="CA42" s="2" t="str">
        <f aca="false">IF(AS42="x","x",IF(AS42="-","-",""))</f>
        <v/>
      </c>
      <c r="CB42" s="2" t="str">
        <f aca="false">IF(AT42="x","x",IF(AT42="-","-",""))</f>
        <v/>
      </c>
      <c r="CC42" s="2" t="str">
        <f aca="false">IF(AU42="x","x",IF(AU42="-","-",""))</f>
        <v/>
      </c>
      <c r="CD42" s="2" t="str">
        <f aca="false">IF(AV42="x","x",IF(AV42="-","-",""))</f>
        <v/>
      </c>
      <c r="CE42" s="2" t="str">
        <f aca="false">IF(AW42="x","x",IF(AW42="-","-",""))</f>
        <v/>
      </c>
      <c r="CF42" s="2" t="str">
        <f aca="false">IF(AX42="x","x",IF(AX42="-","-",""))</f>
        <v/>
      </c>
      <c r="CG42" s="2" t="str">
        <f aca="false">IF(AY42="x","x",IF(AY42="-","-",""))</f>
        <v>x</v>
      </c>
      <c r="CH42" s="2" t="str">
        <f aca="false">IF(AZ42="x","x",IF(AZ42="-","-",""))</f>
        <v/>
      </c>
      <c r="CI42" s="2" t="str">
        <f aca="false">IF(BA42="x","x",IF(BA42="-","-",""))</f>
        <v/>
      </c>
      <c r="CJ42" s="2" t="str">
        <f aca="false">IF(BB42="x","x",IF(BB42="-","-",""))</f>
        <v/>
      </c>
      <c r="CK42" s="2" t="str">
        <f aca="false">IF(BC42="x","x",IF(BC42="-","-",""))</f>
        <v/>
      </c>
      <c r="CL42" s="2" t="str">
        <f aca="false">IF(BD42="x","x",IF(BD42="-","-",""))</f>
        <v/>
      </c>
      <c r="CM42" s="2" t="str">
        <f aca="false">IF(BE42="x","x",IF(BE42="-","-",""))</f>
        <v/>
      </c>
      <c r="CN42" s="2" t="str">
        <f aca="false">IF(BF42="x","x",IF(BF42="-","-",""))</f>
        <v/>
      </c>
      <c r="CO42" s="2" t="str">
        <f aca="false">IF(BG42="x","x",IF(BG42="-","-",""))</f>
        <v/>
      </c>
      <c r="CP42" s="2" t="str">
        <f aca="false">IF(BH42="x","x",IF(BH42="-","-",""))</f>
        <v/>
      </c>
      <c r="CQ42" s="2" t="str">
        <f aca="false">IF(BI42="x","x",IF(BI42="-","-",""))</f>
        <v/>
      </c>
      <c r="CR42" s="2" t="str">
        <f aca="false">IF(BJ42="x","x",IF(BJ42="-","-",""))</f>
        <v/>
      </c>
      <c r="CS42" s="2" t="str">
        <f aca="false">IF(BK42="x","x",IF(BK42="-","-",""))</f>
        <v/>
      </c>
      <c r="CT42" s="2" t="str">
        <f aca="false">IF(BL42="x","x",IF(BL42="-","-",""))</f>
        <v/>
      </c>
      <c r="CU42" s="2" t="str">
        <f aca="false">IF(BM42="x","x",IF(BM42="-","-",""))</f>
        <v/>
      </c>
      <c r="CV42" s="2" t="str">
        <f aca="false">IF(BN42="x","x",IF(BN42="-","-",""))</f>
        <v/>
      </c>
      <c r="CW42" s="2" t="str">
        <f aca="false">IF(BO42="x","x",IF(BO42="-","-",""))</f>
        <v/>
      </c>
      <c r="CX42" s="2" t="str">
        <f aca="false">IF(BP42="x","x",IF(BP42="-","-",""))</f>
        <v/>
      </c>
      <c r="CZ42" s="2" t="str">
        <f aca="false">IF(P42="x","x",IF(P42="-","-",""))</f>
        <v>-</v>
      </c>
      <c r="DA42" s="2" t="str">
        <f aca="false">IF(Q42="x","x",IF(Q42="-","-",""))</f>
        <v>-</v>
      </c>
      <c r="DB42" s="2" t="str">
        <f aca="false">IF(R42="x","x",IF(R42="-","-",""))</f>
        <v>-</v>
      </c>
      <c r="DC42" s="2" t="str">
        <f aca="false">IF(S42="x","x",IF(S42="-","-",""))</f>
        <v>-</v>
      </c>
      <c r="DD42" s="2" t="str">
        <f aca="false">IF(T42="x","x",IF(T42="-","-",""))</f>
        <v>-</v>
      </c>
      <c r="DE42" s="2" t="str">
        <f aca="false">IF(U42="x","x",IF(U42="-","-",""))</f>
        <v>-</v>
      </c>
      <c r="DF42" s="2" t="str">
        <f aca="false">IF(V42="x","x",IF(V42="-","-",""))</f>
        <v>-</v>
      </c>
      <c r="DG42" s="2" t="str">
        <f aca="false">IF(W42="x","x",IF(W42="-","-",""))</f>
        <v>-</v>
      </c>
      <c r="DH42" s="2" t="str">
        <f aca="false">IF(X42="x","x",IF(X42="-","-",""))</f>
        <v>-</v>
      </c>
      <c r="DI42" s="2" t="str">
        <f aca="false">IF(Y42="x","x",IF(Y42="-","-",""))</f>
        <v>-</v>
      </c>
      <c r="DJ42" s="2" t="str">
        <f aca="false">IF(Z42="x","x",IF(Z42="-","-",""))</f>
        <v>-</v>
      </c>
      <c r="DK42" s="2" t="str">
        <f aca="false">IF(AA42="x","x",IF(AA42="-","-",""))</f>
        <v>-</v>
      </c>
      <c r="DL42" s="10"/>
      <c r="DM42" s="2" t="str">
        <f aca="false">IF(AC42="x","x",IF(AC42="-","-",""))</f>
        <v>-</v>
      </c>
      <c r="DN42" s="2" t="str">
        <f aca="false">IF(AD42="x","x",IF(AD42="-","-",""))</f>
        <v>-</v>
      </c>
      <c r="DO42" s="2" t="str">
        <f aca="false">IF(AE42="x","x",IF(AE42="-","-",""))</f>
        <v>-</v>
      </c>
      <c r="DP42" s="2" t="str">
        <f aca="false">IF(AF42="x","x",IF(AF42="-","-",""))</f>
        <v>-</v>
      </c>
      <c r="DQ42" s="2" t="str">
        <f aca="false">IF(AG42="x","x",IF(AG42="-","-",""))</f>
        <v>-</v>
      </c>
      <c r="DR42" s="2" t="str">
        <f aca="false">IF(AH42="x","x",IF(AH42="-","-",""))</f>
        <v>-</v>
      </c>
      <c r="DS42" s="2" t="str">
        <f aca="false">IF(AI42="x","x",IF(AI42="-","-",""))</f>
        <v>-</v>
      </c>
      <c r="DT42" s="2" t="str">
        <f aca="false">IF(AJ42="x","x",IF(AJ42="-","-",""))</f>
        <v>-</v>
      </c>
      <c r="DU42" s="2" t="str">
        <f aca="false">IF(AK42="x","x",IF(AK42="-","-",""))</f>
        <v>-</v>
      </c>
      <c r="DV42" s="2" t="str">
        <f aca="false">IF(AL42="x","x",IF(AL42="-","-",""))</f>
        <v>-</v>
      </c>
      <c r="DW42" s="2" t="str">
        <f aca="false">IF(AM42="x","x",IF(AM42="-","-",""))</f>
        <v>-</v>
      </c>
      <c r="DX42" s="2" t="str">
        <f aca="false">IF(AN42="x","x",IF(AN42="-","-",""))</f>
        <v>-</v>
      </c>
    </row>
    <row r="43" customFormat="false" ht="13.8" hidden="false" customHeight="false" outlineLevel="0" collapsed="false">
      <c r="A43" s="10" t="s">
        <v>73</v>
      </c>
      <c r="B43" s="2" t="n">
        <v>42</v>
      </c>
      <c r="C43" s="11" t="s">
        <v>119</v>
      </c>
      <c r="D43" s="10" t="s">
        <v>118</v>
      </c>
      <c r="E43" s="10" t="s">
        <v>76</v>
      </c>
      <c r="F43" s="10" t="n">
        <v>42</v>
      </c>
      <c r="G43" s="10" t="s">
        <v>77</v>
      </c>
      <c r="H43" s="10" t="s">
        <v>77</v>
      </c>
      <c r="I43" s="10" t="s">
        <v>77</v>
      </c>
      <c r="J43" s="10" t="s">
        <v>77</v>
      </c>
      <c r="K43" s="10" t="s">
        <v>77</v>
      </c>
      <c r="L43" s="10" t="s">
        <v>77</v>
      </c>
      <c r="M43" s="2" t="n">
        <v>20</v>
      </c>
      <c r="N43" s="10" t="s">
        <v>77</v>
      </c>
      <c r="O43" s="10"/>
      <c r="P43" s="10" t="s">
        <v>77</v>
      </c>
      <c r="Q43" s="10" t="s">
        <v>77</v>
      </c>
      <c r="R43" s="10" t="s">
        <v>77</v>
      </c>
      <c r="S43" s="10" t="s">
        <v>77</v>
      </c>
      <c r="T43" s="10" t="s">
        <v>77</v>
      </c>
      <c r="U43" s="10" t="s">
        <v>77</v>
      </c>
      <c r="V43" s="10" t="s">
        <v>77</v>
      </c>
      <c r="W43" s="10" t="s">
        <v>77</v>
      </c>
      <c r="X43" s="10" t="s">
        <v>77</v>
      </c>
      <c r="Y43" s="10" t="s">
        <v>77</v>
      </c>
      <c r="Z43" s="10" t="s">
        <v>77</v>
      </c>
      <c r="AA43" s="10" t="s">
        <v>77</v>
      </c>
      <c r="AB43" s="10"/>
      <c r="AC43" s="10" t="s">
        <v>77</v>
      </c>
      <c r="AD43" s="10" t="s">
        <v>77</v>
      </c>
      <c r="AE43" s="10" t="s">
        <v>77</v>
      </c>
      <c r="AF43" s="10" t="s">
        <v>77</v>
      </c>
      <c r="AG43" s="10" t="s">
        <v>77</v>
      </c>
      <c r="AH43" s="10" t="s">
        <v>77</v>
      </c>
      <c r="AI43" s="10" t="s">
        <v>77</v>
      </c>
      <c r="AJ43" s="10" t="s">
        <v>77</v>
      </c>
      <c r="AK43" s="10" t="s">
        <v>77</v>
      </c>
      <c r="AL43" s="10" t="s">
        <v>77</v>
      </c>
      <c r="AM43" s="10" t="s">
        <v>77</v>
      </c>
      <c r="AN43" s="10" t="s">
        <v>77</v>
      </c>
      <c r="AO43" s="10"/>
      <c r="AP43" s="10" t="s">
        <v>73</v>
      </c>
      <c r="AQ43" s="10" t="s">
        <v>73</v>
      </c>
      <c r="AS43" s="10"/>
      <c r="AT43" s="10"/>
      <c r="AU43" s="10"/>
      <c r="AV43" s="10"/>
      <c r="AW43" s="10"/>
      <c r="AX43" s="10"/>
      <c r="AY43" s="10" t="s">
        <v>78</v>
      </c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R43" s="10"/>
      <c r="BS43" s="10" t="s">
        <v>78</v>
      </c>
      <c r="BT43" s="10"/>
      <c r="BU43" s="10"/>
      <c r="BV43" s="10"/>
      <c r="BW43" s="10"/>
      <c r="BX43" s="10"/>
      <c r="BY43" s="10"/>
      <c r="CA43" s="2" t="str">
        <f aca="false">IF(AS43="x","x",IF(AS43="-","-",""))</f>
        <v/>
      </c>
      <c r="CB43" s="2" t="str">
        <f aca="false">IF(AT43="x","x",IF(AT43="-","-",""))</f>
        <v/>
      </c>
      <c r="CC43" s="2" t="str">
        <f aca="false">IF(AU43="x","x",IF(AU43="-","-",""))</f>
        <v/>
      </c>
      <c r="CD43" s="2" t="str">
        <f aca="false">IF(AV43="x","x",IF(AV43="-","-",""))</f>
        <v/>
      </c>
      <c r="CE43" s="2" t="str">
        <f aca="false">IF(AW43="x","x",IF(AW43="-","-",""))</f>
        <v/>
      </c>
      <c r="CF43" s="2" t="str">
        <f aca="false">IF(AX43="x","x",IF(AX43="-","-",""))</f>
        <v/>
      </c>
      <c r="CG43" s="2" t="str">
        <f aca="false">IF(AY43="x","x",IF(AY43="-","-",""))</f>
        <v>x</v>
      </c>
      <c r="CH43" s="2" t="str">
        <f aca="false">IF(AZ43="x","x",IF(AZ43="-","-",""))</f>
        <v/>
      </c>
      <c r="CI43" s="2" t="str">
        <f aca="false">IF(BA43="x","x",IF(BA43="-","-",""))</f>
        <v/>
      </c>
      <c r="CJ43" s="2" t="str">
        <f aca="false">IF(BB43="x","x",IF(BB43="-","-",""))</f>
        <v/>
      </c>
      <c r="CK43" s="2" t="str">
        <f aca="false">IF(BC43="x","x",IF(BC43="-","-",""))</f>
        <v/>
      </c>
      <c r="CL43" s="2" t="str">
        <f aca="false">IF(BD43="x","x",IF(BD43="-","-",""))</f>
        <v/>
      </c>
      <c r="CM43" s="2" t="str">
        <f aca="false">IF(BE43="x","x",IF(BE43="-","-",""))</f>
        <v/>
      </c>
      <c r="CN43" s="2" t="str">
        <f aca="false">IF(BF43="x","x",IF(BF43="-","-",""))</f>
        <v/>
      </c>
      <c r="CO43" s="2" t="str">
        <f aca="false">IF(BG43="x","x",IF(BG43="-","-",""))</f>
        <v/>
      </c>
      <c r="CP43" s="2" t="str">
        <f aca="false">IF(BH43="x","x",IF(BH43="-","-",""))</f>
        <v/>
      </c>
      <c r="CQ43" s="2" t="str">
        <f aca="false">IF(BI43="x","x",IF(BI43="-","-",""))</f>
        <v/>
      </c>
      <c r="CR43" s="2" t="str">
        <f aca="false">IF(BJ43="x","x",IF(BJ43="-","-",""))</f>
        <v/>
      </c>
      <c r="CS43" s="2" t="str">
        <f aca="false">IF(BK43="x","x",IF(BK43="-","-",""))</f>
        <v/>
      </c>
      <c r="CT43" s="2" t="str">
        <f aca="false">IF(BL43="x","x",IF(BL43="-","-",""))</f>
        <v/>
      </c>
      <c r="CU43" s="2" t="str">
        <f aca="false">IF(BM43="x","x",IF(BM43="-","-",""))</f>
        <v/>
      </c>
      <c r="CV43" s="2" t="str">
        <f aca="false">IF(BN43="x","x",IF(BN43="-","-",""))</f>
        <v/>
      </c>
      <c r="CW43" s="2" t="str">
        <f aca="false">IF(BO43="x","x",IF(BO43="-","-",""))</f>
        <v/>
      </c>
      <c r="CX43" s="2" t="str">
        <f aca="false">IF(BP43="x","x",IF(BP43="-","-",""))</f>
        <v/>
      </c>
      <c r="CZ43" s="2" t="str">
        <f aca="false">IF(P43="x","x",IF(P43="-","-",""))</f>
        <v>-</v>
      </c>
      <c r="DA43" s="2" t="str">
        <f aca="false">IF(Q43="x","x",IF(Q43="-","-",""))</f>
        <v>-</v>
      </c>
      <c r="DB43" s="2" t="str">
        <f aca="false">IF(R43="x","x",IF(R43="-","-",""))</f>
        <v>-</v>
      </c>
      <c r="DC43" s="2" t="str">
        <f aca="false">IF(S43="x","x",IF(S43="-","-",""))</f>
        <v>-</v>
      </c>
      <c r="DD43" s="2" t="str">
        <f aca="false">IF(T43="x","x",IF(T43="-","-",""))</f>
        <v>-</v>
      </c>
      <c r="DE43" s="2" t="str">
        <f aca="false">IF(U43="x","x",IF(U43="-","-",""))</f>
        <v>-</v>
      </c>
      <c r="DF43" s="2" t="str">
        <f aca="false">IF(V43="x","x",IF(V43="-","-",""))</f>
        <v>-</v>
      </c>
      <c r="DG43" s="2" t="str">
        <f aca="false">IF(W43="x","x",IF(W43="-","-",""))</f>
        <v>-</v>
      </c>
      <c r="DH43" s="2" t="str">
        <f aca="false">IF(X43="x","x",IF(X43="-","-",""))</f>
        <v>-</v>
      </c>
      <c r="DI43" s="2" t="str">
        <f aca="false">IF(Y43="x","x",IF(Y43="-","-",""))</f>
        <v>-</v>
      </c>
      <c r="DJ43" s="2" t="str">
        <f aca="false">IF(Z43="x","x",IF(Z43="-","-",""))</f>
        <v>-</v>
      </c>
      <c r="DK43" s="2" t="str">
        <f aca="false">IF(AA43="x","x",IF(AA43="-","-",""))</f>
        <v>-</v>
      </c>
      <c r="DL43" s="10"/>
      <c r="DM43" s="2" t="str">
        <f aca="false">IF(AC43="x","x",IF(AC43="-","-",""))</f>
        <v>-</v>
      </c>
      <c r="DN43" s="2" t="str">
        <f aca="false">IF(AD43="x","x",IF(AD43="-","-",""))</f>
        <v>-</v>
      </c>
      <c r="DO43" s="2" t="str">
        <f aca="false">IF(AE43="x","x",IF(AE43="-","-",""))</f>
        <v>-</v>
      </c>
      <c r="DP43" s="2" t="str">
        <f aca="false">IF(AF43="x","x",IF(AF43="-","-",""))</f>
        <v>-</v>
      </c>
      <c r="DQ43" s="2" t="str">
        <f aca="false">IF(AG43="x","x",IF(AG43="-","-",""))</f>
        <v>-</v>
      </c>
      <c r="DR43" s="2" t="str">
        <f aca="false">IF(AH43="x","x",IF(AH43="-","-",""))</f>
        <v>-</v>
      </c>
      <c r="DS43" s="2" t="str">
        <f aca="false">IF(AI43="x","x",IF(AI43="-","-",""))</f>
        <v>-</v>
      </c>
      <c r="DT43" s="2" t="str">
        <f aca="false">IF(AJ43="x","x",IF(AJ43="-","-",""))</f>
        <v>-</v>
      </c>
      <c r="DU43" s="2" t="str">
        <f aca="false">IF(AK43="x","x",IF(AK43="-","-",""))</f>
        <v>-</v>
      </c>
      <c r="DV43" s="2" t="str">
        <f aca="false">IF(AL43="x","x",IF(AL43="-","-",""))</f>
        <v>-</v>
      </c>
      <c r="DW43" s="2" t="str">
        <f aca="false">IF(AM43="x","x",IF(AM43="-","-",""))</f>
        <v>-</v>
      </c>
      <c r="DX43" s="2" t="str">
        <f aca="false">IF(AN43="x","x",IF(AN43="-","-",""))</f>
        <v>-</v>
      </c>
    </row>
    <row r="44" customFormat="false" ht="13.8" hidden="false" customHeight="false" outlineLevel="0" collapsed="false">
      <c r="A44" s="10" t="s">
        <v>73</v>
      </c>
      <c r="B44" s="2" t="n">
        <v>43</v>
      </c>
      <c r="C44" s="11" t="s">
        <v>120</v>
      </c>
      <c r="D44" s="10" t="s">
        <v>118</v>
      </c>
      <c r="E44" s="10" t="s">
        <v>76</v>
      </c>
      <c r="F44" s="10" t="n">
        <v>43</v>
      </c>
      <c r="G44" s="10" t="s">
        <v>77</v>
      </c>
      <c r="H44" s="10" t="s">
        <v>77</v>
      </c>
      <c r="I44" s="10" t="s">
        <v>77</v>
      </c>
      <c r="J44" s="10" t="s">
        <v>77</v>
      </c>
      <c r="K44" s="10" t="s">
        <v>77</v>
      </c>
      <c r="L44" s="10" t="s">
        <v>77</v>
      </c>
      <c r="M44" s="2" t="n">
        <v>20</v>
      </c>
      <c r="N44" s="10" t="s">
        <v>77</v>
      </c>
      <c r="O44" s="10"/>
      <c r="P44" s="10" t="s">
        <v>77</v>
      </c>
      <c r="Q44" s="10" t="s">
        <v>77</v>
      </c>
      <c r="R44" s="10" t="s">
        <v>77</v>
      </c>
      <c r="S44" s="10" t="s">
        <v>77</v>
      </c>
      <c r="T44" s="10" t="s">
        <v>77</v>
      </c>
      <c r="U44" s="10" t="s">
        <v>77</v>
      </c>
      <c r="V44" s="10" t="s">
        <v>77</v>
      </c>
      <c r="W44" s="10" t="s">
        <v>77</v>
      </c>
      <c r="X44" s="10" t="s">
        <v>77</v>
      </c>
      <c r="Y44" s="10" t="s">
        <v>77</v>
      </c>
      <c r="Z44" s="10" t="s">
        <v>77</v>
      </c>
      <c r="AA44" s="10" t="s">
        <v>77</v>
      </c>
      <c r="AB44" s="10"/>
      <c r="AC44" s="10" t="s">
        <v>77</v>
      </c>
      <c r="AD44" s="10" t="s">
        <v>77</v>
      </c>
      <c r="AE44" s="10" t="s">
        <v>77</v>
      </c>
      <c r="AF44" s="10" t="s">
        <v>77</v>
      </c>
      <c r="AG44" s="10" t="s">
        <v>77</v>
      </c>
      <c r="AH44" s="10" t="s">
        <v>77</v>
      </c>
      <c r="AI44" s="10" t="s">
        <v>77</v>
      </c>
      <c r="AJ44" s="10" t="s">
        <v>77</v>
      </c>
      <c r="AK44" s="10" t="s">
        <v>77</v>
      </c>
      <c r="AL44" s="10" t="s">
        <v>77</v>
      </c>
      <c r="AM44" s="10" t="s">
        <v>77</v>
      </c>
      <c r="AN44" s="10" t="s">
        <v>77</v>
      </c>
      <c r="AO44" s="10"/>
      <c r="AP44" s="10" t="s">
        <v>73</v>
      </c>
      <c r="AQ44" s="10" t="s">
        <v>73</v>
      </c>
      <c r="AS44" s="10"/>
      <c r="AT44" s="10"/>
      <c r="AU44" s="10"/>
      <c r="AV44" s="10"/>
      <c r="AW44" s="10"/>
      <c r="AX44" s="10"/>
      <c r="AY44" s="10" t="s">
        <v>78</v>
      </c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R44" s="10"/>
      <c r="BS44" s="10" t="s">
        <v>78</v>
      </c>
      <c r="BT44" s="10"/>
      <c r="BU44" s="10"/>
      <c r="BV44" s="10"/>
      <c r="BW44" s="10"/>
      <c r="BX44" s="10"/>
      <c r="BY44" s="10"/>
      <c r="CA44" s="2" t="str">
        <f aca="false">IF(AS44="x","x",IF(AS44="-","-",""))</f>
        <v/>
      </c>
      <c r="CB44" s="2" t="str">
        <f aca="false">IF(AT44="x","x",IF(AT44="-","-",""))</f>
        <v/>
      </c>
      <c r="CC44" s="2" t="str">
        <f aca="false">IF(AU44="x","x",IF(AU44="-","-",""))</f>
        <v/>
      </c>
      <c r="CD44" s="2" t="str">
        <f aca="false">IF(AV44="x","x",IF(AV44="-","-",""))</f>
        <v/>
      </c>
      <c r="CE44" s="2" t="str">
        <f aca="false">IF(AW44="x","x",IF(AW44="-","-",""))</f>
        <v/>
      </c>
      <c r="CF44" s="2" t="str">
        <f aca="false">IF(AX44="x","x",IF(AX44="-","-",""))</f>
        <v/>
      </c>
      <c r="CG44" s="2" t="str">
        <f aca="false">IF(AY44="x","x",IF(AY44="-","-",""))</f>
        <v>x</v>
      </c>
      <c r="CH44" s="2" t="str">
        <f aca="false">IF(AZ44="x","x",IF(AZ44="-","-",""))</f>
        <v/>
      </c>
      <c r="CI44" s="2" t="str">
        <f aca="false">IF(BA44="x","x",IF(BA44="-","-",""))</f>
        <v/>
      </c>
      <c r="CJ44" s="2" t="str">
        <f aca="false">IF(BB44="x","x",IF(BB44="-","-",""))</f>
        <v/>
      </c>
      <c r="CK44" s="2" t="str">
        <f aca="false">IF(BC44="x","x",IF(BC44="-","-",""))</f>
        <v/>
      </c>
      <c r="CL44" s="2" t="str">
        <f aca="false">IF(BD44="x","x",IF(BD44="-","-",""))</f>
        <v/>
      </c>
      <c r="CM44" s="2" t="str">
        <f aca="false">IF(BE44="x","x",IF(BE44="-","-",""))</f>
        <v/>
      </c>
      <c r="CN44" s="2" t="str">
        <f aca="false">IF(BF44="x","x",IF(BF44="-","-",""))</f>
        <v/>
      </c>
      <c r="CO44" s="2" t="str">
        <f aca="false">IF(BG44="x","x",IF(BG44="-","-",""))</f>
        <v/>
      </c>
      <c r="CP44" s="2" t="str">
        <f aca="false">IF(BH44="x","x",IF(BH44="-","-",""))</f>
        <v/>
      </c>
      <c r="CQ44" s="2" t="str">
        <f aca="false">IF(BI44="x","x",IF(BI44="-","-",""))</f>
        <v/>
      </c>
      <c r="CR44" s="2" t="str">
        <f aca="false">IF(BJ44="x","x",IF(BJ44="-","-",""))</f>
        <v/>
      </c>
      <c r="CS44" s="2" t="str">
        <f aca="false">IF(BK44="x","x",IF(BK44="-","-",""))</f>
        <v/>
      </c>
      <c r="CT44" s="2" t="str">
        <f aca="false">IF(BL44="x","x",IF(BL44="-","-",""))</f>
        <v/>
      </c>
      <c r="CU44" s="2" t="str">
        <f aca="false">IF(BM44="x","x",IF(BM44="-","-",""))</f>
        <v/>
      </c>
      <c r="CV44" s="2" t="str">
        <f aca="false">IF(BN44="x","x",IF(BN44="-","-",""))</f>
        <v/>
      </c>
      <c r="CW44" s="2" t="str">
        <f aca="false">IF(BO44="x","x",IF(BO44="-","-",""))</f>
        <v/>
      </c>
      <c r="CX44" s="2" t="str">
        <f aca="false">IF(BP44="x","x",IF(BP44="-","-",""))</f>
        <v/>
      </c>
      <c r="CZ44" s="2" t="str">
        <f aca="false">IF(P44="x","x",IF(P44="-","-",""))</f>
        <v>-</v>
      </c>
      <c r="DA44" s="2" t="str">
        <f aca="false">IF(Q44="x","x",IF(Q44="-","-",""))</f>
        <v>-</v>
      </c>
      <c r="DB44" s="2" t="str">
        <f aca="false">IF(R44="x","x",IF(R44="-","-",""))</f>
        <v>-</v>
      </c>
      <c r="DC44" s="2" t="str">
        <f aca="false">IF(S44="x","x",IF(S44="-","-",""))</f>
        <v>-</v>
      </c>
      <c r="DD44" s="2" t="str">
        <f aca="false">IF(T44="x","x",IF(T44="-","-",""))</f>
        <v>-</v>
      </c>
      <c r="DE44" s="2" t="str">
        <f aca="false">IF(U44="x","x",IF(U44="-","-",""))</f>
        <v>-</v>
      </c>
      <c r="DF44" s="2" t="str">
        <f aca="false">IF(V44="x","x",IF(V44="-","-",""))</f>
        <v>-</v>
      </c>
      <c r="DG44" s="2" t="str">
        <f aca="false">IF(W44="x","x",IF(W44="-","-",""))</f>
        <v>-</v>
      </c>
      <c r="DH44" s="2" t="str">
        <f aca="false">IF(X44="x","x",IF(X44="-","-",""))</f>
        <v>-</v>
      </c>
      <c r="DI44" s="2" t="str">
        <f aca="false">IF(Y44="x","x",IF(Y44="-","-",""))</f>
        <v>-</v>
      </c>
      <c r="DJ44" s="2" t="str">
        <f aca="false">IF(Z44="x","x",IF(Z44="-","-",""))</f>
        <v>-</v>
      </c>
      <c r="DK44" s="2" t="str">
        <f aca="false">IF(AA44="x","x",IF(AA44="-","-",""))</f>
        <v>-</v>
      </c>
      <c r="DL44" s="10"/>
      <c r="DM44" s="2" t="str">
        <f aca="false">IF(AC44="x","x",IF(AC44="-","-",""))</f>
        <v>-</v>
      </c>
      <c r="DN44" s="2" t="str">
        <f aca="false">IF(AD44="x","x",IF(AD44="-","-",""))</f>
        <v>-</v>
      </c>
      <c r="DO44" s="2" t="str">
        <f aca="false">IF(AE44="x","x",IF(AE44="-","-",""))</f>
        <v>-</v>
      </c>
      <c r="DP44" s="2" t="str">
        <f aca="false">IF(AF44="x","x",IF(AF44="-","-",""))</f>
        <v>-</v>
      </c>
      <c r="DQ44" s="2" t="str">
        <f aca="false">IF(AG44="x","x",IF(AG44="-","-",""))</f>
        <v>-</v>
      </c>
      <c r="DR44" s="2" t="str">
        <f aca="false">IF(AH44="x","x",IF(AH44="-","-",""))</f>
        <v>-</v>
      </c>
      <c r="DS44" s="2" t="str">
        <f aca="false">IF(AI44="x","x",IF(AI44="-","-",""))</f>
        <v>-</v>
      </c>
      <c r="DT44" s="2" t="str">
        <f aca="false">IF(AJ44="x","x",IF(AJ44="-","-",""))</f>
        <v>-</v>
      </c>
      <c r="DU44" s="2" t="str">
        <f aca="false">IF(AK44="x","x",IF(AK44="-","-",""))</f>
        <v>-</v>
      </c>
      <c r="DV44" s="2" t="str">
        <f aca="false">IF(AL44="x","x",IF(AL44="-","-",""))</f>
        <v>-</v>
      </c>
      <c r="DW44" s="2" t="str">
        <f aca="false">IF(AM44="x","x",IF(AM44="-","-",""))</f>
        <v>-</v>
      </c>
      <c r="DX44" s="2" t="str">
        <f aca="false">IF(AN44="x","x",IF(AN44="-","-",""))</f>
        <v>-</v>
      </c>
    </row>
    <row r="45" customFormat="false" ht="13.8" hidden="false" customHeight="false" outlineLevel="0" collapsed="false">
      <c r="A45" s="10" t="s">
        <v>73</v>
      </c>
      <c r="B45" s="2" t="n">
        <v>44</v>
      </c>
      <c r="C45" s="11" t="s">
        <v>121</v>
      </c>
      <c r="D45" s="10" t="s">
        <v>118</v>
      </c>
      <c r="E45" s="10" t="s">
        <v>76</v>
      </c>
      <c r="F45" s="10" t="n">
        <v>44</v>
      </c>
      <c r="G45" s="10" t="s">
        <v>77</v>
      </c>
      <c r="H45" s="10" t="s">
        <v>77</v>
      </c>
      <c r="I45" s="10" t="s">
        <v>77</v>
      </c>
      <c r="J45" s="10" t="s">
        <v>77</v>
      </c>
      <c r="K45" s="10" t="s">
        <v>77</v>
      </c>
      <c r="L45" s="10" t="s">
        <v>77</v>
      </c>
      <c r="M45" s="2" t="n">
        <v>20</v>
      </c>
      <c r="N45" s="10" t="s">
        <v>77</v>
      </c>
      <c r="O45" s="10"/>
      <c r="P45" s="10" t="s">
        <v>77</v>
      </c>
      <c r="Q45" s="10" t="s">
        <v>77</v>
      </c>
      <c r="R45" s="10" t="s">
        <v>77</v>
      </c>
      <c r="S45" s="10" t="s">
        <v>77</v>
      </c>
      <c r="T45" s="10" t="s">
        <v>77</v>
      </c>
      <c r="U45" s="10" t="s">
        <v>77</v>
      </c>
      <c r="V45" s="10" t="s">
        <v>77</v>
      </c>
      <c r="W45" s="10" t="s">
        <v>77</v>
      </c>
      <c r="X45" s="10" t="s">
        <v>77</v>
      </c>
      <c r="Y45" s="10" t="s">
        <v>77</v>
      </c>
      <c r="Z45" s="10" t="s">
        <v>77</v>
      </c>
      <c r="AA45" s="10" t="s">
        <v>77</v>
      </c>
      <c r="AB45" s="10"/>
      <c r="AC45" s="10" t="s">
        <v>77</v>
      </c>
      <c r="AD45" s="10" t="s">
        <v>77</v>
      </c>
      <c r="AE45" s="10" t="s">
        <v>77</v>
      </c>
      <c r="AF45" s="10" t="s">
        <v>77</v>
      </c>
      <c r="AG45" s="10" t="s">
        <v>77</v>
      </c>
      <c r="AH45" s="10" t="s">
        <v>77</v>
      </c>
      <c r="AI45" s="10" t="s">
        <v>77</v>
      </c>
      <c r="AJ45" s="10" t="s">
        <v>77</v>
      </c>
      <c r="AK45" s="10" t="s">
        <v>77</v>
      </c>
      <c r="AL45" s="10" t="s">
        <v>77</v>
      </c>
      <c r="AM45" s="10" t="s">
        <v>77</v>
      </c>
      <c r="AN45" s="10" t="s">
        <v>77</v>
      </c>
      <c r="AO45" s="10"/>
      <c r="AP45" s="10" t="s">
        <v>73</v>
      </c>
      <c r="AQ45" s="10" t="s">
        <v>73</v>
      </c>
      <c r="AS45" s="10"/>
      <c r="AT45" s="10"/>
      <c r="AU45" s="10"/>
      <c r="AV45" s="10"/>
      <c r="AW45" s="10"/>
      <c r="AX45" s="10"/>
      <c r="AY45" s="10" t="s">
        <v>78</v>
      </c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R45" s="10"/>
      <c r="BS45" s="10" t="s">
        <v>78</v>
      </c>
      <c r="BT45" s="10"/>
      <c r="BU45" s="10"/>
      <c r="BV45" s="10"/>
      <c r="BW45" s="10"/>
      <c r="BX45" s="10"/>
      <c r="BY45" s="10"/>
      <c r="CA45" s="2" t="str">
        <f aca="false">IF(AS45="x","x",IF(AS45="-","-",""))</f>
        <v/>
      </c>
      <c r="CB45" s="2" t="str">
        <f aca="false">IF(AT45="x","x",IF(AT45="-","-",""))</f>
        <v/>
      </c>
      <c r="CC45" s="2" t="str">
        <f aca="false">IF(AU45="x","x",IF(AU45="-","-",""))</f>
        <v/>
      </c>
      <c r="CD45" s="2" t="str">
        <f aca="false">IF(AV45="x","x",IF(AV45="-","-",""))</f>
        <v/>
      </c>
      <c r="CE45" s="2" t="str">
        <f aca="false">IF(AW45="x","x",IF(AW45="-","-",""))</f>
        <v/>
      </c>
      <c r="CF45" s="2" t="str">
        <f aca="false">IF(AX45="x","x",IF(AX45="-","-",""))</f>
        <v/>
      </c>
      <c r="CG45" s="2" t="str">
        <f aca="false">IF(AY45="x","x",IF(AY45="-","-",""))</f>
        <v>x</v>
      </c>
      <c r="CH45" s="2" t="str">
        <f aca="false">IF(AZ45="x","x",IF(AZ45="-","-",""))</f>
        <v/>
      </c>
      <c r="CI45" s="2" t="str">
        <f aca="false">IF(BA45="x","x",IF(BA45="-","-",""))</f>
        <v/>
      </c>
      <c r="CJ45" s="2" t="str">
        <f aca="false">IF(BB45="x","x",IF(BB45="-","-",""))</f>
        <v/>
      </c>
      <c r="CK45" s="2" t="str">
        <f aca="false">IF(BC45="x","x",IF(BC45="-","-",""))</f>
        <v/>
      </c>
      <c r="CL45" s="2" t="str">
        <f aca="false">IF(BD45="x","x",IF(BD45="-","-",""))</f>
        <v/>
      </c>
      <c r="CM45" s="2" t="str">
        <f aca="false">IF(BE45="x","x",IF(BE45="-","-",""))</f>
        <v/>
      </c>
      <c r="CN45" s="2" t="str">
        <f aca="false">IF(BF45="x","x",IF(BF45="-","-",""))</f>
        <v/>
      </c>
      <c r="CO45" s="2" t="str">
        <f aca="false">IF(BG45="x","x",IF(BG45="-","-",""))</f>
        <v/>
      </c>
      <c r="CP45" s="2" t="str">
        <f aca="false">IF(BH45="x","x",IF(BH45="-","-",""))</f>
        <v/>
      </c>
      <c r="CQ45" s="2" t="str">
        <f aca="false">IF(BI45="x","x",IF(BI45="-","-",""))</f>
        <v/>
      </c>
      <c r="CR45" s="2" t="str">
        <f aca="false">IF(BJ45="x","x",IF(BJ45="-","-",""))</f>
        <v/>
      </c>
      <c r="CS45" s="2" t="str">
        <f aca="false">IF(BK45="x","x",IF(BK45="-","-",""))</f>
        <v/>
      </c>
      <c r="CT45" s="2" t="str">
        <f aca="false">IF(BL45="x","x",IF(BL45="-","-",""))</f>
        <v/>
      </c>
      <c r="CU45" s="2" t="str">
        <f aca="false">IF(BM45="x","x",IF(BM45="-","-",""))</f>
        <v/>
      </c>
      <c r="CV45" s="2" t="str">
        <f aca="false">IF(BN45="x","x",IF(BN45="-","-",""))</f>
        <v/>
      </c>
      <c r="CW45" s="2" t="str">
        <f aca="false">IF(BO45="x","x",IF(BO45="-","-",""))</f>
        <v/>
      </c>
      <c r="CX45" s="2" t="str">
        <f aca="false">IF(BP45="x","x",IF(BP45="-","-",""))</f>
        <v/>
      </c>
      <c r="CZ45" s="2" t="str">
        <f aca="false">IF(P45="x","x",IF(P45="-","-",""))</f>
        <v>-</v>
      </c>
      <c r="DA45" s="2" t="str">
        <f aca="false">IF(Q45="x","x",IF(Q45="-","-",""))</f>
        <v>-</v>
      </c>
      <c r="DB45" s="2" t="str">
        <f aca="false">IF(R45="x","x",IF(R45="-","-",""))</f>
        <v>-</v>
      </c>
      <c r="DC45" s="2" t="str">
        <f aca="false">IF(S45="x","x",IF(S45="-","-",""))</f>
        <v>-</v>
      </c>
      <c r="DD45" s="2" t="str">
        <f aca="false">IF(T45="x","x",IF(T45="-","-",""))</f>
        <v>-</v>
      </c>
      <c r="DE45" s="2" t="str">
        <f aca="false">IF(U45="x","x",IF(U45="-","-",""))</f>
        <v>-</v>
      </c>
      <c r="DF45" s="2" t="str">
        <f aca="false">IF(V45="x","x",IF(V45="-","-",""))</f>
        <v>-</v>
      </c>
      <c r="DG45" s="2" t="str">
        <f aca="false">IF(W45="x","x",IF(W45="-","-",""))</f>
        <v>-</v>
      </c>
      <c r="DH45" s="2" t="str">
        <f aca="false">IF(X45="x","x",IF(X45="-","-",""))</f>
        <v>-</v>
      </c>
      <c r="DI45" s="2" t="str">
        <f aca="false">IF(Y45="x","x",IF(Y45="-","-",""))</f>
        <v>-</v>
      </c>
      <c r="DJ45" s="2" t="str">
        <f aca="false">IF(Z45="x","x",IF(Z45="-","-",""))</f>
        <v>-</v>
      </c>
      <c r="DK45" s="2" t="str">
        <f aca="false">IF(AA45="x","x",IF(AA45="-","-",""))</f>
        <v>-</v>
      </c>
      <c r="DL45" s="10"/>
      <c r="DM45" s="2" t="str">
        <f aca="false">IF(AC45="x","x",IF(AC45="-","-",""))</f>
        <v>-</v>
      </c>
      <c r="DN45" s="2" t="str">
        <f aca="false">IF(AD45="x","x",IF(AD45="-","-",""))</f>
        <v>-</v>
      </c>
      <c r="DO45" s="2" t="str">
        <f aca="false">IF(AE45="x","x",IF(AE45="-","-",""))</f>
        <v>-</v>
      </c>
      <c r="DP45" s="2" t="str">
        <f aca="false">IF(AF45="x","x",IF(AF45="-","-",""))</f>
        <v>-</v>
      </c>
      <c r="DQ45" s="2" t="str">
        <f aca="false">IF(AG45="x","x",IF(AG45="-","-",""))</f>
        <v>-</v>
      </c>
      <c r="DR45" s="2" t="str">
        <f aca="false">IF(AH45="x","x",IF(AH45="-","-",""))</f>
        <v>-</v>
      </c>
      <c r="DS45" s="2" t="str">
        <f aca="false">IF(AI45="x","x",IF(AI45="-","-",""))</f>
        <v>-</v>
      </c>
      <c r="DT45" s="2" t="str">
        <f aca="false">IF(AJ45="x","x",IF(AJ45="-","-",""))</f>
        <v>-</v>
      </c>
      <c r="DU45" s="2" t="str">
        <f aca="false">IF(AK45="x","x",IF(AK45="-","-",""))</f>
        <v>-</v>
      </c>
      <c r="DV45" s="2" t="str">
        <f aca="false">IF(AL45="x","x",IF(AL45="-","-",""))</f>
        <v>-</v>
      </c>
      <c r="DW45" s="2" t="str">
        <f aca="false">IF(AM45="x","x",IF(AM45="-","-",""))</f>
        <v>-</v>
      </c>
      <c r="DX45" s="2" t="str">
        <f aca="false">IF(AN45="x","x",IF(AN45="-","-",""))</f>
        <v>-</v>
      </c>
    </row>
    <row r="46" customFormat="false" ht="13.8" hidden="false" customHeight="false" outlineLevel="0" collapsed="false">
      <c r="A46" s="10" t="s">
        <v>73</v>
      </c>
      <c r="B46" s="2" t="n">
        <v>45</v>
      </c>
      <c r="C46" s="11" t="s">
        <v>122</v>
      </c>
      <c r="D46" s="10" t="s">
        <v>123</v>
      </c>
      <c r="E46" s="10" t="s">
        <v>76</v>
      </c>
      <c r="F46" s="10" t="n">
        <v>45</v>
      </c>
      <c r="G46" s="10" t="s">
        <v>77</v>
      </c>
      <c r="H46" s="10" t="s">
        <v>77</v>
      </c>
      <c r="I46" s="10" t="s">
        <v>77</v>
      </c>
      <c r="J46" s="10" t="s">
        <v>77</v>
      </c>
      <c r="K46" s="10" t="s">
        <v>77</v>
      </c>
      <c r="L46" s="10" t="s">
        <v>77</v>
      </c>
      <c r="M46" s="2" t="n">
        <v>20</v>
      </c>
      <c r="N46" s="10" t="s">
        <v>77</v>
      </c>
      <c r="O46" s="10"/>
      <c r="P46" s="10" t="s">
        <v>77</v>
      </c>
      <c r="Q46" s="10" t="s">
        <v>77</v>
      </c>
      <c r="R46" s="10" t="s">
        <v>77</v>
      </c>
      <c r="S46" s="10" t="s">
        <v>77</v>
      </c>
      <c r="T46" s="10" t="s">
        <v>77</v>
      </c>
      <c r="U46" s="10" t="s">
        <v>77</v>
      </c>
      <c r="V46" s="10" t="s">
        <v>77</v>
      </c>
      <c r="W46" s="10" t="s">
        <v>77</v>
      </c>
      <c r="X46" s="10" t="s">
        <v>77</v>
      </c>
      <c r="Y46" s="10" t="s">
        <v>77</v>
      </c>
      <c r="Z46" s="10" t="s">
        <v>77</v>
      </c>
      <c r="AA46" s="10" t="s">
        <v>77</v>
      </c>
      <c r="AB46" s="10"/>
      <c r="AC46" s="10" t="s">
        <v>77</v>
      </c>
      <c r="AD46" s="10" t="s">
        <v>77</v>
      </c>
      <c r="AE46" s="10" t="s">
        <v>77</v>
      </c>
      <c r="AF46" s="10" t="s">
        <v>77</v>
      </c>
      <c r="AG46" s="10" t="s">
        <v>77</v>
      </c>
      <c r="AH46" s="10" t="s">
        <v>77</v>
      </c>
      <c r="AI46" s="10" t="s">
        <v>77</v>
      </c>
      <c r="AJ46" s="10" t="s">
        <v>77</v>
      </c>
      <c r="AK46" s="10" t="s">
        <v>77</v>
      </c>
      <c r="AL46" s="10" t="s">
        <v>77</v>
      </c>
      <c r="AM46" s="10" t="s">
        <v>77</v>
      </c>
      <c r="AN46" s="10" t="s">
        <v>77</v>
      </c>
      <c r="AO46" s="10"/>
      <c r="AP46" s="10" t="s">
        <v>73</v>
      </c>
      <c r="AQ46" s="10" t="s">
        <v>73</v>
      </c>
      <c r="AS46" s="10"/>
      <c r="AT46" s="10"/>
      <c r="AU46" s="10"/>
      <c r="AV46" s="10"/>
      <c r="AW46" s="10"/>
      <c r="AX46" s="10"/>
      <c r="AY46" s="10"/>
      <c r="AZ46" s="10" t="s">
        <v>78</v>
      </c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R46" s="10"/>
      <c r="BS46" s="10" t="s">
        <v>78</v>
      </c>
      <c r="BT46" s="10"/>
      <c r="BU46" s="10"/>
      <c r="BV46" s="10"/>
      <c r="BW46" s="10"/>
      <c r="BX46" s="10"/>
      <c r="BY46" s="10"/>
      <c r="CA46" s="2" t="str">
        <f aca="false">IF(AS46="x","x",IF(AS46="-","-",""))</f>
        <v/>
      </c>
      <c r="CB46" s="2" t="str">
        <f aca="false">IF(AT46="x","x",IF(AT46="-","-",""))</f>
        <v/>
      </c>
      <c r="CC46" s="2" t="str">
        <f aca="false">IF(AU46="x","x",IF(AU46="-","-",""))</f>
        <v/>
      </c>
      <c r="CD46" s="2" t="str">
        <f aca="false">IF(AV46="x","x",IF(AV46="-","-",""))</f>
        <v/>
      </c>
      <c r="CE46" s="2" t="str">
        <f aca="false">IF(AW46="x","x",IF(AW46="-","-",""))</f>
        <v/>
      </c>
      <c r="CF46" s="2" t="str">
        <f aca="false">IF(AX46="x","x",IF(AX46="-","-",""))</f>
        <v/>
      </c>
      <c r="CG46" s="2" t="str">
        <f aca="false">IF(AY46="x","x",IF(AY46="-","-",""))</f>
        <v/>
      </c>
      <c r="CH46" s="2" t="str">
        <f aca="false">IF(AZ46="x","x",IF(AZ46="-","-",""))</f>
        <v>x</v>
      </c>
      <c r="CI46" s="2" t="str">
        <f aca="false">IF(BA46="x","x",IF(BA46="-","-",""))</f>
        <v/>
      </c>
      <c r="CJ46" s="2" t="str">
        <f aca="false">IF(BB46="x","x",IF(BB46="-","-",""))</f>
        <v/>
      </c>
      <c r="CK46" s="2" t="str">
        <f aca="false">IF(BC46="x","x",IF(BC46="-","-",""))</f>
        <v/>
      </c>
      <c r="CL46" s="2" t="str">
        <f aca="false">IF(BD46="x","x",IF(BD46="-","-",""))</f>
        <v/>
      </c>
      <c r="CM46" s="2" t="str">
        <f aca="false">IF(BE46="x","x",IF(BE46="-","-",""))</f>
        <v/>
      </c>
      <c r="CN46" s="2" t="str">
        <f aca="false">IF(BF46="x","x",IF(BF46="-","-",""))</f>
        <v/>
      </c>
      <c r="CO46" s="2" t="str">
        <f aca="false">IF(BG46="x","x",IF(BG46="-","-",""))</f>
        <v/>
      </c>
      <c r="CP46" s="2" t="str">
        <f aca="false">IF(BH46="x","x",IF(BH46="-","-",""))</f>
        <v/>
      </c>
      <c r="CQ46" s="2" t="str">
        <f aca="false">IF(BI46="x","x",IF(BI46="-","-",""))</f>
        <v/>
      </c>
      <c r="CR46" s="2" t="str">
        <f aca="false">IF(BJ46="x","x",IF(BJ46="-","-",""))</f>
        <v/>
      </c>
      <c r="CS46" s="2" t="str">
        <f aca="false">IF(BK46="x","x",IF(BK46="-","-",""))</f>
        <v/>
      </c>
      <c r="CT46" s="2" t="str">
        <f aca="false">IF(BL46="x","x",IF(BL46="-","-",""))</f>
        <v/>
      </c>
      <c r="CU46" s="2" t="str">
        <f aca="false">IF(BM46="x","x",IF(BM46="-","-",""))</f>
        <v/>
      </c>
      <c r="CV46" s="2" t="str">
        <f aca="false">IF(BN46="x","x",IF(BN46="-","-",""))</f>
        <v/>
      </c>
      <c r="CW46" s="2" t="str">
        <f aca="false">IF(BO46="x","x",IF(BO46="-","-",""))</f>
        <v/>
      </c>
      <c r="CX46" s="2" t="str">
        <f aca="false">IF(BP46="x","x",IF(BP46="-","-",""))</f>
        <v/>
      </c>
      <c r="CZ46" s="2" t="str">
        <f aca="false">IF(P46="x","x",IF(P46="-","-",""))</f>
        <v>-</v>
      </c>
      <c r="DA46" s="2" t="str">
        <f aca="false">IF(Q46="x","x",IF(Q46="-","-",""))</f>
        <v>-</v>
      </c>
      <c r="DB46" s="2" t="str">
        <f aca="false">IF(R46="x","x",IF(R46="-","-",""))</f>
        <v>-</v>
      </c>
      <c r="DC46" s="2" t="str">
        <f aca="false">IF(S46="x","x",IF(S46="-","-",""))</f>
        <v>-</v>
      </c>
      <c r="DD46" s="2" t="str">
        <f aca="false">IF(T46="x","x",IF(T46="-","-",""))</f>
        <v>-</v>
      </c>
      <c r="DE46" s="2" t="str">
        <f aca="false">IF(U46="x","x",IF(U46="-","-",""))</f>
        <v>-</v>
      </c>
      <c r="DF46" s="2" t="str">
        <f aca="false">IF(V46="x","x",IF(V46="-","-",""))</f>
        <v>-</v>
      </c>
      <c r="DG46" s="2" t="str">
        <f aca="false">IF(W46="x","x",IF(W46="-","-",""))</f>
        <v>-</v>
      </c>
      <c r="DH46" s="2" t="str">
        <f aca="false">IF(X46="x","x",IF(X46="-","-",""))</f>
        <v>-</v>
      </c>
      <c r="DI46" s="2" t="str">
        <f aca="false">IF(Y46="x","x",IF(Y46="-","-",""))</f>
        <v>-</v>
      </c>
      <c r="DJ46" s="2" t="str">
        <f aca="false">IF(Z46="x","x",IF(Z46="-","-",""))</f>
        <v>-</v>
      </c>
      <c r="DK46" s="2" t="str">
        <f aca="false">IF(AA46="x","x",IF(AA46="-","-",""))</f>
        <v>-</v>
      </c>
      <c r="DL46" s="10"/>
      <c r="DM46" s="2" t="str">
        <f aca="false">IF(AC46="x","x",IF(AC46="-","-",""))</f>
        <v>-</v>
      </c>
      <c r="DN46" s="2" t="str">
        <f aca="false">IF(AD46="x","x",IF(AD46="-","-",""))</f>
        <v>-</v>
      </c>
      <c r="DO46" s="2" t="str">
        <f aca="false">IF(AE46="x","x",IF(AE46="-","-",""))</f>
        <v>-</v>
      </c>
      <c r="DP46" s="2" t="str">
        <f aca="false">IF(AF46="x","x",IF(AF46="-","-",""))</f>
        <v>-</v>
      </c>
      <c r="DQ46" s="2" t="str">
        <f aca="false">IF(AG46="x","x",IF(AG46="-","-",""))</f>
        <v>-</v>
      </c>
      <c r="DR46" s="2" t="str">
        <f aca="false">IF(AH46="x","x",IF(AH46="-","-",""))</f>
        <v>-</v>
      </c>
      <c r="DS46" s="2" t="str">
        <f aca="false">IF(AI46="x","x",IF(AI46="-","-",""))</f>
        <v>-</v>
      </c>
      <c r="DT46" s="2" t="str">
        <f aca="false">IF(AJ46="x","x",IF(AJ46="-","-",""))</f>
        <v>-</v>
      </c>
      <c r="DU46" s="2" t="str">
        <f aca="false">IF(AK46="x","x",IF(AK46="-","-",""))</f>
        <v>-</v>
      </c>
      <c r="DV46" s="2" t="str">
        <f aca="false">IF(AL46="x","x",IF(AL46="-","-",""))</f>
        <v>-</v>
      </c>
      <c r="DW46" s="2" t="str">
        <f aca="false">IF(AM46="x","x",IF(AM46="-","-",""))</f>
        <v>-</v>
      </c>
      <c r="DX46" s="2" t="str">
        <f aca="false">IF(AN46="x","x",IF(AN46="-","-",""))</f>
        <v>-</v>
      </c>
    </row>
    <row r="47" customFormat="false" ht="13.8" hidden="false" customHeight="false" outlineLevel="0" collapsed="false">
      <c r="A47" s="10" t="s">
        <v>73</v>
      </c>
      <c r="B47" s="2" t="n">
        <v>46</v>
      </c>
      <c r="C47" s="11" t="s">
        <v>124</v>
      </c>
      <c r="D47" s="10" t="s">
        <v>123</v>
      </c>
      <c r="E47" s="10" t="s">
        <v>76</v>
      </c>
      <c r="F47" s="10" t="n">
        <v>46</v>
      </c>
      <c r="G47" s="10" t="s">
        <v>77</v>
      </c>
      <c r="H47" s="10" t="s">
        <v>77</v>
      </c>
      <c r="I47" s="10" t="s">
        <v>77</v>
      </c>
      <c r="J47" s="10" t="s">
        <v>77</v>
      </c>
      <c r="K47" s="10" t="s">
        <v>77</v>
      </c>
      <c r="L47" s="10" t="s">
        <v>77</v>
      </c>
      <c r="M47" s="2" t="n">
        <v>20</v>
      </c>
      <c r="N47" s="10" t="s">
        <v>77</v>
      </c>
      <c r="O47" s="10"/>
      <c r="P47" s="10" t="s">
        <v>77</v>
      </c>
      <c r="Q47" s="10" t="s">
        <v>77</v>
      </c>
      <c r="R47" s="10" t="s">
        <v>77</v>
      </c>
      <c r="S47" s="10" t="s">
        <v>77</v>
      </c>
      <c r="T47" s="10" t="s">
        <v>77</v>
      </c>
      <c r="U47" s="10" t="s">
        <v>77</v>
      </c>
      <c r="V47" s="10" t="s">
        <v>77</v>
      </c>
      <c r="W47" s="10" t="s">
        <v>77</v>
      </c>
      <c r="X47" s="10" t="s">
        <v>77</v>
      </c>
      <c r="Y47" s="10" t="s">
        <v>77</v>
      </c>
      <c r="Z47" s="10" t="s">
        <v>77</v>
      </c>
      <c r="AA47" s="10" t="s">
        <v>77</v>
      </c>
      <c r="AB47" s="10"/>
      <c r="AC47" s="10" t="s">
        <v>77</v>
      </c>
      <c r="AD47" s="10" t="s">
        <v>77</v>
      </c>
      <c r="AE47" s="10" t="s">
        <v>77</v>
      </c>
      <c r="AF47" s="10" t="s">
        <v>77</v>
      </c>
      <c r="AG47" s="10" t="s">
        <v>77</v>
      </c>
      <c r="AH47" s="10" t="s">
        <v>77</v>
      </c>
      <c r="AI47" s="10" t="s">
        <v>77</v>
      </c>
      <c r="AJ47" s="10" t="s">
        <v>77</v>
      </c>
      <c r="AK47" s="10" t="s">
        <v>77</v>
      </c>
      <c r="AL47" s="10" t="s">
        <v>77</v>
      </c>
      <c r="AM47" s="10" t="s">
        <v>77</v>
      </c>
      <c r="AN47" s="10" t="s">
        <v>77</v>
      </c>
      <c r="AO47" s="10"/>
      <c r="AP47" s="10" t="s">
        <v>73</v>
      </c>
      <c r="AQ47" s="10" t="s">
        <v>73</v>
      </c>
      <c r="AS47" s="10"/>
      <c r="AT47" s="10"/>
      <c r="AU47" s="10"/>
      <c r="AV47" s="10"/>
      <c r="AW47" s="10"/>
      <c r="AX47" s="10"/>
      <c r="AY47" s="10"/>
      <c r="AZ47" s="10" t="s">
        <v>78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R47" s="10"/>
      <c r="BS47" s="10" t="s">
        <v>78</v>
      </c>
      <c r="BT47" s="10"/>
      <c r="BU47" s="10"/>
      <c r="BV47" s="10"/>
      <c r="BW47" s="10"/>
      <c r="BX47" s="10"/>
      <c r="BY47" s="10"/>
      <c r="CA47" s="2" t="str">
        <f aca="false">IF(AS47="x","x",IF(AS47="-","-",""))</f>
        <v/>
      </c>
      <c r="CB47" s="2" t="str">
        <f aca="false">IF(AT47="x","x",IF(AT47="-","-",""))</f>
        <v/>
      </c>
      <c r="CC47" s="2" t="str">
        <f aca="false">IF(AU47="x","x",IF(AU47="-","-",""))</f>
        <v/>
      </c>
      <c r="CD47" s="2" t="str">
        <f aca="false">IF(AV47="x","x",IF(AV47="-","-",""))</f>
        <v/>
      </c>
      <c r="CE47" s="2" t="str">
        <f aca="false">IF(AW47="x","x",IF(AW47="-","-",""))</f>
        <v/>
      </c>
      <c r="CF47" s="2" t="str">
        <f aca="false">IF(AX47="x","x",IF(AX47="-","-",""))</f>
        <v/>
      </c>
      <c r="CG47" s="2" t="str">
        <f aca="false">IF(AY47="x","x",IF(AY47="-","-",""))</f>
        <v/>
      </c>
      <c r="CH47" s="2" t="str">
        <f aca="false">IF(AZ47="x","x",IF(AZ47="-","-",""))</f>
        <v>x</v>
      </c>
      <c r="CI47" s="2" t="str">
        <f aca="false">IF(BA47="x","x",IF(BA47="-","-",""))</f>
        <v/>
      </c>
      <c r="CJ47" s="2" t="str">
        <f aca="false">IF(BB47="x","x",IF(BB47="-","-",""))</f>
        <v/>
      </c>
      <c r="CK47" s="2" t="str">
        <f aca="false">IF(BC47="x","x",IF(BC47="-","-",""))</f>
        <v/>
      </c>
      <c r="CL47" s="2" t="str">
        <f aca="false">IF(BD47="x","x",IF(BD47="-","-",""))</f>
        <v/>
      </c>
      <c r="CM47" s="2" t="str">
        <f aca="false">IF(BE47="x","x",IF(BE47="-","-",""))</f>
        <v/>
      </c>
      <c r="CN47" s="2" t="str">
        <f aca="false">IF(BF47="x","x",IF(BF47="-","-",""))</f>
        <v/>
      </c>
      <c r="CO47" s="2" t="str">
        <f aca="false">IF(BG47="x","x",IF(BG47="-","-",""))</f>
        <v/>
      </c>
      <c r="CP47" s="2" t="str">
        <f aca="false">IF(BH47="x","x",IF(BH47="-","-",""))</f>
        <v/>
      </c>
      <c r="CQ47" s="2" t="str">
        <f aca="false">IF(BI47="x","x",IF(BI47="-","-",""))</f>
        <v/>
      </c>
      <c r="CR47" s="2" t="str">
        <f aca="false">IF(BJ47="x","x",IF(BJ47="-","-",""))</f>
        <v/>
      </c>
      <c r="CS47" s="2" t="str">
        <f aca="false">IF(BK47="x","x",IF(BK47="-","-",""))</f>
        <v/>
      </c>
      <c r="CT47" s="2" t="str">
        <f aca="false">IF(BL47="x","x",IF(BL47="-","-",""))</f>
        <v/>
      </c>
      <c r="CU47" s="2" t="str">
        <f aca="false">IF(BM47="x","x",IF(BM47="-","-",""))</f>
        <v/>
      </c>
      <c r="CV47" s="2" t="str">
        <f aca="false">IF(BN47="x","x",IF(BN47="-","-",""))</f>
        <v/>
      </c>
      <c r="CW47" s="2" t="str">
        <f aca="false">IF(BO47="x","x",IF(BO47="-","-",""))</f>
        <v/>
      </c>
      <c r="CX47" s="2" t="str">
        <f aca="false">IF(BP47="x","x",IF(BP47="-","-",""))</f>
        <v/>
      </c>
      <c r="CZ47" s="2" t="str">
        <f aca="false">IF(P47="x","x",IF(P47="-","-",""))</f>
        <v>-</v>
      </c>
      <c r="DA47" s="2" t="str">
        <f aca="false">IF(Q47="x","x",IF(Q47="-","-",""))</f>
        <v>-</v>
      </c>
      <c r="DB47" s="2" t="str">
        <f aca="false">IF(R47="x","x",IF(R47="-","-",""))</f>
        <v>-</v>
      </c>
      <c r="DC47" s="2" t="str">
        <f aca="false">IF(S47="x","x",IF(S47="-","-",""))</f>
        <v>-</v>
      </c>
      <c r="DD47" s="2" t="str">
        <f aca="false">IF(T47="x","x",IF(T47="-","-",""))</f>
        <v>-</v>
      </c>
      <c r="DE47" s="2" t="str">
        <f aca="false">IF(U47="x","x",IF(U47="-","-",""))</f>
        <v>-</v>
      </c>
      <c r="DF47" s="2" t="str">
        <f aca="false">IF(V47="x","x",IF(V47="-","-",""))</f>
        <v>-</v>
      </c>
      <c r="DG47" s="2" t="str">
        <f aca="false">IF(W47="x","x",IF(W47="-","-",""))</f>
        <v>-</v>
      </c>
      <c r="DH47" s="2" t="str">
        <f aca="false">IF(X47="x","x",IF(X47="-","-",""))</f>
        <v>-</v>
      </c>
      <c r="DI47" s="2" t="str">
        <f aca="false">IF(Y47="x","x",IF(Y47="-","-",""))</f>
        <v>-</v>
      </c>
      <c r="DJ47" s="2" t="str">
        <f aca="false">IF(Z47="x","x",IF(Z47="-","-",""))</f>
        <v>-</v>
      </c>
      <c r="DK47" s="2" t="str">
        <f aca="false">IF(AA47="x","x",IF(AA47="-","-",""))</f>
        <v>-</v>
      </c>
      <c r="DL47" s="10"/>
      <c r="DM47" s="2" t="str">
        <f aca="false">IF(AC47="x","x",IF(AC47="-","-",""))</f>
        <v>-</v>
      </c>
      <c r="DN47" s="2" t="str">
        <f aca="false">IF(AD47="x","x",IF(AD47="-","-",""))</f>
        <v>-</v>
      </c>
      <c r="DO47" s="2" t="str">
        <f aca="false">IF(AE47="x","x",IF(AE47="-","-",""))</f>
        <v>-</v>
      </c>
      <c r="DP47" s="2" t="str">
        <f aca="false">IF(AF47="x","x",IF(AF47="-","-",""))</f>
        <v>-</v>
      </c>
      <c r="DQ47" s="2" t="str">
        <f aca="false">IF(AG47="x","x",IF(AG47="-","-",""))</f>
        <v>-</v>
      </c>
      <c r="DR47" s="2" t="str">
        <f aca="false">IF(AH47="x","x",IF(AH47="-","-",""))</f>
        <v>-</v>
      </c>
      <c r="DS47" s="2" t="str">
        <f aca="false">IF(AI47="x","x",IF(AI47="-","-",""))</f>
        <v>-</v>
      </c>
      <c r="DT47" s="2" t="str">
        <f aca="false">IF(AJ47="x","x",IF(AJ47="-","-",""))</f>
        <v>-</v>
      </c>
      <c r="DU47" s="2" t="str">
        <f aca="false">IF(AK47="x","x",IF(AK47="-","-",""))</f>
        <v>-</v>
      </c>
      <c r="DV47" s="2" t="str">
        <f aca="false">IF(AL47="x","x",IF(AL47="-","-",""))</f>
        <v>-</v>
      </c>
      <c r="DW47" s="2" t="str">
        <f aca="false">IF(AM47="x","x",IF(AM47="-","-",""))</f>
        <v>-</v>
      </c>
      <c r="DX47" s="2" t="str">
        <f aca="false">IF(AN47="x","x",IF(AN47="-","-",""))</f>
        <v>-</v>
      </c>
    </row>
    <row r="48" customFormat="false" ht="13.8" hidden="false" customHeight="false" outlineLevel="0" collapsed="false">
      <c r="A48" s="10" t="s">
        <v>73</v>
      </c>
      <c r="B48" s="2" t="n">
        <v>47</v>
      </c>
      <c r="C48" s="11" t="s">
        <v>125</v>
      </c>
      <c r="D48" s="10" t="s">
        <v>123</v>
      </c>
      <c r="E48" s="10" t="s">
        <v>76</v>
      </c>
      <c r="F48" s="10" t="n">
        <v>47</v>
      </c>
      <c r="G48" s="10" t="s">
        <v>77</v>
      </c>
      <c r="H48" s="10" t="s">
        <v>77</v>
      </c>
      <c r="I48" s="10" t="s">
        <v>77</v>
      </c>
      <c r="J48" s="10" t="s">
        <v>77</v>
      </c>
      <c r="K48" s="10" t="s">
        <v>77</v>
      </c>
      <c r="L48" s="10" t="s">
        <v>77</v>
      </c>
      <c r="M48" s="2" t="n">
        <v>20</v>
      </c>
      <c r="N48" s="10" t="s">
        <v>77</v>
      </c>
      <c r="O48" s="10"/>
      <c r="P48" s="10" t="s">
        <v>77</v>
      </c>
      <c r="Q48" s="10" t="s">
        <v>77</v>
      </c>
      <c r="R48" s="10" t="s">
        <v>77</v>
      </c>
      <c r="S48" s="10" t="s">
        <v>77</v>
      </c>
      <c r="T48" s="10" t="s">
        <v>77</v>
      </c>
      <c r="U48" s="10" t="s">
        <v>77</v>
      </c>
      <c r="V48" s="10" t="s">
        <v>77</v>
      </c>
      <c r="W48" s="10" t="s">
        <v>77</v>
      </c>
      <c r="X48" s="10" t="s">
        <v>77</v>
      </c>
      <c r="Y48" s="10" t="s">
        <v>77</v>
      </c>
      <c r="Z48" s="10" t="s">
        <v>77</v>
      </c>
      <c r="AA48" s="10" t="s">
        <v>77</v>
      </c>
      <c r="AB48" s="10"/>
      <c r="AC48" s="10" t="s">
        <v>77</v>
      </c>
      <c r="AD48" s="10" t="s">
        <v>77</v>
      </c>
      <c r="AE48" s="10" t="s">
        <v>77</v>
      </c>
      <c r="AF48" s="10" t="s">
        <v>77</v>
      </c>
      <c r="AG48" s="10" t="s">
        <v>77</v>
      </c>
      <c r="AH48" s="10" t="s">
        <v>77</v>
      </c>
      <c r="AI48" s="10" t="s">
        <v>77</v>
      </c>
      <c r="AJ48" s="10" t="s">
        <v>77</v>
      </c>
      <c r="AK48" s="10" t="s">
        <v>77</v>
      </c>
      <c r="AL48" s="10" t="s">
        <v>77</v>
      </c>
      <c r="AM48" s="10" t="s">
        <v>77</v>
      </c>
      <c r="AN48" s="10" t="s">
        <v>77</v>
      </c>
      <c r="AO48" s="10"/>
      <c r="AP48" s="10" t="s">
        <v>73</v>
      </c>
      <c r="AQ48" s="10" t="s">
        <v>73</v>
      </c>
      <c r="AS48" s="10"/>
      <c r="AT48" s="10"/>
      <c r="AU48" s="10"/>
      <c r="AV48" s="10"/>
      <c r="AW48" s="10"/>
      <c r="AX48" s="10"/>
      <c r="AY48" s="10"/>
      <c r="AZ48" s="10" t="s">
        <v>78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R48" s="10"/>
      <c r="BS48" s="10" t="s">
        <v>78</v>
      </c>
      <c r="BT48" s="10"/>
      <c r="BU48" s="10"/>
      <c r="BV48" s="10"/>
      <c r="BW48" s="10"/>
      <c r="BX48" s="10"/>
      <c r="BY48" s="10"/>
      <c r="CA48" s="2" t="str">
        <f aca="false">IF(AS48="x","x",IF(AS48="-","-",""))</f>
        <v/>
      </c>
      <c r="CB48" s="2" t="str">
        <f aca="false">IF(AT48="x","x",IF(AT48="-","-",""))</f>
        <v/>
      </c>
      <c r="CC48" s="2" t="str">
        <f aca="false">IF(AU48="x","x",IF(AU48="-","-",""))</f>
        <v/>
      </c>
      <c r="CD48" s="2" t="str">
        <f aca="false">IF(AV48="x","x",IF(AV48="-","-",""))</f>
        <v/>
      </c>
      <c r="CE48" s="2" t="str">
        <f aca="false">IF(AW48="x","x",IF(AW48="-","-",""))</f>
        <v/>
      </c>
      <c r="CF48" s="2" t="str">
        <f aca="false">IF(AX48="x","x",IF(AX48="-","-",""))</f>
        <v/>
      </c>
      <c r="CG48" s="2" t="str">
        <f aca="false">IF(AY48="x","x",IF(AY48="-","-",""))</f>
        <v/>
      </c>
      <c r="CH48" s="2" t="str">
        <f aca="false">IF(AZ48="x","x",IF(AZ48="-","-",""))</f>
        <v>x</v>
      </c>
      <c r="CI48" s="2" t="str">
        <f aca="false">IF(BA48="x","x",IF(BA48="-","-",""))</f>
        <v/>
      </c>
      <c r="CJ48" s="2" t="str">
        <f aca="false">IF(BB48="x","x",IF(BB48="-","-",""))</f>
        <v/>
      </c>
      <c r="CK48" s="2" t="str">
        <f aca="false">IF(BC48="x","x",IF(BC48="-","-",""))</f>
        <v/>
      </c>
      <c r="CL48" s="2" t="str">
        <f aca="false">IF(BD48="x","x",IF(BD48="-","-",""))</f>
        <v/>
      </c>
      <c r="CM48" s="2" t="str">
        <f aca="false">IF(BE48="x","x",IF(BE48="-","-",""))</f>
        <v/>
      </c>
      <c r="CN48" s="2" t="str">
        <f aca="false">IF(BF48="x","x",IF(BF48="-","-",""))</f>
        <v/>
      </c>
      <c r="CO48" s="2" t="str">
        <f aca="false">IF(BG48="x","x",IF(BG48="-","-",""))</f>
        <v/>
      </c>
      <c r="CP48" s="2" t="str">
        <f aca="false">IF(BH48="x","x",IF(BH48="-","-",""))</f>
        <v/>
      </c>
      <c r="CQ48" s="2" t="str">
        <f aca="false">IF(BI48="x","x",IF(BI48="-","-",""))</f>
        <v/>
      </c>
      <c r="CR48" s="2" t="str">
        <f aca="false">IF(BJ48="x","x",IF(BJ48="-","-",""))</f>
        <v/>
      </c>
      <c r="CS48" s="2" t="str">
        <f aca="false">IF(BK48="x","x",IF(BK48="-","-",""))</f>
        <v/>
      </c>
      <c r="CT48" s="2" t="str">
        <f aca="false">IF(BL48="x","x",IF(BL48="-","-",""))</f>
        <v/>
      </c>
      <c r="CU48" s="2" t="str">
        <f aca="false">IF(BM48="x","x",IF(BM48="-","-",""))</f>
        <v/>
      </c>
      <c r="CV48" s="2" t="str">
        <f aca="false">IF(BN48="x","x",IF(BN48="-","-",""))</f>
        <v/>
      </c>
      <c r="CW48" s="2" t="str">
        <f aca="false">IF(BO48="x","x",IF(BO48="-","-",""))</f>
        <v/>
      </c>
      <c r="CX48" s="2" t="str">
        <f aca="false">IF(BP48="x","x",IF(BP48="-","-",""))</f>
        <v/>
      </c>
      <c r="CZ48" s="2" t="str">
        <f aca="false">IF(P48="x","x",IF(P48="-","-",""))</f>
        <v>-</v>
      </c>
      <c r="DA48" s="2" t="str">
        <f aca="false">IF(Q48="x","x",IF(Q48="-","-",""))</f>
        <v>-</v>
      </c>
      <c r="DB48" s="2" t="str">
        <f aca="false">IF(R48="x","x",IF(R48="-","-",""))</f>
        <v>-</v>
      </c>
      <c r="DC48" s="2" t="str">
        <f aca="false">IF(S48="x","x",IF(S48="-","-",""))</f>
        <v>-</v>
      </c>
      <c r="DD48" s="2" t="str">
        <f aca="false">IF(T48="x","x",IF(T48="-","-",""))</f>
        <v>-</v>
      </c>
      <c r="DE48" s="2" t="str">
        <f aca="false">IF(U48="x","x",IF(U48="-","-",""))</f>
        <v>-</v>
      </c>
      <c r="DF48" s="2" t="str">
        <f aca="false">IF(V48="x","x",IF(V48="-","-",""))</f>
        <v>-</v>
      </c>
      <c r="DG48" s="2" t="str">
        <f aca="false">IF(W48="x","x",IF(W48="-","-",""))</f>
        <v>-</v>
      </c>
      <c r="DH48" s="2" t="str">
        <f aca="false">IF(X48="x","x",IF(X48="-","-",""))</f>
        <v>-</v>
      </c>
      <c r="DI48" s="2" t="str">
        <f aca="false">IF(Y48="x","x",IF(Y48="-","-",""))</f>
        <v>-</v>
      </c>
      <c r="DJ48" s="2" t="str">
        <f aca="false">IF(Z48="x","x",IF(Z48="-","-",""))</f>
        <v>-</v>
      </c>
      <c r="DK48" s="2" t="str">
        <f aca="false">IF(AA48="x","x",IF(AA48="-","-",""))</f>
        <v>-</v>
      </c>
      <c r="DL48" s="10"/>
      <c r="DM48" s="2" t="str">
        <f aca="false">IF(AC48="x","x",IF(AC48="-","-",""))</f>
        <v>-</v>
      </c>
      <c r="DN48" s="2" t="str">
        <f aca="false">IF(AD48="x","x",IF(AD48="-","-",""))</f>
        <v>-</v>
      </c>
      <c r="DO48" s="2" t="str">
        <f aca="false">IF(AE48="x","x",IF(AE48="-","-",""))</f>
        <v>-</v>
      </c>
      <c r="DP48" s="2" t="str">
        <f aca="false">IF(AF48="x","x",IF(AF48="-","-",""))</f>
        <v>-</v>
      </c>
      <c r="DQ48" s="2" t="str">
        <f aca="false">IF(AG48="x","x",IF(AG48="-","-",""))</f>
        <v>-</v>
      </c>
      <c r="DR48" s="2" t="str">
        <f aca="false">IF(AH48="x","x",IF(AH48="-","-",""))</f>
        <v>-</v>
      </c>
      <c r="DS48" s="2" t="str">
        <f aca="false">IF(AI48="x","x",IF(AI48="-","-",""))</f>
        <v>-</v>
      </c>
      <c r="DT48" s="2" t="str">
        <f aca="false">IF(AJ48="x","x",IF(AJ48="-","-",""))</f>
        <v>-</v>
      </c>
      <c r="DU48" s="2" t="str">
        <f aca="false">IF(AK48="x","x",IF(AK48="-","-",""))</f>
        <v>-</v>
      </c>
      <c r="DV48" s="2" t="str">
        <f aca="false">IF(AL48="x","x",IF(AL48="-","-",""))</f>
        <v>-</v>
      </c>
      <c r="DW48" s="2" t="str">
        <f aca="false">IF(AM48="x","x",IF(AM48="-","-",""))</f>
        <v>-</v>
      </c>
      <c r="DX48" s="2" t="str">
        <f aca="false">IF(AN48="x","x",IF(AN48="-","-",""))</f>
        <v>-</v>
      </c>
    </row>
    <row r="49" customFormat="false" ht="13.8" hidden="false" customHeight="false" outlineLevel="0" collapsed="false">
      <c r="A49" s="10" t="s">
        <v>73</v>
      </c>
      <c r="B49" s="2" t="n">
        <v>48</v>
      </c>
      <c r="C49" s="11" t="s">
        <v>126</v>
      </c>
      <c r="D49" s="10" t="s">
        <v>123</v>
      </c>
      <c r="E49" s="10" t="s">
        <v>76</v>
      </c>
      <c r="F49" s="10" t="n">
        <v>48</v>
      </c>
      <c r="G49" s="10" t="s">
        <v>77</v>
      </c>
      <c r="H49" s="10" t="s">
        <v>77</v>
      </c>
      <c r="I49" s="10" t="s">
        <v>77</v>
      </c>
      <c r="J49" s="10" t="s">
        <v>77</v>
      </c>
      <c r="K49" s="10" t="s">
        <v>77</v>
      </c>
      <c r="L49" s="10" t="s">
        <v>77</v>
      </c>
      <c r="M49" s="2" t="n">
        <v>20</v>
      </c>
      <c r="N49" s="10" t="s">
        <v>77</v>
      </c>
      <c r="O49" s="10"/>
      <c r="P49" s="10" t="s">
        <v>77</v>
      </c>
      <c r="Q49" s="10" t="s">
        <v>77</v>
      </c>
      <c r="R49" s="10" t="s">
        <v>77</v>
      </c>
      <c r="S49" s="10" t="s">
        <v>77</v>
      </c>
      <c r="T49" s="10" t="s">
        <v>77</v>
      </c>
      <c r="U49" s="10" t="s">
        <v>77</v>
      </c>
      <c r="V49" s="10" t="s">
        <v>77</v>
      </c>
      <c r="W49" s="10" t="s">
        <v>77</v>
      </c>
      <c r="X49" s="10" t="s">
        <v>77</v>
      </c>
      <c r="Y49" s="10" t="s">
        <v>77</v>
      </c>
      <c r="Z49" s="10" t="s">
        <v>77</v>
      </c>
      <c r="AA49" s="10" t="s">
        <v>77</v>
      </c>
      <c r="AB49" s="10"/>
      <c r="AC49" s="10" t="s">
        <v>77</v>
      </c>
      <c r="AD49" s="10" t="s">
        <v>77</v>
      </c>
      <c r="AE49" s="10" t="s">
        <v>77</v>
      </c>
      <c r="AF49" s="10" t="s">
        <v>77</v>
      </c>
      <c r="AG49" s="10" t="s">
        <v>77</v>
      </c>
      <c r="AH49" s="10" t="s">
        <v>77</v>
      </c>
      <c r="AI49" s="10" t="s">
        <v>77</v>
      </c>
      <c r="AJ49" s="10" t="s">
        <v>77</v>
      </c>
      <c r="AK49" s="10" t="s">
        <v>77</v>
      </c>
      <c r="AL49" s="10" t="s">
        <v>77</v>
      </c>
      <c r="AM49" s="10" t="s">
        <v>77</v>
      </c>
      <c r="AN49" s="10" t="s">
        <v>77</v>
      </c>
      <c r="AO49" s="10"/>
      <c r="AP49" s="10" t="s">
        <v>73</v>
      </c>
      <c r="AQ49" s="10" t="s">
        <v>73</v>
      </c>
      <c r="AS49" s="10"/>
      <c r="AT49" s="10"/>
      <c r="AU49" s="10"/>
      <c r="AV49" s="10"/>
      <c r="AW49" s="10"/>
      <c r="AX49" s="10"/>
      <c r="AY49" s="10"/>
      <c r="AZ49" s="10" t="s">
        <v>78</v>
      </c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R49" s="10"/>
      <c r="BS49" s="10" t="s">
        <v>78</v>
      </c>
      <c r="BT49" s="10"/>
      <c r="BU49" s="10"/>
      <c r="BV49" s="10"/>
      <c r="BW49" s="10"/>
      <c r="BX49" s="10"/>
      <c r="BY49" s="10"/>
      <c r="CA49" s="2" t="str">
        <f aca="false">IF(AS49="x","x",IF(AS49="-","-",""))</f>
        <v/>
      </c>
      <c r="CB49" s="2" t="str">
        <f aca="false">IF(AT49="x","x",IF(AT49="-","-",""))</f>
        <v/>
      </c>
      <c r="CC49" s="2" t="str">
        <f aca="false">IF(AU49="x","x",IF(AU49="-","-",""))</f>
        <v/>
      </c>
      <c r="CD49" s="2" t="str">
        <f aca="false">IF(AV49="x","x",IF(AV49="-","-",""))</f>
        <v/>
      </c>
      <c r="CE49" s="2" t="str">
        <f aca="false">IF(AW49="x","x",IF(AW49="-","-",""))</f>
        <v/>
      </c>
      <c r="CF49" s="2" t="str">
        <f aca="false">IF(AX49="x","x",IF(AX49="-","-",""))</f>
        <v/>
      </c>
      <c r="CG49" s="2" t="str">
        <f aca="false">IF(AY49="x","x",IF(AY49="-","-",""))</f>
        <v/>
      </c>
      <c r="CH49" s="2" t="str">
        <f aca="false">IF(AZ49="x","x",IF(AZ49="-","-",""))</f>
        <v>x</v>
      </c>
      <c r="CI49" s="2" t="str">
        <f aca="false">IF(BA49="x","x",IF(BA49="-","-",""))</f>
        <v/>
      </c>
      <c r="CJ49" s="2" t="str">
        <f aca="false">IF(BB49="x","x",IF(BB49="-","-",""))</f>
        <v/>
      </c>
      <c r="CK49" s="2" t="str">
        <f aca="false">IF(BC49="x","x",IF(BC49="-","-",""))</f>
        <v/>
      </c>
      <c r="CL49" s="2" t="str">
        <f aca="false">IF(BD49="x","x",IF(BD49="-","-",""))</f>
        <v/>
      </c>
      <c r="CM49" s="2" t="str">
        <f aca="false">IF(BE49="x","x",IF(BE49="-","-",""))</f>
        <v/>
      </c>
      <c r="CN49" s="2" t="str">
        <f aca="false">IF(BF49="x","x",IF(BF49="-","-",""))</f>
        <v/>
      </c>
      <c r="CO49" s="2" t="str">
        <f aca="false">IF(BG49="x","x",IF(BG49="-","-",""))</f>
        <v/>
      </c>
      <c r="CP49" s="2" t="str">
        <f aca="false">IF(BH49="x","x",IF(BH49="-","-",""))</f>
        <v/>
      </c>
      <c r="CQ49" s="2" t="str">
        <f aca="false">IF(BI49="x","x",IF(BI49="-","-",""))</f>
        <v/>
      </c>
      <c r="CR49" s="2" t="str">
        <f aca="false">IF(BJ49="x","x",IF(BJ49="-","-",""))</f>
        <v/>
      </c>
      <c r="CS49" s="2" t="str">
        <f aca="false">IF(BK49="x","x",IF(BK49="-","-",""))</f>
        <v/>
      </c>
      <c r="CT49" s="2" t="str">
        <f aca="false">IF(BL49="x","x",IF(BL49="-","-",""))</f>
        <v/>
      </c>
      <c r="CU49" s="2" t="str">
        <f aca="false">IF(BM49="x","x",IF(BM49="-","-",""))</f>
        <v/>
      </c>
      <c r="CV49" s="2" t="str">
        <f aca="false">IF(BN49="x","x",IF(BN49="-","-",""))</f>
        <v/>
      </c>
      <c r="CW49" s="2" t="str">
        <f aca="false">IF(BO49="x","x",IF(BO49="-","-",""))</f>
        <v/>
      </c>
      <c r="CX49" s="2" t="str">
        <f aca="false">IF(BP49="x","x",IF(BP49="-","-",""))</f>
        <v/>
      </c>
      <c r="CZ49" s="2" t="str">
        <f aca="false">IF(P49="x","x",IF(P49="-","-",""))</f>
        <v>-</v>
      </c>
      <c r="DA49" s="2" t="str">
        <f aca="false">IF(Q49="x","x",IF(Q49="-","-",""))</f>
        <v>-</v>
      </c>
      <c r="DB49" s="2" t="str">
        <f aca="false">IF(R49="x","x",IF(R49="-","-",""))</f>
        <v>-</v>
      </c>
      <c r="DC49" s="2" t="str">
        <f aca="false">IF(S49="x","x",IF(S49="-","-",""))</f>
        <v>-</v>
      </c>
      <c r="DD49" s="2" t="str">
        <f aca="false">IF(T49="x","x",IF(T49="-","-",""))</f>
        <v>-</v>
      </c>
      <c r="DE49" s="2" t="str">
        <f aca="false">IF(U49="x","x",IF(U49="-","-",""))</f>
        <v>-</v>
      </c>
      <c r="DF49" s="2" t="str">
        <f aca="false">IF(V49="x","x",IF(V49="-","-",""))</f>
        <v>-</v>
      </c>
      <c r="DG49" s="2" t="str">
        <f aca="false">IF(W49="x","x",IF(W49="-","-",""))</f>
        <v>-</v>
      </c>
      <c r="DH49" s="2" t="str">
        <f aca="false">IF(X49="x","x",IF(X49="-","-",""))</f>
        <v>-</v>
      </c>
      <c r="DI49" s="2" t="str">
        <f aca="false">IF(Y49="x","x",IF(Y49="-","-",""))</f>
        <v>-</v>
      </c>
      <c r="DJ49" s="2" t="str">
        <f aca="false">IF(Z49="x","x",IF(Z49="-","-",""))</f>
        <v>-</v>
      </c>
      <c r="DK49" s="2" t="str">
        <f aca="false">IF(AA49="x","x",IF(AA49="-","-",""))</f>
        <v>-</v>
      </c>
      <c r="DL49" s="10"/>
      <c r="DM49" s="2" t="str">
        <f aca="false">IF(AC49="x","x",IF(AC49="-","-",""))</f>
        <v>-</v>
      </c>
      <c r="DN49" s="2" t="str">
        <f aca="false">IF(AD49="x","x",IF(AD49="-","-",""))</f>
        <v>-</v>
      </c>
      <c r="DO49" s="2" t="str">
        <f aca="false">IF(AE49="x","x",IF(AE49="-","-",""))</f>
        <v>-</v>
      </c>
      <c r="DP49" s="2" t="str">
        <f aca="false">IF(AF49="x","x",IF(AF49="-","-",""))</f>
        <v>-</v>
      </c>
      <c r="DQ49" s="2" t="str">
        <f aca="false">IF(AG49="x","x",IF(AG49="-","-",""))</f>
        <v>-</v>
      </c>
      <c r="DR49" s="2" t="str">
        <f aca="false">IF(AH49="x","x",IF(AH49="-","-",""))</f>
        <v>-</v>
      </c>
      <c r="DS49" s="2" t="str">
        <f aca="false">IF(AI49="x","x",IF(AI49="-","-",""))</f>
        <v>-</v>
      </c>
      <c r="DT49" s="2" t="str">
        <f aca="false">IF(AJ49="x","x",IF(AJ49="-","-",""))</f>
        <v>-</v>
      </c>
      <c r="DU49" s="2" t="str">
        <f aca="false">IF(AK49="x","x",IF(AK49="-","-",""))</f>
        <v>-</v>
      </c>
      <c r="DV49" s="2" t="str">
        <f aca="false">IF(AL49="x","x",IF(AL49="-","-",""))</f>
        <v>-</v>
      </c>
      <c r="DW49" s="2" t="str">
        <f aca="false">IF(AM49="x","x",IF(AM49="-","-",""))</f>
        <v>-</v>
      </c>
      <c r="DX49" s="2" t="str">
        <f aca="false">IF(AN49="x","x",IF(AN49="-","-",""))</f>
        <v>-</v>
      </c>
    </row>
    <row r="50" customFormat="false" ht="13.8" hidden="false" customHeight="false" outlineLevel="0" collapsed="false">
      <c r="B50" s="2"/>
      <c r="K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</row>
    <row r="51" customFormat="false" ht="13.8" hidden="false" customHeight="false" outlineLevel="0" collapsed="false">
      <c r="B51" s="2"/>
      <c r="K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</row>
    <row r="52" customFormat="false" ht="13.8" hidden="false" customHeight="true" outlineLevel="0" collapsed="false"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</row>
    <row r="53" customFormat="false" ht="13.8" hidden="false" customHeight="false" outlineLevel="0" collapsed="false">
      <c r="C53" s="12"/>
      <c r="E53" s="13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</row>
    <row r="54" customFormat="false" ht="13.8" hidden="false" customHeight="true" outlineLevel="0" collapsed="false"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</row>
    <row r="55" customFormat="false" ht="13.8" hidden="false" customHeight="true" outlineLevel="0" collapsed="false"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</row>
    <row r="56" customFormat="false" ht="13.8" hidden="false" customHeight="true" outlineLevel="0" collapsed="false"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</row>
    <row r="57" customFormat="false" ht="13.8" hidden="false" customHeight="true" outlineLevel="0" collapsed="false"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</row>
    <row r="58" customFormat="false" ht="13.8" hidden="false" customHeight="true" outlineLevel="0" collapsed="false"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</row>
    <row r="59" customFormat="false" ht="13.8" hidden="false" customHeight="true" outlineLevel="0" collapsed="false"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</row>
    <row r="60" customFormat="false" ht="13.8" hidden="false" customHeight="true" outlineLevel="0" collapsed="false"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</row>
    <row r="61" customFormat="false" ht="13.8" hidden="false" customHeight="true" outlineLevel="0" collapsed="false"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</row>
    <row r="62" customFormat="false" ht="13.8" hidden="false" customHeight="true" outlineLevel="0" collapsed="false"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</row>
    <row r="63" customFormat="false" ht="13.8" hidden="false" customHeight="true" outlineLevel="0" collapsed="false"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</row>
    <row r="64" customFormat="false" ht="13.8" hidden="false" customHeight="true" outlineLevel="0" collapsed="false"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</row>
    <row r="65" customFormat="false" ht="13.8" hidden="false" customHeight="true" outlineLevel="0" collapsed="false"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</row>
    <row r="66" customFormat="false" ht="13.8" hidden="false" customHeight="true" outlineLevel="0" collapsed="false"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</row>
    <row r="67" customFormat="false" ht="13.8" hidden="false" customHeight="true" outlineLevel="0" collapsed="false"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</row>
    <row r="68" customFormat="false" ht="13.8" hidden="false" customHeight="true" outlineLevel="0" collapsed="false"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</row>
    <row r="69" customFormat="false" ht="13.8" hidden="false" customHeight="true" outlineLevel="0" collapsed="false"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</row>
    <row r="70" customFormat="false" ht="13.8" hidden="false" customHeight="true" outlineLevel="0" collapsed="false"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</row>
    <row r="71" customFormat="false" ht="13.8" hidden="false" customHeight="true" outlineLevel="0" collapsed="false"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</row>
    <row r="72" customFormat="false" ht="13.8" hidden="false" customHeight="true" outlineLevel="0" collapsed="false"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</row>
    <row r="73" customFormat="false" ht="13.8" hidden="false" customHeight="true" outlineLevel="0" collapsed="false"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</row>
    <row r="74" customFormat="false" ht="13.8" hidden="false" customHeight="true" outlineLevel="0" collapsed="false"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</row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AP1:AP1048576 AQ2:AQ49 G1:I1 H50:I1048576 G29:G1048576 D54:F1048576 D53 F53 A2:A49 D1:F52">
    <cfRule type="cellIs" priority="2" operator="equal" aboveAverage="0" equalAverage="0" bottom="0" percent="0" rank="0" text="" dxfId="0">
      <formula>"purple"</formula>
    </cfRule>
    <cfRule type="cellIs" priority="3" operator="equal" aboveAverage="0" equalAverage="0" bottom="0" percent="0" rank="0" text="" dxfId="1">
      <formula>"light blue"</formula>
    </cfRule>
    <cfRule type="cellIs" priority="4" operator="equal" aboveAverage="0" equalAverage="0" bottom="0" percent="0" rank="0" text="" dxfId="2">
      <formula>"green"</formula>
    </cfRule>
    <cfRule type="cellIs" priority="5" operator="equal" aboveAverage="0" equalAverage="0" bottom="0" percent="0" rank="0" text="" dxfId="3">
      <formula>"red"</formula>
    </cfRule>
    <cfRule type="cellIs" priority="6" operator="equal" aboveAverage="0" equalAverage="0" bottom="0" percent="0" rank="0" text="" dxfId="4">
      <formula>"black"</formula>
    </cfRule>
    <cfRule type="cellIs" priority="7" operator="equal" aboveAverage="0" equalAverage="0" bottom="0" percent="0" rank="0" text="" dxfId="5">
      <formula>"yellow"</formula>
    </cfRule>
    <cfRule type="cellIs" priority="8" operator="equal" aboveAverage="0" equalAverage="0" bottom="0" percent="0" rank="0" text="" dxfId="6">
      <formula>"blue"</formula>
    </cfRule>
  </conditionalFormatting>
  <dataValidations count="12">
    <dataValidation allowBlank="true" errorStyle="stop" operator="equal" showDropDown="false" showErrorMessage="true" showInputMessage="false" sqref="D2:D49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K50:K51" type="list">
      <formula1>"+10,+5,0,-5,-10,-15,-20,-25,-30,-35,-40,-45,-inf"</formula1>
      <formula2>0</formula2>
    </dataValidation>
    <dataValidation allowBlank="true" errorStyle="stop" operator="equal" showDropDown="false" showErrorMessage="true" showInputMessage="false" sqref="K2:K49" type="list">
      <formula1>"-,+10,+5,0,-5,-10,-15,-20,-25,-30,-35,-40,-45,-99"</formula1>
      <formula2>0</formula2>
    </dataValidation>
    <dataValidation allowBlank="true" errorStyle="stop" operator="equal" showDropDown="false" showErrorMessage="true" showInputMessage="false" sqref="J2:J49 L2:L49 N2:O49 AB2:AB49 AO2:AO49 DL2:DL49" type="list">
      <formula1>"-,yes,no"</formula1>
      <formula2>0</formula2>
    </dataValidation>
    <dataValidation allowBlank="true" errorStyle="stop" operator="equal" showDropDown="false" showErrorMessage="true" showInputMessage="false" sqref="A2:A49 AP2:AQ49" type="list">
      <formula1>"yes,no"</formula1>
      <formula2>0</formula2>
    </dataValidation>
    <dataValidation allowBlank="true" errorStyle="stop" operator="between" showDropDown="false" showErrorMessage="true" showInputMessage="false" sqref="M2:M49" type="none">
      <formula1>20</formula1>
      <formula2>2000</formula2>
    </dataValidation>
    <dataValidation allowBlank="true" errorStyle="stop" operator="equal" showDropDown="false" showErrorMessage="true" showInputMessage="false" sqref="P2:AA74 AC2:AN49 AS2:BP49 BR2:BY49 CZ50:DK74" type="none">
      <formula1>0</formula1>
      <formula2>0</formula2>
    </dataValidation>
    <dataValidation allowBlank="true" errorStyle="stop" operator="equal" showDropDown="false" showErrorMessage="true" showInputMessage="false" sqref="F2:F49" type="none">
      <formula1>0</formula1>
      <formula2>0</formula2>
    </dataValidation>
    <dataValidation allowBlank="true" errorStyle="stop" operator="equal" showDropDown="false" showErrorMessage="true" showInputMessage="false" sqref="G2:G27 G29:G49" type="list">
      <formula1>"-,+5,+10,+15,+20,+25,+30,+35,+40,+45,+50,+55,+60,"</formula1>
      <formula2>0</formula2>
    </dataValidation>
    <dataValidation allowBlank="true" errorStyle="stop" operator="equal" showDropDown="false" showErrorMessage="true" showInputMessage="false" sqref="H2:H27 H29:H49" type="list">
      <formula1>"-,yes,no"</formula1>
      <formula2>0</formula2>
    </dataValidation>
    <dataValidation allowBlank="true" errorStyle="stop" operator="equal" showDropDown="false" showErrorMessage="true" showInputMessage="false" sqref="I2:I27 I29:I49" type="list">
      <formula1>"-,yes,no"</formula1>
      <formula2>0</formula2>
    </dataValidation>
    <dataValidation allowBlank="true" errorStyle="stop" operator="equal" showDropDown="false" showErrorMessage="true" showInputMessage="false" sqref="E2:E49" type="list">
      <formula1>"Unassigned,MixRack,Surface,Surface DX 5/6,IO 4,IO 5,USB,MixRack DX 1/2,MixRack DX 3/4,IO 1,IO 2,IO 3,SigGen"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36" activePane="bottomRight" state="frozen"/>
      <selection pane="topLeft" activeCell="A1" activeCellId="0" sqref="A1"/>
      <selection pane="topRight" activeCell="C1" activeCellId="0" sqref="C1"/>
      <selection pane="bottomLeft" activeCell="A36" activeCellId="0" sqref="A36"/>
      <selection pane="bottomRight" activeCell="C2" activeCellId="0" sqref="C2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24"/>
    <col collapsed="false" customWidth="true" hidden="false" outlineLevel="0" max="2" min="2" style="2" width="14.14"/>
    <col collapsed="false" customWidth="true" hidden="false" outlineLevel="0" max="4" min="3" style="2" width="4.42"/>
    <col collapsed="false" customWidth="true" hidden="false" outlineLevel="0" max="12" min="5" style="2" width="3.86"/>
    <col collapsed="false" customWidth="true" hidden="false" outlineLevel="0" max="16" min="13" style="2" width="3.57"/>
    <col collapsed="false" customWidth="true" hidden="false" outlineLevel="0" max="17" min="17" style="2" width="3.86"/>
    <col collapsed="false" customWidth="true" hidden="false" outlineLevel="0" max="19" min="18" style="3" width="3.86"/>
    <col collapsed="false" customWidth="true" hidden="false" outlineLevel="0" max="21" min="20" style="3" width="3.57"/>
  </cols>
  <sheetData>
    <row r="1" customFormat="false" ht="73.5" hidden="false" customHeight="true" outlineLevel="0" collapsed="false">
      <c r="A1" s="14" t="s">
        <v>127</v>
      </c>
      <c r="B1" s="15" t="s">
        <v>128</v>
      </c>
      <c r="C1" s="16" t="s">
        <v>129</v>
      </c>
      <c r="D1" s="16" t="s">
        <v>130</v>
      </c>
      <c r="E1" s="16" t="s">
        <v>131</v>
      </c>
      <c r="F1" s="17"/>
      <c r="G1" s="18" t="s">
        <v>132</v>
      </c>
      <c r="H1" s="18" t="s">
        <v>133</v>
      </c>
      <c r="I1" s="18" t="s">
        <v>134</v>
      </c>
      <c r="J1" s="17"/>
      <c r="K1" s="19" t="s">
        <v>135</v>
      </c>
      <c r="L1" s="19" t="s">
        <v>136</v>
      </c>
      <c r="M1" s="19" t="s">
        <v>137</v>
      </c>
      <c r="N1" s="17"/>
      <c r="O1" s="20" t="s">
        <v>138</v>
      </c>
      <c r="P1" s="20" t="s">
        <v>139</v>
      </c>
      <c r="Q1" s="20" t="s">
        <v>140</v>
      </c>
    </row>
    <row r="2" customFormat="false" ht="15" hidden="false" customHeight="false" outlineLevel="0" collapsed="false">
      <c r="B2" s="2" t="n">
        <v>1</v>
      </c>
      <c r="C2" s="10" t="s">
        <v>77</v>
      </c>
      <c r="D2" s="10" t="s">
        <v>77</v>
      </c>
      <c r="E2" s="10" t="s">
        <v>77</v>
      </c>
      <c r="G2" s="10" t="s">
        <v>77</v>
      </c>
      <c r="H2" s="10" t="s">
        <v>77</v>
      </c>
      <c r="I2" s="10" t="s">
        <v>77</v>
      </c>
      <c r="K2" s="10" t="s">
        <v>77</v>
      </c>
      <c r="L2" s="10" t="s">
        <v>77</v>
      </c>
      <c r="M2" s="10" t="s">
        <v>77</v>
      </c>
      <c r="O2" s="10" t="s">
        <v>77</v>
      </c>
      <c r="P2" s="10" t="s">
        <v>77</v>
      </c>
      <c r="Q2" s="10" t="s">
        <v>77</v>
      </c>
    </row>
    <row r="3" customFormat="false" ht="15" hidden="false" customHeight="false" outlineLevel="0" collapsed="false">
      <c r="B3" s="2" t="n">
        <v>2</v>
      </c>
      <c r="C3" s="10" t="s">
        <v>77</v>
      </c>
      <c r="D3" s="10" t="s">
        <v>77</v>
      </c>
      <c r="E3" s="10" t="s">
        <v>77</v>
      </c>
      <c r="G3" s="10" t="s">
        <v>77</v>
      </c>
      <c r="H3" s="10" t="s">
        <v>77</v>
      </c>
      <c r="I3" s="10" t="s">
        <v>77</v>
      </c>
      <c r="K3" s="10" t="s">
        <v>77</v>
      </c>
      <c r="L3" s="10" t="s">
        <v>77</v>
      </c>
      <c r="M3" s="10" t="s">
        <v>77</v>
      </c>
      <c r="O3" s="10" t="s">
        <v>77</v>
      </c>
      <c r="P3" s="10" t="s">
        <v>77</v>
      </c>
      <c r="Q3" s="10" t="s">
        <v>77</v>
      </c>
    </row>
    <row r="4" customFormat="false" ht="15" hidden="false" customHeight="false" outlineLevel="0" collapsed="false">
      <c r="B4" s="2" t="n">
        <v>3</v>
      </c>
      <c r="C4" s="10" t="s">
        <v>77</v>
      </c>
      <c r="D4" s="10" t="s">
        <v>77</v>
      </c>
      <c r="E4" s="10" t="s">
        <v>77</v>
      </c>
      <c r="G4" s="10" t="s">
        <v>77</v>
      </c>
      <c r="H4" s="10" t="s">
        <v>77</v>
      </c>
      <c r="I4" s="10" t="s">
        <v>77</v>
      </c>
      <c r="K4" s="10" t="s">
        <v>77</v>
      </c>
      <c r="L4" s="10" t="s">
        <v>77</v>
      </c>
      <c r="M4" s="10" t="s">
        <v>77</v>
      </c>
      <c r="O4" s="10" t="s">
        <v>77</v>
      </c>
      <c r="P4" s="10" t="s">
        <v>77</v>
      </c>
      <c r="Q4" s="10" t="s">
        <v>77</v>
      </c>
    </row>
    <row r="5" customFormat="false" ht="15" hidden="false" customHeight="false" outlineLevel="0" collapsed="false">
      <c r="B5" s="2" t="n">
        <v>4</v>
      </c>
      <c r="C5" s="10" t="s">
        <v>77</v>
      </c>
      <c r="D5" s="10" t="s">
        <v>77</v>
      </c>
      <c r="E5" s="10" t="s">
        <v>77</v>
      </c>
      <c r="G5" s="10" t="s">
        <v>77</v>
      </c>
      <c r="H5" s="10" t="s">
        <v>77</v>
      </c>
      <c r="I5" s="10" t="s">
        <v>77</v>
      </c>
      <c r="K5" s="10" t="s">
        <v>77</v>
      </c>
      <c r="L5" s="10" t="s">
        <v>77</v>
      </c>
      <c r="M5" s="10" t="s">
        <v>77</v>
      </c>
      <c r="O5" s="10" t="s">
        <v>77</v>
      </c>
      <c r="P5" s="10" t="s">
        <v>77</v>
      </c>
      <c r="Q5" s="10" t="s">
        <v>77</v>
      </c>
    </row>
    <row r="6" customFormat="false" ht="15" hidden="false" customHeight="false" outlineLevel="0" collapsed="false">
      <c r="B6" s="2" t="n">
        <v>5</v>
      </c>
      <c r="C6" s="10" t="s">
        <v>77</v>
      </c>
      <c r="D6" s="10" t="s">
        <v>77</v>
      </c>
      <c r="E6" s="10" t="s">
        <v>77</v>
      </c>
      <c r="G6" s="10" t="s">
        <v>77</v>
      </c>
      <c r="H6" s="10" t="s">
        <v>77</v>
      </c>
      <c r="I6" s="10" t="s">
        <v>77</v>
      </c>
      <c r="K6" s="10" t="s">
        <v>77</v>
      </c>
      <c r="L6" s="10" t="s">
        <v>77</v>
      </c>
      <c r="M6" s="10" t="s">
        <v>77</v>
      </c>
      <c r="O6" s="10" t="s">
        <v>77</v>
      </c>
      <c r="P6" s="10" t="s">
        <v>77</v>
      </c>
      <c r="Q6" s="10" t="s">
        <v>77</v>
      </c>
    </row>
    <row r="7" customFormat="false" ht="15" hidden="false" customHeight="false" outlineLevel="0" collapsed="false">
      <c r="B7" s="2" t="n">
        <v>6</v>
      </c>
      <c r="C7" s="10" t="s">
        <v>77</v>
      </c>
      <c r="D7" s="10" t="s">
        <v>77</v>
      </c>
      <c r="E7" s="10" t="s">
        <v>77</v>
      </c>
      <c r="G7" s="10" t="s">
        <v>77</v>
      </c>
      <c r="H7" s="10" t="s">
        <v>77</v>
      </c>
      <c r="I7" s="10" t="s">
        <v>77</v>
      </c>
      <c r="K7" s="10" t="s">
        <v>77</v>
      </c>
      <c r="L7" s="10" t="s">
        <v>77</v>
      </c>
      <c r="M7" s="10" t="s">
        <v>77</v>
      </c>
      <c r="O7" s="10" t="s">
        <v>77</v>
      </c>
      <c r="P7" s="10" t="s">
        <v>77</v>
      </c>
      <c r="Q7" s="10" t="s">
        <v>77</v>
      </c>
    </row>
    <row r="8" customFormat="false" ht="15" hidden="false" customHeight="false" outlineLevel="0" collapsed="false">
      <c r="B8" s="2" t="n">
        <v>7</v>
      </c>
      <c r="C8" s="10" t="s">
        <v>77</v>
      </c>
      <c r="D8" s="10" t="s">
        <v>77</v>
      </c>
      <c r="E8" s="10" t="s">
        <v>77</v>
      </c>
      <c r="G8" s="10" t="s">
        <v>77</v>
      </c>
      <c r="H8" s="10" t="s">
        <v>77</v>
      </c>
      <c r="I8" s="10" t="s">
        <v>77</v>
      </c>
      <c r="K8" s="10" t="s">
        <v>77</v>
      </c>
      <c r="L8" s="10" t="s">
        <v>77</v>
      </c>
      <c r="M8" s="10" t="s">
        <v>77</v>
      </c>
      <c r="O8" s="10" t="s">
        <v>77</v>
      </c>
      <c r="P8" s="10" t="s">
        <v>77</v>
      </c>
      <c r="Q8" s="10" t="s">
        <v>77</v>
      </c>
    </row>
    <row r="9" customFormat="false" ht="15" hidden="false" customHeight="false" outlineLevel="0" collapsed="false">
      <c r="B9" s="2" t="n">
        <v>8</v>
      </c>
      <c r="C9" s="10" t="s">
        <v>77</v>
      </c>
      <c r="D9" s="10" t="s">
        <v>77</v>
      </c>
      <c r="E9" s="10" t="s">
        <v>77</v>
      </c>
      <c r="G9" s="10" t="s">
        <v>77</v>
      </c>
      <c r="H9" s="10" t="s">
        <v>77</v>
      </c>
      <c r="I9" s="10" t="s">
        <v>77</v>
      </c>
      <c r="K9" s="10" t="s">
        <v>77</v>
      </c>
      <c r="L9" s="10" t="s">
        <v>77</v>
      </c>
      <c r="M9" s="10" t="s">
        <v>77</v>
      </c>
      <c r="O9" s="10" t="s">
        <v>77</v>
      </c>
      <c r="P9" s="10" t="s">
        <v>77</v>
      </c>
      <c r="Q9" s="10" t="s">
        <v>77</v>
      </c>
    </row>
    <row r="10" customFormat="false" ht="15" hidden="false" customHeight="false" outlineLevel="0" collapsed="false">
      <c r="B10" s="2" t="n">
        <v>9</v>
      </c>
      <c r="C10" s="10" t="s">
        <v>77</v>
      </c>
      <c r="D10" s="10" t="s">
        <v>77</v>
      </c>
      <c r="E10" s="10" t="s">
        <v>77</v>
      </c>
      <c r="G10" s="10" t="s">
        <v>77</v>
      </c>
      <c r="H10" s="10" t="s">
        <v>77</v>
      </c>
      <c r="I10" s="10" t="s">
        <v>77</v>
      </c>
      <c r="K10" s="10" t="s">
        <v>77</v>
      </c>
      <c r="L10" s="10" t="s">
        <v>77</v>
      </c>
      <c r="M10" s="10" t="s">
        <v>77</v>
      </c>
      <c r="O10" s="10" t="s">
        <v>77</v>
      </c>
      <c r="P10" s="10" t="s">
        <v>77</v>
      </c>
      <c r="Q10" s="10" t="s">
        <v>77</v>
      </c>
    </row>
    <row r="11" customFormat="false" ht="15" hidden="false" customHeight="false" outlineLevel="0" collapsed="false">
      <c r="B11" s="2" t="n">
        <v>10</v>
      </c>
      <c r="C11" s="10" t="s">
        <v>77</v>
      </c>
      <c r="D11" s="10" t="s">
        <v>77</v>
      </c>
      <c r="E11" s="10" t="s">
        <v>77</v>
      </c>
      <c r="G11" s="10" t="s">
        <v>77</v>
      </c>
      <c r="H11" s="10" t="s">
        <v>77</v>
      </c>
      <c r="I11" s="10" t="s">
        <v>77</v>
      </c>
      <c r="K11" s="10" t="s">
        <v>77</v>
      </c>
      <c r="L11" s="10" t="s">
        <v>77</v>
      </c>
      <c r="M11" s="10" t="s">
        <v>77</v>
      </c>
      <c r="O11" s="10" t="s">
        <v>77</v>
      </c>
      <c r="P11" s="10" t="s">
        <v>77</v>
      </c>
      <c r="Q11" s="10" t="s">
        <v>77</v>
      </c>
    </row>
    <row r="12" customFormat="false" ht="15" hidden="false" customHeight="false" outlineLevel="0" collapsed="false">
      <c r="B12" s="2" t="n">
        <v>11</v>
      </c>
      <c r="C12" s="10" t="s">
        <v>77</v>
      </c>
      <c r="D12" s="10" t="s">
        <v>77</v>
      </c>
      <c r="E12" s="10" t="s">
        <v>77</v>
      </c>
      <c r="G12" s="10" t="s">
        <v>77</v>
      </c>
      <c r="H12" s="10" t="s">
        <v>77</v>
      </c>
      <c r="I12" s="10" t="s">
        <v>77</v>
      </c>
      <c r="K12" s="10" t="s">
        <v>77</v>
      </c>
      <c r="L12" s="10" t="s">
        <v>77</v>
      </c>
      <c r="M12" s="10" t="s">
        <v>77</v>
      </c>
      <c r="O12" s="10" t="s">
        <v>77</v>
      </c>
      <c r="P12" s="10" t="s">
        <v>77</v>
      </c>
      <c r="Q12" s="10" t="s">
        <v>77</v>
      </c>
    </row>
    <row r="13" customFormat="false" ht="15" hidden="false" customHeight="false" outlineLevel="0" collapsed="false">
      <c r="A13" s="3" t="s">
        <v>141</v>
      </c>
      <c r="B13" s="2" t="n">
        <v>12</v>
      </c>
      <c r="C13" s="10" t="s">
        <v>77</v>
      </c>
      <c r="D13" s="10" t="s">
        <v>77</v>
      </c>
      <c r="E13" s="10" t="s">
        <v>77</v>
      </c>
      <c r="G13" s="10" t="s">
        <v>77</v>
      </c>
      <c r="H13" s="10" t="s">
        <v>77</v>
      </c>
      <c r="I13" s="10" t="s">
        <v>77</v>
      </c>
      <c r="K13" s="10" t="s">
        <v>77</v>
      </c>
      <c r="L13" s="10" t="s">
        <v>77</v>
      </c>
      <c r="M13" s="10" t="s">
        <v>77</v>
      </c>
      <c r="O13" s="10" t="s">
        <v>77</v>
      </c>
      <c r="P13" s="10" t="s">
        <v>77</v>
      </c>
      <c r="Q13" s="10" t="s">
        <v>77</v>
      </c>
    </row>
    <row r="14" customFormat="false" ht="15" hidden="false" customHeight="false" outlineLevel="0" collapsed="false">
      <c r="B14" s="2" t="n">
        <v>13</v>
      </c>
      <c r="C14" s="10" t="s">
        <v>77</v>
      </c>
      <c r="D14" s="10" t="s">
        <v>77</v>
      </c>
      <c r="E14" s="10" t="s">
        <v>77</v>
      </c>
      <c r="G14" s="10" t="s">
        <v>77</v>
      </c>
      <c r="H14" s="10" t="s">
        <v>77</v>
      </c>
      <c r="I14" s="10" t="s">
        <v>77</v>
      </c>
      <c r="K14" s="10" t="s">
        <v>77</v>
      </c>
      <c r="L14" s="10" t="s">
        <v>77</v>
      </c>
      <c r="M14" s="10" t="s">
        <v>77</v>
      </c>
      <c r="O14" s="10" t="s">
        <v>77</v>
      </c>
      <c r="P14" s="10" t="s">
        <v>77</v>
      </c>
      <c r="Q14" s="10" t="s">
        <v>77</v>
      </c>
    </row>
    <row r="15" customFormat="false" ht="15" hidden="false" customHeight="false" outlineLevel="0" collapsed="false">
      <c r="B15" s="2" t="n">
        <v>14</v>
      </c>
      <c r="C15" s="10" t="s">
        <v>77</v>
      </c>
      <c r="D15" s="10" t="s">
        <v>77</v>
      </c>
      <c r="E15" s="10" t="s">
        <v>77</v>
      </c>
      <c r="G15" s="10" t="s">
        <v>77</v>
      </c>
      <c r="H15" s="10" t="s">
        <v>77</v>
      </c>
      <c r="I15" s="10" t="s">
        <v>77</v>
      </c>
      <c r="K15" s="10" t="s">
        <v>77</v>
      </c>
      <c r="L15" s="10" t="s">
        <v>77</v>
      </c>
      <c r="M15" s="10" t="s">
        <v>77</v>
      </c>
      <c r="O15" s="10" t="s">
        <v>77</v>
      </c>
      <c r="P15" s="10" t="s">
        <v>77</v>
      </c>
      <c r="Q15" s="10" t="s">
        <v>77</v>
      </c>
    </row>
    <row r="16" customFormat="false" ht="15" hidden="false" customHeight="false" outlineLevel="0" collapsed="false">
      <c r="B16" s="2" t="n">
        <v>15</v>
      </c>
      <c r="C16" s="10" t="s">
        <v>77</v>
      </c>
      <c r="D16" s="10" t="s">
        <v>77</v>
      </c>
      <c r="E16" s="10" t="s">
        <v>77</v>
      </c>
      <c r="G16" s="10" t="s">
        <v>77</v>
      </c>
      <c r="H16" s="10" t="s">
        <v>77</v>
      </c>
      <c r="I16" s="10" t="s">
        <v>77</v>
      </c>
      <c r="K16" s="10" t="s">
        <v>77</v>
      </c>
      <c r="L16" s="10" t="s">
        <v>77</v>
      </c>
      <c r="M16" s="10" t="s">
        <v>77</v>
      </c>
      <c r="O16" s="10" t="s">
        <v>77</v>
      </c>
      <c r="P16" s="10" t="s">
        <v>77</v>
      </c>
      <c r="Q16" s="10" t="s">
        <v>77</v>
      </c>
    </row>
    <row r="17" customFormat="false" ht="15" hidden="false" customHeight="false" outlineLevel="0" collapsed="false">
      <c r="B17" s="2" t="n">
        <v>16</v>
      </c>
      <c r="C17" s="10" t="s">
        <v>77</v>
      </c>
      <c r="D17" s="10" t="s">
        <v>77</v>
      </c>
      <c r="E17" s="10" t="s">
        <v>77</v>
      </c>
      <c r="G17" s="10" t="s">
        <v>77</v>
      </c>
      <c r="H17" s="10" t="s">
        <v>77</v>
      </c>
      <c r="I17" s="10" t="s">
        <v>77</v>
      </c>
      <c r="K17" s="10" t="s">
        <v>77</v>
      </c>
      <c r="L17" s="10" t="s">
        <v>77</v>
      </c>
      <c r="M17" s="10" t="s">
        <v>77</v>
      </c>
      <c r="O17" s="10" t="s">
        <v>77</v>
      </c>
      <c r="P17" s="10" t="s">
        <v>77</v>
      </c>
      <c r="Q17" s="10" t="s">
        <v>77</v>
      </c>
    </row>
    <row r="18" customFormat="false" ht="15" hidden="false" customHeight="false" outlineLevel="0" collapsed="false">
      <c r="B18" s="2" t="n">
        <v>17</v>
      </c>
      <c r="C18" s="10" t="s">
        <v>77</v>
      </c>
      <c r="D18" s="10" t="s">
        <v>77</v>
      </c>
      <c r="E18" s="10" t="s">
        <v>77</v>
      </c>
      <c r="G18" s="10" t="s">
        <v>77</v>
      </c>
      <c r="H18" s="10" t="s">
        <v>77</v>
      </c>
      <c r="I18" s="10" t="s">
        <v>77</v>
      </c>
      <c r="K18" s="10" t="s">
        <v>77</v>
      </c>
      <c r="L18" s="10" t="s">
        <v>77</v>
      </c>
      <c r="M18" s="10" t="s">
        <v>77</v>
      </c>
      <c r="O18" s="10" t="s">
        <v>77</v>
      </c>
      <c r="P18" s="10" t="s">
        <v>77</v>
      </c>
      <c r="Q18" s="10" t="s">
        <v>77</v>
      </c>
    </row>
    <row r="19" customFormat="false" ht="15" hidden="false" customHeight="false" outlineLevel="0" collapsed="false">
      <c r="B19" s="2" t="n">
        <v>18</v>
      </c>
      <c r="C19" s="10" t="s">
        <v>77</v>
      </c>
      <c r="D19" s="10" t="s">
        <v>77</v>
      </c>
      <c r="E19" s="10" t="s">
        <v>77</v>
      </c>
      <c r="G19" s="10" t="s">
        <v>77</v>
      </c>
      <c r="H19" s="10" t="s">
        <v>77</v>
      </c>
      <c r="I19" s="10" t="s">
        <v>77</v>
      </c>
      <c r="K19" s="10" t="s">
        <v>77</v>
      </c>
      <c r="L19" s="10" t="s">
        <v>77</v>
      </c>
      <c r="M19" s="10" t="s">
        <v>77</v>
      </c>
      <c r="O19" s="10" t="s">
        <v>77</v>
      </c>
      <c r="P19" s="10" t="s">
        <v>77</v>
      </c>
      <c r="Q19" s="10" t="s">
        <v>77</v>
      </c>
    </row>
    <row r="20" customFormat="false" ht="15" hidden="false" customHeight="false" outlineLevel="0" collapsed="false">
      <c r="B20" s="2" t="n">
        <v>19</v>
      </c>
      <c r="C20" s="10" t="s">
        <v>77</v>
      </c>
      <c r="D20" s="10" t="s">
        <v>77</v>
      </c>
      <c r="E20" s="10" t="s">
        <v>77</v>
      </c>
      <c r="G20" s="10" t="s">
        <v>77</v>
      </c>
      <c r="H20" s="10" t="s">
        <v>77</v>
      </c>
      <c r="I20" s="10" t="s">
        <v>77</v>
      </c>
      <c r="K20" s="10" t="s">
        <v>77</v>
      </c>
      <c r="L20" s="10" t="s">
        <v>77</v>
      </c>
      <c r="M20" s="10" t="s">
        <v>77</v>
      </c>
      <c r="O20" s="10" t="s">
        <v>77</v>
      </c>
      <c r="P20" s="10" t="s">
        <v>77</v>
      </c>
      <c r="Q20" s="10" t="s">
        <v>77</v>
      </c>
    </row>
    <row r="21" customFormat="false" ht="15" hidden="false" customHeight="false" outlineLevel="0" collapsed="false">
      <c r="B21" s="2" t="n">
        <v>20</v>
      </c>
      <c r="C21" s="10" t="s">
        <v>77</v>
      </c>
      <c r="D21" s="10" t="s">
        <v>77</v>
      </c>
      <c r="E21" s="10" t="s">
        <v>77</v>
      </c>
      <c r="G21" s="10" t="s">
        <v>77</v>
      </c>
      <c r="H21" s="10" t="s">
        <v>77</v>
      </c>
      <c r="I21" s="10" t="s">
        <v>77</v>
      </c>
      <c r="K21" s="10" t="s">
        <v>77</v>
      </c>
      <c r="L21" s="10" t="s">
        <v>77</v>
      </c>
      <c r="M21" s="10" t="s">
        <v>77</v>
      </c>
      <c r="O21" s="10" t="s">
        <v>77</v>
      </c>
      <c r="P21" s="10" t="s">
        <v>77</v>
      </c>
      <c r="Q21" s="10" t="s">
        <v>77</v>
      </c>
    </row>
    <row r="22" customFormat="false" ht="15" hidden="false" customHeight="false" outlineLevel="0" collapsed="false">
      <c r="B22" s="2" t="n">
        <v>21</v>
      </c>
      <c r="C22" s="10" t="s">
        <v>77</v>
      </c>
      <c r="D22" s="10" t="s">
        <v>77</v>
      </c>
      <c r="E22" s="10" t="s">
        <v>77</v>
      </c>
      <c r="G22" s="10" t="s">
        <v>77</v>
      </c>
      <c r="H22" s="10" t="s">
        <v>77</v>
      </c>
      <c r="I22" s="10" t="s">
        <v>77</v>
      </c>
      <c r="K22" s="10" t="s">
        <v>77</v>
      </c>
      <c r="L22" s="10" t="s">
        <v>77</v>
      </c>
      <c r="M22" s="10" t="s">
        <v>77</v>
      </c>
      <c r="O22" s="10" t="s">
        <v>77</v>
      </c>
      <c r="P22" s="10" t="s">
        <v>77</v>
      </c>
      <c r="Q22" s="10" t="s">
        <v>77</v>
      </c>
    </row>
    <row r="23" customFormat="false" ht="15" hidden="false" customHeight="false" outlineLevel="0" collapsed="false">
      <c r="B23" s="2" t="n">
        <v>22</v>
      </c>
      <c r="C23" s="10" t="s">
        <v>77</v>
      </c>
      <c r="D23" s="10" t="s">
        <v>77</v>
      </c>
      <c r="E23" s="10" t="s">
        <v>77</v>
      </c>
      <c r="G23" s="10" t="s">
        <v>77</v>
      </c>
      <c r="H23" s="10" t="s">
        <v>77</v>
      </c>
      <c r="I23" s="10" t="s">
        <v>77</v>
      </c>
      <c r="K23" s="10" t="s">
        <v>77</v>
      </c>
      <c r="L23" s="10" t="s">
        <v>77</v>
      </c>
      <c r="M23" s="10" t="s">
        <v>77</v>
      </c>
      <c r="O23" s="10" t="s">
        <v>77</v>
      </c>
      <c r="P23" s="10" t="s">
        <v>77</v>
      </c>
      <c r="Q23" s="10" t="s">
        <v>77</v>
      </c>
    </row>
    <row r="24" customFormat="false" ht="15" hidden="false" customHeight="false" outlineLevel="0" collapsed="false">
      <c r="B24" s="2" t="n">
        <v>23</v>
      </c>
      <c r="C24" s="10" t="s">
        <v>77</v>
      </c>
      <c r="D24" s="10" t="s">
        <v>77</v>
      </c>
      <c r="E24" s="10" t="s">
        <v>77</v>
      </c>
      <c r="G24" s="10" t="s">
        <v>77</v>
      </c>
      <c r="H24" s="10" t="s">
        <v>77</v>
      </c>
      <c r="I24" s="10" t="s">
        <v>77</v>
      </c>
      <c r="K24" s="10" t="s">
        <v>77</v>
      </c>
      <c r="L24" s="10" t="s">
        <v>77</v>
      </c>
      <c r="M24" s="10" t="s">
        <v>77</v>
      </c>
      <c r="O24" s="10" t="s">
        <v>77</v>
      </c>
      <c r="P24" s="10" t="s">
        <v>77</v>
      </c>
      <c r="Q24" s="10" t="s">
        <v>77</v>
      </c>
    </row>
    <row r="25" customFormat="false" ht="15" hidden="false" customHeight="false" outlineLevel="0" collapsed="false">
      <c r="B25" s="2" t="n">
        <v>24</v>
      </c>
      <c r="C25" s="10" t="s">
        <v>77</v>
      </c>
      <c r="D25" s="10" t="s">
        <v>77</v>
      </c>
      <c r="E25" s="10" t="s">
        <v>77</v>
      </c>
      <c r="G25" s="10" t="s">
        <v>77</v>
      </c>
      <c r="H25" s="10" t="s">
        <v>77</v>
      </c>
      <c r="I25" s="10" t="s">
        <v>77</v>
      </c>
      <c r="K25" s="10" t="s">
        <v>77</v>
      </c>
      <c r="L25" s="10" t="s">
        <v>77</v>
      </c>
      <c r="M25" s="10" t="s">
        <v>77</v>
      </c>
      <c r="O25" s="10" t="s">
        <v>77</v>
      </c>
      <c r="P25" s="10" t="s">
        <v>77</v>
      </c>
      <c r="Q25" s="10" t="s">
        <v>77</v>
      </c>
    </row>
    <row r="26" customFormat="false" ht="15" hidden="false" customHeight="false" outlineLevel="0" collapsed="false">
      <c r="B26" s="2" t="n">
        <v>25</v>
      </c>
      <c r="C26" s="10" t="s">
        <v>77</v>
      </c>
      <c r="D26" s="10" t="s">
        <v>77</v>
      </c>
      <c r="E26" s="10" t="s">
        <v>77</v>
      </c>
      <c r="G26" s="10" t="s">
        <v>77</v>
      </c>
      <c r="H26" s="10" t="s">
        <v>77</v>
      </c>
      <c r="I26" s="10" t="s">
        <v>77</v>
      </c>
      <c r="K26" s="10" t="s">
        <v>77</v>
      </c>
      <c r="L26" s="10" t="s">
        <v>77</v>
      </c>
      <c r="M26" s="10" t="s">
        <v>77</v>
      </c>
      <c r="O26" s="10" t="s">
        <v>77</v>
      </c>
      <c r="P26" s="10" t="s">
        <v>77</v>
      </c>
      <c r="Q26" s="10" t="s">
        <v>77</v>
      </c>
    </row>
    <row r="27" customFormat="false" ht="15" hidden="false" customHeight="false" outlineLevel="0" collapsed="false">
      <c r="B27" s="2" t="n">
        <v>26</v>
      </c>
      <c r="C27" s="10" t="s">
        <v>77</v>
      </c>
      <c r="D27" s="10" t="s">
        <v>77</v>
      </c>
      <c r="E27" s="10" t="s">
        <v>77</v>
      </c>
      <c r="G27" s="10" t="s">
        <v>77</v>
      </c>
      <c r="H27" s="10" t="s">
        <v>77</v>
      </c>
      <c r="I27" s="10" t="s">
        <v>77</v>
      </c>
      <c r="K27" s="10" t="s">
        <v>77</v>
      </c>
      <c r="L27" s="10" t="s">
        <v>77</v>
      </c>
      <c r="M27" s="10" t="s">
        <v>77</v>
      </c>
      <c r="O27" s="10" t="s">
        <v>77</v>
      </c>
      <c r="P27" s="10" t="s">
        <v>77</v>
      </c>
      <c r="Q27" s="10" t="s">
        <v>77</v>
      </c>
    </row>
    <row r="28" customFormat="false" ht="15" hidden="false" customHeight="false" outlineLevel="0" collapsed="false">
      <c r="B28" s="2" t="n">
        <v>27</v>
      </c>
      <c r="C28" s="10" t="s">
        <v>77</v>
      </c>
      <c r="D28" s="10" t="s">
        <v>77</v>
      </c>
      <c r="E28" s="10" t="s">
        <v>77</v>
      </c>
      <c r="G28" s="10" t="s">
        <v>77</v>
      </c>
      <c r="H28" s="10" t="s">
        <v>77</v>
      </c>
      <c r="I28" s="10" t="s">
        <v>77</v>
      </c>
      <c r="K28" s="10" t="s">
        <v>77</v>
      </c>
      <c r="L28" s="10" t="s">
        <v>77</v>
      </c>
      <c r="M28" s="10" t="s">
        <v>77</v>
      </c>
      <c r="O28" s="10" t="s">
        <v>77</v>
      </c>
      <c r="P28" s="10" t="s">
        <v>77</v>
      </c>
      <c r="Q28" s="10" t="s">
        <v>77</v>
      </c>
    </row>
    <row r="29" customFormat="false" ht="15" hidden="false" customHeight="false" outlineLevel="0" collapsed="false">
      <c r="B29" s="2" t="n">
        <v>28</v>
      </c>
      <c r="C29" s="10" t="s">
        <v>77</v>
      </c>
      <c r="D29" s="10" t="s">
        <v>77</v>
      </c>
      <c r="E29" s="10" t="s">
        <v>77</v>
      </c>
      <c r="G29" s="10" t="s">
        <v>77</v>
      </c>
      <c r="H29" s="10" t="s">
        <v>77</v>
      </c>
      <c r="I29" s="10" t="s">
        <v>77</v>
      </c>
      <c r="K29" s="10" t="s">
        <v>77</v>
      </c>
      <c r="L29" s="10" t="s">
        <v>77</v>
      </c>
      <c r="M29" s="10" t="s">
        <v>77</v>
      </c>
      <c r="O29" s="10" t="s">
        <v>77</v>
      </c>
      <c r="P29" s="10" t="s">
        <v>77</v>
      </c>
      <c r="Q29" s="10" t="s">
        <v>77</v>
      </c>
    </row>
    <row r="30" customFormat="false" ht="15" hidden="false" customHeight="false" outlineLevel="0" collapsed="false">
      <c r="B30" s="2" t="n">
        <v>29</v>
      </c>
      <c r="C30" s="10" t="s">
        <v>77</v>
      </c>
      <c r="D30" s="10" t="s">
        <v>77</v>
      </c>
      <c r="E30" s="10" t="s">
        <v>77</v>
      </c>
      <c r="G30" s="10" t="s">
        <v>77</v>
      </c>
      <c r="H30" s="10" t="s">
        <v>77</v>
      </c>
      <c r="I30" s="10" t="s">
        <v>77</v>
      </c>
      <c r="K30" s="10" t="s">
        <v>77</v>
      </c>
      <c r="L30" s="10" t="s">
        <v>77</v>
      </c>
      <c r="M30" s="10" t="s">
        <v>77</v>
      </c>
      <c r="O30" s="10" t="s">
        <v>77</v>
      </c>
      <c r="P30" s="10" t="s">
        <v>77</v>
      </c>
      <c r="Q30" s="10" t="s">
        <v>77</v>
      </c>
    </row>
    <row r="31" customFormat="false" ht="15" hidden="false" customHeight="false" outlineLevel="0" collapsed="false">
      <c r="B31" s="2" t="n">
        <v>30</v>
      </c>
      <c r="C31" s="10" t="s">
        <v>77</v>
      </c>
      <c r="D31" s="10" t="s">
        <v>77</v>
      </c>
      <c r="E31" s="10" t="s">
        <v>77</v>
      </c>
      <c r="G31" s="10" t="s">
        <v>77</v>
      </c>
      <c r="H31" s="10" t="s">
        <v>77</v>
      </c>
      <c r="I31" s="10" t="s">
        <v>77</v>
      </c>
      <c r="K31" s="10" t="s">
        <v>77</v>
      </c>
      <c r="L31" s="10" t="s">
        <v>77</v>
      </c>
      <c r="M31" s="10" t="s">
        <v>77</v>
      </c>
      <c r="O31" s="10" t="s">
        <v>77</v>
      </c>
      <c r="P31" s="10" t="s">
        <v>77</v>
      </c>
      <c r="Q31" s="10" t="s">
        <v>77</v>
      </c>
    </row>
    <row r="32" customFormat="false" ht="15" hidden="false" customHeight="false" outlineLevel="0" collapsed="false">
      <c r="B32" s="2" t="n">
        <v>31</v>
      </c>
      <c r="C32" s="10" t="s">
        <v>77</v>
      </c>
      <c r="D32" s="10" t="s">
        <v>77</v>
      </c>
      <c r="E32" s="10" t="s">
        <v>77</v>
      </c>
      <c r="G32" s="10" t="s">
        <v>77</v>
      </c>
      <c r="H32" s="10" t="s">
        <v>77</v>
      </c>
      <c r="I32" s="10" t="s">
        <v>77</v>
      </c>
      <c r="K32" s="10" t="s">
        <v>77</v>
      </c>
      <c r="L32" s="10" t="s">
        <v>77</v>
      </c>
      <c r="M32" s="10" t="s">
        <v>77</v>
      </c>
      <c r="O32" s="10" t="s">
        <v>77</v>
      </c>
      <c r="P32" s="10" t="s">
        <v>77</v>
      </c>
      <c r="Q32" s="10" t="s">
        <v>77</v>
      </c>
    </row>
    <row r="33" customFormat="false" ht="15" hidden="false" customHeight="false" outlineLevel="0" collapsed="false">
      <c r="A33" s="3" t="s">
        <v>142</v>
      </c>
      <c r="B33" s="2" t="n">
        <v>32</v>
      </c>
      <c r="C33" s="10" t="s">
        <v>77</v>
      </c>
      <c r="D33" s="10" t="s">
        <v>77</v>
      </c>
      <c r="E33" s="10" t="s">
        <v>77</v>
      </c>
      <c r="G33" s="10" t="s">
        <v>77</v>
      </c>
      <c r="H33" s="10" t="s">
        <v>77</v>
      </c>
      <c r="I33" s="10" t="s">
        <v>77</v>
      </c>
      <c r="K33" s="10" t="s">
        <v>77</v>
      </c>
      <c r="L33" s="10" t="s">
        <v>77</v>
      </c>
      <c r="M33" s="10" t="s">
        <v>77</v>
      </c>
      <c r="O33" s="10" t="s">
        <v>77</v>
      </c>
      <c r="P33" s="10" t="s">
        <v>77</v>
      </c>
      <c r="Q33" s="10" t="s">
        <v>77</v>
      </c>
    </row>
    <row r="34" customFormat="false" ht="15" hidden="false" customHeight="false" outlineLevel="0" collapsed="false">
      <c r="B34" s="2" t="n">
        <v>33</v>
      </c>
      <c r="C34" s="10" t="s">
        <v>77</v>
      </c>
      <c r="D34" s="10" t="s">
        <v>77</v>
      </c>
      <c r="E34" s="10" t="s">
        <v>77</v>
      </c>
      <c r="O34" s="10" t="s">
        <v>77</v>
      </c>
      <c r="P34" s="10" t="s">
        <v>77</v>
      </c>
      <c r="Q34" s="10" t="s">
        <v>77</v>
      </c>
    </row>
    <row r="35" customFormat="false" ht="15" hidden="false" customHeight="false" outlineLevel="0" collapsed="false">
      <c r="B35" s="2" t="n">
        <v>34</v>
      </c>
      <c r="C35" s="10" t="s">
        <v>77</v>
      </c>
      <c r="D35" s="10" t="s">
        <v>77</v>
      </c>
      <c r="E35" s="10" t="s">
        <v>77</v>
      </c>
      <c r="O35" s="10" t="s">
        <v>77</v>
      </c>
      <c r="P35" s="10" t="s">
        <v>77</v>
      </c>
      <c r="Q35" s="10" t="s">
        <v>77</v>
      </c>
    </row>
    <row r="36" customFormat="false" ht="15" hidden="false" customHeight="false" outlineLevel="0" collapsed="false">
      <c r="B36" s="2" t="n">
        <v>35</v>
      </c>
      <c r="C36" s="10" t="s">
        <v>77</v>
      </c>
      <c r="D36" s="10" t="s">
        <v>77</v>
      </c>
      <c r="E36" s="10" t="s">
        <v>77</v>
      </c>
      <c r="O36" s="10" t="s">
        <v>77</v>
      </c>
      <c r="P36" s="10" t="s">
        <v>77</v>
      </c>
      <c r="Q36" s="10" t="s">
        <v>77</v>
      </c>
    </row>
    <row r="37" customFormat="false" ht="15" hidden="false" customHeight="false" outlineLevel="0" collapsed="false">
      <c r="B37" s="2" t="n">
        <v>36</v>
      </c>
      <c r="C37" s="10" t="s">
        <v>77</v>
      </c>
      <c r="D37" s="10" t="s">
        <v>77</v>
      </c>
      <c r="E37" s="10" t="s">
        <v>77</v>
      </c>
      <c r="O37" s="10" t="s">
        <v>77</v>
      </c>
      <c r="P37" s="10" t="s">
        <v>77</v>
      </c>
      <c r="Q37" s="10" t="s">
        <v>77</v>
      </c>
    </row>
    <row r="38" customFormat="false" ht="15" hidden="false" customHeight="false" outlineLevel="0" collapsed="false">
      <c r="B38" s="2" t="n">
        <v>37</v>
      </c>
      <c r="C38" s="10" t="s">
        <v>77</v>
      </c>
      <c r="D38" s="10" t="s">
        <v>77</v>
      </c>
      <c r="E38" s="10" t="s">
        <v>77</v>
      </c>
      <c r="O38" s="10" t="s">
        <v>77</v>
      </c>
      <c r="P38" s="10" t="s">
        <v>77</v>
      </c>
      <c r="Q38" s="10" t="s">
        <v>77</v>
      </c>
    </row>
    <row r="39" customFormat="false" ht="15" hidden="false" customHeight="false" outlineLevel="0" collapsed="false">
      <c r="B39" s="2" t="n">
        <v>38</v>
      </c>
      <c r="C39" s="10" t="s">
        <v>77</v>
      </c>
      <c r="D39" s="10" t="s">
        <v>77</v>
      </c>
      <c r="E39" s="10" t="s">
        <v>77</v>
      </c>
      <c r="O39" s="10" t="s">
        <v>77</v>
      </c>
      <c r="P39" s="10" t="s">
        <v>77</v>
      </c>
      <c r="Q39" s="10" t="s">
        <v>77</v>
      </c>
    </row>
    <row r="40" customFormat="false" ht="15" hidden="false" customHeight="false" outlineLevel="0" collapsed="false">
      <c r="B40" s="2" t="n">
        <v>39</v>
      </c>
      <c r="C40" s="10" t="s">
        <v>77</v>
      </c>
      <c r="D40" s="10" t="s">
        <v>77</v>
      </c>
      <c r="E40" s="10" t="s">
        <v>77</v>
      </c>
      <c r="O40" s="10" t="s">
        <v>77</v>
      </c>
      <c r="P40" s="10" t="s">
        <v>77</v>
      </c>
      <c r="Q40" s="10" t="s">
        <v>77</v>
      </c>
    </row>
    <row r="41" customFormat="false" ht="15" hidden="false" customHeight="false" outlineLevel="0" collapsed="false">
      <c r="B41" s="2" t="n">
        <v>40</v>
      </c>
      <c r="C41" s="10" t="s">
        <v>77</v>
      </c>
      <c r="D41" s="10" t="s">
        <v>77</v>
      </c>
      <c r="E41" s="10" t="s">
        <v>77</v>
      </c>
      <c r="O41" s="10" t="s">
        <v>77</v>
      </c>
      <c r="P41" s="10" t="s">
        <v>77</v>
      </c>
      <c r="Q41" s="10" t="s">
        <v>77</v>
      </c>
    </row>
    <row r="42" customFormat="false" ht="15" hidden="false" customHeight="false" outlineLevel="0" collapsed="false">
      <c r="B42" s="2" t="n">
        <v>41</v>
      </c>
      <c r="C42" s="10" t="s">
        <v>77</v>
      </c>
      <c r="D42" s="10" t="s">
        <v>77</v>
      </c>
      <c r="E42" s="10" t="s">
        <v>77</v>
      </c>
      <c r="O42" s="10" t="s">
        <v>77</v>
      </c>
      <c r="P42" s="10" t="s">
        <v>77</v>
      </c>
      <c r="Q42" s="10" t="s">
        <v>77</v>
      </c>
    </row>
    <row r="43" customFormat="false" ht="15" hidden="false" customHeight="false" outlineLevel="0" collapsed="false">
      <c r="B43" s="2" t="n">
        <v>42</v>
      </c>
      <c r="C43" s="10" t="s">
        <v>77</v>
      </c>
      <c r="D43" s="10" t="s">
        <v>77</v>
      </c>
      <c r="E43" s="10" t="s">
        <v>77</v>
      </c>
      <c r="O43" s="10" t="s">
        <v>77</v>
      </c>
      <c r="P43" s="10" t="s">
        <v>77</v>
      </c>
      <c r="Q43" s="10" t="s">
        <v>77</v>
      </c>
    </row>
    <row r="44" customFormat="false" ht="15" hidden="false" customHeight="false" outlineLevel="0" collapsed="false">
      <c r="B44" s="2" t="n">
        <v>43</v>
      </c>
      <c r="C44" s="10" t="s">
        <v>77</v>
      </c>
      <c r="D44" s="10" t="s">
        <v>77</v>
      </c>
      <c r="E44" s="10" t="s">
        <v>77</v>
      </c>
      <c r="O44" s="10" t="s">
        <v>77</v>
      </c>
      <c r="P44" s="10" t="s">
        <v>77</v>
      </c>
      <c r="Q44" s="10" t="s">
        <v>77</v>
      </c>
    </row>
    <row r="45" customFormat="false" ht="15" hidden="false" customHeight="false" outlineLevel="0" collapsed="false">
      <c r="B45" s="2" t="n">
        <v>44</v>
      </c>
      <c r="C45" s="10" t="s">
        <v>77</v>
      </c>
      <c r="D45" s="10" t="s">
        <v>77</v>
      </c>
      <c r="E45" s="10" t="s">
        <v>77</v>
      </c>
      <c r="O45" s="10" t="s">
        <v>77</v>
      </c>
      <c r="P45" s="10" t="s">
        <v>77</v>
      </c>
      <c r="Q45" s="10" t="s">
        <v>77</v>
      </c>
    </row>
    <row r="46" customFormat="false" ht="15" hidden="false" customHeight="false" outlineLevel="0" collapsed="false">
      <c r="B46" s="2" t="n">
        <v>45</v>
      </c>
      <c r="C46" s="10" t="s">
        <v>77</v>
      </c>
      <c r="D46" s="10" t="s">
        <v>77</v>
      </c>
      <c r="E46" s="10" t="s">
        <v>77</v>
      </c>
      <c r="O46" s="10" t="s">
        <v>77</v>
      </c>
      <c r="P46" s="10" t="s">
        <v>77</v>
      </c>
      <c r="Q46" s="10" t="s">
        <v>77</v>
      </c>
    </row>
    <row r="47" customFormat="false" ht="15" hidden="false" customHeight="false" outlineLevel="0" collapsed="false">
      <c r="B47" s="2" t="n">
        <v>46</v>
      </c>
      <c r="C47" s="10" t="s">
        <v>77</v>
      </c>
      <c r="D47" s="10" t="s">
        <v>77</v>
      </c>
      <c r="E47" s="10" t="s">
        <v>77</v>
      </c>
      <c r="O47" s="10" t="s">
        <v>77</v>
      </c>
      <c r="P47" s="10" t="s">
        <v>77</v>
      </c>
      <c r="Q47" s="10" t="s">
        <v>77</v>
      </c>
    </row>
    <row r="48" customFormat="false" ht="15" hidden="false" customHeight="false" outlineLevel="0" collapsed="false">
      <c r="B48" s="2" t="n">
        <v>47</v>
      </c>
      <c r="C48" s="10" t="s">
        <v>77</v>
      </c>
      <c r="D48" s="10" t="s">
        <v>77</v>
      </c>
      <c r="E48" s="10" t="s">
        <v>77</v>
      </c>
      <c r="O48" s="10" t="s">
        <v>77</v>
      </c>
      <c r="P48" s="10" t="s">
        <v>77</v>
      </c>
      <c r="Q48" s="10" t="s">
        <v>77</v>
      </c>
    </row>
    <row r="49" customFormat="false" ht="15" hidden="false" customHeight="false" outlineLevel="0" collapsed="false">
      <c r="A49" s="3" t="s">
        <v>143</v>
      </c>
      <c r="B49" s="2" t="n">
        <v>48</v>
      </c>
      <c r="C49" s="10" t="s">
        <v>77</v>
      </c>
      <c r="D49" s="10" t="s">
        <v>77</v>
      </c>
      <c r="E49" s="10" t="s">
        <v>77</v>
      </c>
      <c r="O49" s="10" t="s">
        <v>77</v>
      </c>
      <c r="P49" s="10" t="s">
        <v>77</v>
      </c>
      <c r="Q49" s="10" t="s">
        <v>77</v>
      </c>
    </row>
    <row r="50" customFormat="false" ht="15" hidden="false" customHeight="false" outlineLevel="0" collapsed="false">
      <c r="B50" s="2" t="n">
        <v>49</v>
      </c>
      <c r="C50" s="10" t="s">
        <v>77</v>
      </c>
      <c r="D50" s="10" t="s">
        <v>77</v>
      </c>
      <c r="E50" s="10" t="s">
        <v>77</v>
      </c>
      <c r="O50" s="10" t="s">
        <v>77</v>
      </c>
      <c r="P50" s="10" t="s">
        <v>77</v>
      </c>
      <c r="Q50" s="10" t="s">
        <v>77</v>
      </c>
    </row>
    <row r="51" customFormat="false" ht="15" hidden="false" customHeight="false" outlineLevel="0" collapsed="false">
      <c r="B51" s="2" t="n">
        <v>50</v>
      </c>
      <c r="C51" s="10" t="s">
        <v>77</v>
      </c>
      <c r="D51" s="10" t="s">
        <v>77</v>
      </c>
      <c r="E51" s="10" t="s">
        <v>77</v>
      </c>
      <c r="O51" s="10" t="s">
        <v>77</v>
      </c>
      <c r="P51" s="10" t="s">
        <v>77</v>
      </c>
      <c r="Q51" s="10" t="s">
        <v>77</v>
      </c>
    </row>
    <row r="52" customFormat="false" ht="15" hidden="false" customHeight="false" outlineLevel="0" collapsed="false">
      <c r="B52" s="2" t="n">
        <v>51</v>
      </c>
      <c r="C52" s="10" t="s">
        <v>77</v>
      </c>
      <c r="D52" s="10" t="s">
        <v>77</v>
      </c>
      <c r="E52" s="10" t="s">
        <v>77</v>
      </c>
      <c r="O52" s="10" t="s">
        <v>77</v>
      </c>
      <c r="P52" s="10" t="s">
        <v>77</v>
      </c>
      <c r="Q52" s="10" t="s">
        <v>77</v>
      </c>
    </row>
    <row r="53" customFormat="false" ht="15" hidden="false" customHeight="false" outlineLevel="0" collapsed="false">
      <c r="B53" s="2" t="n">
        <v>52</v>
      </c>
      <c r="C53" s="10" t="s">
        <v>77</v>
      </c>
      <c r="D53" s="10" t="s">
        <v>77</v>
      </c>
      <c r="E53" s="10" t="s">
        <v>77</v>
      </c>
      <c r="O53" s="10" t="s">
        <v>77</v>
      </c>
      <c r="P53" s="10" t="s">
        <v>77</v>
      </c>
      <c r="Q53" s="10" t="s">
        <v>77</v>
      </c>
    </row>
    <row r="54" customFormat="false" ht="15" hidden="false" customHeight="false" outlineLevel="0" collapsed="false">
      <c r="B54" s="2" t="n">
        <v>53</v>
      </c>
      <c r="C54" s="10" t="s">
        <v>77</v>
      </c>
      <c r="D54" s="10" t="s">
        <v>77</v>
      </c>
      <c r="E54" s="10" t="s">
        <v>77</v>
      </c>
      <c r="O54" s="10" t="s">
        <v>77</v>
      </c>
      <c r="P54" s="10" t="s">
        <v>77</v>
      </c>
      <c r="Q54" s="10" t="s">
        <v>77</v>
      </c>
    </row>
    <row r="55" customFormat="false" ht="15" hidden="false" customHeight="false" outlineLevel="0" collapsed="false">
      <c r="B55" s="2" t="n">
        <v>54</v>
      </c>
      <c r="C55" s="10" t="s">
        <v>77</v>
      </c>
      <c r="D55" s="10" t="s">
        <v>77</v>
      </c>
      <c r="E55" s="10" t="s">
        <v>77</v>
      </c>
      <c r="O55" s="10" t="s">
        <v>77</v>
      </c>
      <c r="P55" s="10" t="s">
        <v>77</v>
      </c>
      <c r="Q55" s="10" t="s">
        <v>77</v>
      </c>
    </row>
    <row r="56" customFormat="false" ht="15" hidden="false" customHeight="false" outlineLevel="0" collapsed="false">
      <c r="B56" s="2" t="n">
        <v>55</v>
      </c>
      <c r="C56" s="10" t="s">
        <v>77</v>
      </c>
      <c r="D56" s="10" t="s">
        <v>77</v>
      </c>
      <c r="E56" s="10" t="s">
        <v>77</v>
      </c>
      <c r="O56" s="10" t="s">
        <v>77</v>
      </c>
      <c r="P56" s="10" t="s">
        <v>77</v>
      </c>
      <c r="Q56" s="10" t="s">
        <v>77</v>
      </c>
    </row>
    <row r="57" customFormat="false" ht="15" hidden="false" customHeight="false" outlineLevel="0" collapsed="false">
      <c r="B57" s="2" t="n">
        <v>56</v>
      </c>
      <c r="C57" s="10" t="s">
        <v>77</v>
      </c>
      <c r="D57" s="10" t="s">
        <v>77</v>
      </c>
      <c r="E57" s="10" t="s">
        <v>77</v>
      </c>
      <c r="O57" s="10" t="s">
        <v>77</v>
      </c>
      <c r="P57" s="10" t="s">
        <v>77</v>
      </c>
      <c r="Q57" s="10" t="s">
        <v>77</v>
      </c>
    </row>
    <row r="58" customFormat="false" ht="15" hidden="false" customHeight="false" outlineLevel="0" collapsed="false">
      <c r="B58" s="2" t="n">
        <v>57</v>
      </c>
      <c r="C58" s="10" t="s">
        <v>77</v>
      </c>
      <c r="D58" s="10" t="s">
        <v>77</v>
      </c>
      <c r="E58" s="10" t="s">
        <v>77</v>
      </c>
      <c r="O58" s="10" t="s">
        <v>77</v>
      </c>
      <c r="P58" s="10" t="s">
        <v>77</v>
      </c>
      <c r="Q58" s="10" t="s">
        <v>77</v>
      </c>
    </row>
    <row r="59" customFormat="false" ht="15" hidden="false" customHeight="false" outlineLevel="0" collapsed="false">
      <c r="B59" s="2" t="n">
        <v>58</v>
      </c>
      <c r="C59" s="10" t="s">
        <v>77</v>
      </c>
      <c r="D59" s="10" t="s">
        <v>77</v>
      </c>
      <c r="E59" s="10" t="s">
        <v>77</v>
      </c>
      <c r="O59" s="10" t="s">
        <v>77</v>
      </c>
      <c r="P59" s="10" t="s">
        <v>77</v>
      </c>
      <c r="Q59" s="10" t="s">
        <v>77</v>
      </c>
    </row>
    <row r="60" customFormat="false" ht="15" hidden="false" customHeight="false" outlineLevel="0" collapsed="false">
      <c r="B60" s="2" t="n">
        <v>59</v>
      </c>
      <c r="C60" s="10" t="s">
        <v>77</v>
      </c>
      <c r="D60" s="10" t="s">
        <v>77</v>
      </c>
      <c r="E60" s="10" t="s">
        <v>77</v>
      </c>
      <c r="O60" s="10" t="s">
        <v>77</v>
      </c>
      <c r="P60" s="10" t="s">
        <v>77</v>
      </c>
      <c r="Q60" s="10" t="s">
        <v>77</v>
      </c>
    </row>
    <row r="61" customFormat="false" ht="15" hidden="false" customHeight="false" outlineLevel="0" collapsed="false">
      <c r="B61" s="2" t="n">
        <v>60</v>
      </c>
      <c r="C61" s="10" t="s">
        <v>77</v>
      </c>
      <c r="D61" s="10" t="s">
        <v>77</v>
      </c>
      <c r="E61" s="10" t="s">
        <v>77</v>
      </c>
      <c r="O61" s="10" t="s">
        <v>77</v>
      </c>
      <c r="P61" s="10" t="s">
        <v>77</v>
      </c>
      <c r="Q61" s="10" t="s">
        <v>77</v>
      </c>
    </row>
    <row r="62" customFormat="false" ht="15" hidden="false" customHeight="false" outlineLevel="0" collapsed="false">
      <c r="B62" s="2" t="n">
        <v>61</v>
      </c>
      <c r="C62" s="10" t="s">
        <v>77</v>
      </c>
      <c r="D62" s="10" t="s">
        <v>77</v>
      </c>
      <c r="E62" s="10" t="s">
        <v>77</v>
      </c>
      <c r="O62" s="10" t="s">
        <v>77</v>
      </c>
      <c r="P62" s="10" t="s">
        <v>77</v>
      </c>
      <c r="Q62" s="10" t="s">
        <v>77</v>
      </c>
    </row>
    <row r="63" customFormat="false" ht="15" hidden="false" customHeight="false" outlineLevel="0" collapsed="false">
      <c r="B63" s="2" t="n">
        <v>62</v>
      </c>
      <c r="C63" s="10" t="s">
        <v>77</v>
      </c>
      <c r="D63" s="10" t="s">
        <v>77</v>
      </c>
      <c r="E63" s="10" t="s">
        <v>77</v>
      </c>
      <c r="O63" s="10" t="s">
        <v>77</v>
      </c>
      <c r="P63" s="10" t="s">
        <v>77</v>
      </c>
      <c r="Q63" s="10" t="s">
        <v>77</v>
      </c>
    </row>
    <row r="64" customFormat="false" ht="15" hidden="false" customHeight="false" outlineLevel="0" collapsed="false">
      <c r="B64" s="2" t="n">
        <v>63</v>
      </c>
      <c r="C64" s="10" t="s">
        <v>77</v>
      </c>
      <c r="D64" s="10" t="s">
        <v>77</v>
      </c>
      <c r="E64" s="10" t="s">
        <v>77</v>
      </c>
      <c r="O64" s="10" t="s">
        <v>77</v>
      </c>
      <c r="P64" s="10" t="s">
        <v>77</v>
      </c>
      <c r="Q64" s="10" t="s">
        <v>77</v>
      </c>
    </row>
    <row r="65" customFormat="false" ht="15" hidden="false" customHeight="false" outlineLevel="0" collapsed="false">
      <c r="A65" s="3" t="s">
        <v>144</v>
      </c>
      <c r="B65" s="2" t="n">
        <v>64</v>
      </c>
      <c r="C65" s="10" t="s">
        <v>77</v>
      </c>
      <c r="D65" s="10" t="s">
        <v>77</v>
      </c>
      <c r="E65" s="10" t="s">
        <v>77</v>
      </c>
      <c r="O65" s="10" t="s">
        <v>77</v>
      </c>
      <c r="P65" s="10" t="s">
        <v>77</v>
      </c>
      <c r="Q65" s="10" t="s">
        <v>77</v>
      </c>
    </row>
    <row r="66" customFormat="false" ht="15" hidden="false" customHeight="false" outlineLevel="0" collapsed="false">
      <c r="A66" s="3" t="s">
        <v>145</v>
      </c>
      <c r="B66" s="2" t="n">
        <v>65</v>
      </c>
      <c r="O66" s="10" t="s">
        <v>77</v>
      </c>
      <c r="P66" s="10" t="s">
        <v>77</v>
      </c>
      <c r="Q66" s="10" t="s">
        <v>77</v>
      </c>
    </row>
    <row r="67" customFormat="false" ht="15" hidden="false" customHeight="false" outlineLevel="0" collapsed="false">
      <c r="B67" s="2" t="n">
        <v>66</v>
      </c>
      <c r="O67" s="10" t="s">
        <v>77</v>
      </c>
      <c r="P67" s="10" t="s">
        <v>77</v>
      </c>
      <c r="Q67" s="10" t="s">
        <v>77</v>
      </c>
    </row>
    <row r="68" customFormat="false" ht="15" hidden="false" customHeight="false" outlineLevel="0" collapsed="false">
      <c r="B68" s="2" t="n">
        <v>67</v>
      </c>
      <c r="O68" s="10" t="s">
        <v>77</v>
      </c>
      <c r="P68" s="10" t="s">
        <v>77</v>
      </c>
      <c r="Q68" s="10" t="s">
        <v>77</v>
      </c>
    </row>
    <row r="69" customFormat="false" ht="15" hidden="false" customHeight="false" outlineLevel="0" collapsed="false">
      <c r="B69" s="2" t="n">
        <v>68</v>
      </c>
      <c r="O69" s="10" t="s">
        <v>77</v>
      </c>
      <c r="P69" s="10" t="s">
        <v>77</v>
      </c>
      <c r="Q69" s="10" t="s">
        <v>77</v>
      </c>
    </row>
    <row r="70" customFormat="false" ht="15" hidden="false" customHeight="false" outlineLevel="0" collapsed="false">
      <c r="B70" s="2" t="n">
        <v>69</v>
      </c>
      <c r="O70" s="10" t="s">
        <v>77</v>
      </c>
      <c r="P70" s="10" t="s">
        <v>77</v>
      </c>
      <c r="Q70" s="10" t="s">
        <v>77</v>
      </c>
    </row>
    <row r="71" customFormat="false" ht="15" hidden="false" customHeight="false" outlineLevel="0" collapsed="false">
      <c r="B71" s="2" t="n">
        <v>70</v>
      </c>
      <c r="O71" s="10" t="s">
        <v>77</v>
      </c>
      <c r="P71" s="10" t="s">
        <v>77</v>
      </c>
      <c r="Q71" s="10" t="s">
        <v>77</v>
      </c>
    </row>
    <row r="72" customFormat="false" ht="15" hidden="false" customHeight="false" outlineLevel="0" collapsed="false">
      <c r="B72" s="2" t="n">
        <v>71</v>
      </c>
      <c r="O72" s="10" t="s">
        <v>77</v>
      </c>
      <c r="P72" s="10" t="s">
        <v>77</v>
      </c>
      <c r="Q72" s="10" t="s">
        <v>77</v>
      </c>
    </row>
    <row r="73" customFormat="false" ht="15" hidden="false" customHeight="false" outlineLevel="0" collapsed="false">
      <c r="B73" s="2" t="n">
        <v>72</v>
      </c>
      <c r="O73" s="10" t="s">
        <v>77</v>
      </c>
      <c r="P73" s="10" t="s">
        <v>77</v>
      </c>
      <c r="Q73" s="10" t="s">
        <v>77</v>
      </c>
    </row>
    <row r="74" customFormat="false" ht="15" hidden="false" customHeight="false" outlineLevel="0" collapsed="false">
      <c r="B74" s="2" t="n">
        <v>73</v>
      </c>
      <c r="O74" s="10" t="s">
        <v>77</v>
      </c>
      <c r="P74" s="10" t="s">
        <v>77</v>
      </c>
      <c r="Q74" s="10" t="s">
        <v>77</v>
      </c>
    </row>
    <row r="75" customFormat="false" ht="15" hidden="false" customHeight="false" outlineLevel="0" collapsed="false">
      <c r="B75" s="2" t="n">
        <v>74</v>
      </c>
      <c r="O75" s="10" t="s">
        <v>77</v>
      </c>
      <c r="P75" s="10" t="s">
        <v>77</v>
      </c>
      <c r="Q75" s="10" t="s">
        <v>77</v>
      </c>
    </row>
    <row r="76" customFormat="false" ht="15" hidden="false" customHeight="false" outlineLevel="0" collapsed="false">
      <c r="B76" s="2" t="n">
        <v>75</v>
      </c>
      <c r="O76" s="10" t="s">
        <v>77</v>
      </c>
      <c r="P76" s="10" t="s">
        <v>77</v>
      </c>
      <c r="Q76" s="10" t="s">
        <v>77</v>
      </c>
    </row>
    <row r="77" customFormat="false" ht="15" hidden="false" customHeight="false" outlineLevel="0" collapsed="false">
      <c r="B77" s="2" t="n">
        <v>76</v>
      </c>
      <c r="O77" s="10" t="s">
        <v>77</v>
      </c>
      <c r="P77" s="10" t="s">
        <v>77</v>
      </c>
      <c r="Q77" s="10" t="s">
        <v>77</v>
      </c>
    </row>
    <row r="78" customFormat="false" ht="15" hidden="false" customHeight="false" outlineLevel="0" collapsed="false">
      <c r="B78" s="2" t="n">
        <v>77</v>
      </c>
      <c r="O78" s="10" t="s">
        <v>77</v>
      </c>
      <c r="P78" s="10" t="s">
        <v>77</v>
      </c>
      <c r="Q78" s="10" t="s">
        <v>77</v>
      </c>
    </row>
    <row r="79" customFormat="false" ht="15" hidden="false" customHeight="false" outlineLevel="0" collapsed="false">
      <c r="B79" s="2" t="n">
        <v>78</v>
      </c>
      <c r="O79" s="10" t="s">
        <v>77</v>
      </c>
      <c r="P79" s="10" t="s">
        <v>77</v>
      </c>
      <c r="Q79" s="10" t="s">
        <v>77</v>
      </c>
    </row>
    <row r="80" customFormat="false" ht="15" hidden="false" customHeight="false" outlineLevel="0" collapsed="false">
      <c r="B80" s="2" t="n">
        <v>79</v>
      </c>
      <c r="O80" s="10" t="s">
        <v>77</v>
      </c>
      <c r="P80" s="10" t="s">
        <v>77</v>
      </c>
      <c r="Q80" s="10" t="s">
        <v>77</v>
      </c>
    </row>
    <row r="81" customFormat="false" ht="15" hidden="false" customHeight="false" outlineLevel="0" collapsed="false">
      <c r="B81" s="2" t="n">
        <v>80</v>
      </c>
      <c r="O81" s="10" t="s">
        <v>77</v>
      </c>
      <c r="P81" s="10" t="s">
        <v>77</v>
      </c>
      <c r="Q81" s="10" t="s">
        <v>77</v>
      </c>
    </row>
    <row r="82" customFormat="false" ht="15" hidden="false" customHeight="false" outlineLevel="0" collapsed="false">
      <c r="B82" s="2" t="n">
        <v>81</v>
      </c>
      <c r="O82" s="10" t="s">
        <v>77</v>
      </c>
      <c r="P82" s="10" t="s">
        <v>77</v>
      </c>
      <c r="Q82" s="10" t="s">
        <v>77</v>
      </c>
    </row>
    <row r="83" customFormat="false" ht="15" hidden="false" customHeight="false" outlineLevel="0" collapsed="false">
      <c r="B83" s="2" t="n">
        <v>82</v>
      </c>
      <c r="O83" s="10" t="s">
        <v>77</v>
      </c>
      <c r="P83" s="10" t="s">
        <v>77</v>
      </c>
      <c r="Q83" s="10" t="s">
        <v>77</v>
      </c>
    </row>
    <row r="84" customFormat="false" ht="15" hidden="false" customHeight="false" outlineLevel="0" collapsed="false">
      <c r="B84" s="2" t="n">
        <v>83</v>
      </c>
      <c r="O84" s="10" t="s">
        <v>77</v>
      </c>
      <c r="P84" s="10" t="s">
        <v>77</v>
      </c>
      <c r="Q84" s="10" t="s">
        <v>77</v>
      </c>
    </row>
    <row r="85" customFormat="false" ht="15" hidden="false" customHeight="false" outlineLevel="0" collapsed="false">
      <c r="B85" s="2" t="n">
        <v>84</v>
      </c>
      <c r="O85" s="10" t="s">
        <v>77</v>
      </c>
      <c r="P85" s="10" t="s">
        <v>77</v>
      </c>
      <c r="Q85" s="10" t="s">
        <v>77</v>
      </c>
    </row>
    <row r="86" customFormat="false" ht="15" hidden="false" customHeight="false" outlineLevel="0" collapsed="false">
      <c r="B86" s="2" t="n">
        <v>85</v>
      </c>
      <c r="O86" s="10" t="s">
        <v>77</v>
      </c>
      <c r="P86" s="10" t="s">
        <v>77</v>
      </c>
      <c r="Q86" s="10" t="s">
        <v>77</v>
      </c>
    </row>
    <row r="87" customFormat="false" ht="15" hidden="false" customHeight="false" outlineLevel="0" collapsed="false">
      <c r="B87" s="2" t="n">
        <v>86</v>
      </c>
      <c r="O87" s="10" t="s">
        <v>77</v>
      </c>
      <c r="P87" s="10" t="s">
        <v>77</v>
      </c>
      <c r="Q87" s="10" t="s">
        <v>77</v>
      </c>
    </row>
    <row r="88" customFormat="false" ht="15" hidden="false" customHeight="false" outlineLevel="0" collapsed="false">
      <c r="B88" s="2" t="n">
        <v>87</v>
      </c>
      <c r="O88" s="10" t="s">
        <v>77</v>
      </c>
      <c r="P88" s="10" t="s">
        <v>77</v>
      </c>
      <c r="Q88" s="10" t="s">
        <v>77</v>
      </c>
    </row>
    <row r="89" customFormat="false" ht="15" hidden="false" customHeight="false" outlineLevel="0" collapsed="false">
      <c r="B89" s="2" t="n">
        <v>88</v>
      </c>
      <c r="O89" s="10" t="s">
        <v>77</v>
      </c>
      <c r="P89" s="10" t="s">
        <v>77</v>
      </c>
      <c r="Q89" s="10" t="s">
        <v>77</v>
      </c>
    </row>
    <row r="90" customFormat="false" ht="15" hidden="false" customHeight="false" outlineLevel="0" collapsed="false">
      <c r="B90" s="2" t="n">
        <v>89</v>
      </c>
      <c r="O90" s="10" t="s">
        <v>77</v>
      </c>
      <c r="P90" s="10" t="s">
        <v>77</v>
      </c>
      <c r="Q90" s="10" t="s">
        <v>77</v>
      </c>
    </row>
    <row r="91" customFormat="false" ht="15" hidden="false" customHeight="false" outlineLevel="0" collapsed="false">
      <c r="B91" s="2" t="n">
        <v>90</v>
      </c>
      <c r="O91" s="10" t="s">
        <v>77</v>
      </c>
      <c r="P91" s="10" t="s">
        <v>77</v>
      </c>
      <c r="Q91" s="10" t="s">
        <v>77</v>
      </c>
    </row>
    <row r="92" customFormat="false" ht="15" hidden="false" customHeight="false" outlineLevel="0" collapsed="false">
      <c r="B92" s="2" t="n">
        <v>91</v>
      </c>
      <c r="O92" s="10" t="s">
        <v>77</v>
      </c>
      <c r="P92" s="10" t="s">
        <v>77</v>
      </c>
      <c r="Q92" s="10" t="s">
        <v>77</v>
      </c>
    </row>
    <row r="93" customFormat="false" ht="15" hidden="false" customHeight="false" outlineLevel="0" collapsed="false">
      <c r="B93" s="2" t="n">
        <v>92</v>
      </c>
      <c r="O93" s="10" t="s">
        <v>77</v>
      </c>
      <c r="P93" s="10" t="s">
        <v>77</v>
      </c>
      <c r="Q93" s="10" t="s">
        <v>77</v>
      </c>
    </row>
    <row r="94" customFormat="false" ht="15" hidden="false" customHeight="false" outlineLevel="0" collapsed="false">
      <c r="B94" s="2" t="n">
        <v>93</v>
      </c>
      <c r="O94" s="10" t="s">
        <v>77</v>
      </c>
      <c r="P94" s="10" t="s">
        <v>77</v>
      </c>
      <c r="Q94" s="10" t="s">
        <v>77</v>
      </c>
    </row>
    <row r="95" customFormat="false" ht="15" hidden="false" customHeight="false" outlineLevel="0" collapsed="false">
      <c r="B95" s="2" t="n">
        <v>94</v>
      </c>
      <c r="O95" s="10" t="s">
        <v>77</v>
      </c>
      <c r="P95" s="10" t="s">
        <v>77</v>
      </c>
      <c r="Q95" s="10" t="s">
        <v>77</v>
      </c>
    </row>
    <row r="96" customFormat="false" ht="15" hidden="false" customHeight="false" outlineLevel="0" collapsed="false">
      <c r="A96" s="21" t="s">
        <v>146</v>
      </c>
      <c r="B96" s="2" t="n">
        <v>95</v>
      </c>
      <c r="O96" s="10" t="s">
        <v>77</v>
      </c>
      <c r="P96" s="10" t="s">
        <v>77</v>
      </c>
      <c r="Q96" s="10" t="s">
        <v>77</v>
      </c>
    </row>
    <row r="97" customFormat="false" ht="15" hidden="false" customHeight="false" outlineLevel="0" collapsed="false">
      <c r="A97" s="21" t="s">
        <v>147</v>
      </c>
      <c r="B97" s="2" t="n">
        <v>96</v>
      </c>
      <c r="O97" s="10" t="s">
        <v>77</v>
      </c>
      <c r="P97" s="10" t="s">
        <v>77</v>
      </c>
      <c r="Q97" s="10" t="s">
        <v>77</v>
      </c>
    </row>
    <row r="98" customFormat="false" ht="15" hidden="false" customHeight="false" outlineLevel="0" collapsed="false">
      <c r="B98" s="2" t="n">
        <v>97</v>
      </c>
      <c r="O98" s="10" t="s">
        <v>77</v>
      </c>
      <c r="P98" s="10" t="s">
        <v>77</v>
      </c>
      <c r="Q98" s="10" t="s">
        <v>77</v>
      </c>
    </row>
    <row r="99" customFormat="false" ht="15" hidden="false" customHeight="false" outlineLevel="0" collapsed="false">
      <c r="B99" s="2" t="n">
        <v>98</v>
      </c>
      <c r="O99" s="10" t="s">
        <v>77</v>
      </c>
      <c r="P99" s="10" t="s">
        <v>77</v>
      </c>
      <c r="Q99" s="10" t="s">
        <v>77</v>
      </c>
    </row>
    <row r="100" customFormat="false" ht="15" hidden="false" customHeight="false" outlineLevel="0" collapsed="false">
      <c r="B100" s="2" t="n">
        <v>99</v>
      </c>
      <c r="O100" s="10" t="s">
        <v>77</v>
      </c>
      <c r="P100" s="10" t="s">
        <v>77</v>
      </c>
      <c r="Q100" s="10" t="s">
        <v>77</v>
      </c>
    </row>
    <row r="101" customFormat="false" ht="15" hidden="false" customHeight="false" outlineLevel="0" collapsed="false">
      <c r="B101" s="2" t="n">
        <v>100</v>
      </c>
      <c r="O101" s="10" t="s">
        <v>77</v>
      </c>
      <c r="P101" s="10" t="s">
        <v>77</v>
      </c>
      <c r="Q101" s="10" t="s">
        <v>77</v>
      </c>
    </row>
    <row r="102" customFormat="false" ht="15" hidden="false" customHeight="false" outlineLevel="0" collapsed="false">
      <c r="B102" s="2" t="n">
        <v>101</v>
      </c>
      <c r="O102" s="10" t="s">
        <v>77</v>
      </c>
      <c r="P102" s="10" t="s">
        <v>77</v>
      </c>
      <c r="Q102" s="10" t="s">
        <v>77</v>
      </c>
    </row>
    <row r="103" customFormat="false" ht="15" hidden="false" customHeight="false" outlineLevel="0" collapsed="false">
      <c r="B103" s="2" t="n">
        <v>102</v>
      </c>
      <c r="O103" s="10" t="s">
        <v>77</v>
      </c>
      <c r="P103" s="10" t="s">
        <v>77</v>
      </c>
      <c r="Q103" s="10" t="s">
        <v>77</v>
      </c>
    </row>
    <row r="104" customFormat="false" ht="15" hidden="false" customHeight="false" outlineLevel="0" collapsed="false">
      <c r="B104" s="2" t="n">
        <v>103</v>
      </c>
      <c r="O104" s="10" t="s">
        <v>77</v>
      </c>
      <c r="P104" s="10" t="s">
        <v>77</v>
      </c>
      <c r="Q104" s="10" t="s">
        <v>77</v>
      </c>
    </row>
    <row r="105" customFormat="false" ht="15" hidden="false" customHeight="false" outlineLevel="0" collapsed="false">
      <c r="B105" s="2" t="n">
        <v>104</v>
      </c>
      <c r="O105" s="10" t="s">
        <v>77</v>
      </c>
      <c r="P105" s="10" t="s">
        <v>77</v>
      </c>
      <c r="Q105" s="10" t="s">
        <v>77</v>
      </c>
    </row>
    <row r="106" customFormat="false" ht="15" hidden="false" customHeight="false" outlineLevel="0" collapsed="false">
      <c r="B106" s="2" t="n">
        <v>105</v>
      </c>
      <c r="O106" s="10" t="s">
        <v>77</v>
      </c>
      <c r="P106" s="10" t="s">
        <v>77</v>
      </c>
      <c r="Q106" s="10" t="s">
        <v>77</v>
      </c>
    </row>
    <row r="107" customFormat="false" ht="15" hidden="false" customHeight="false" outlineLevel="0" collapsed="false">
      <c r="B107" s="2" t="n">
        <v>106</v>
      </c>
      <c r="O107" s="10" t="s">
        <v>77</v>
      </c>
      <c r="P107" s="10" t="s">
        <v>77</v>
      </c>
      <c r="Q107" s="10" t="s">
        <v>77</v>
      </c>
    </row>
    <row r="108" customFormat="false" ht="15" hidden="false" customHeight="false" outlineLevel="0" collapsed="false">
      <c r="B108" s="2" t="n">
        <v>107</v>
      </c>
      <c r="O108" s="10" t="s">
        <v>77</v>
      </c>
      <c r="P108" s="10" t="s">
        <v>77</v>
      </c>
      <c r="Q108" s="10" t="s">
        <v>77</v>
      </c>
    </row>
    <row r="109" customFormat="false" ht="15" hidden="false" customHeight="false" outlineLevel="0" collapsed="false">
      <c r="B109" s="2" t="n">
        <v>108</v>
      </c>
      <c r="O109" s="10" t="s">
        <v>77</v>
      </c>
      <c r="P109" s="10" t="s">
        <v>77</v>
      </c>
      <c r="Q109" s="10" t="s">
        <v>77</v>
      </c>
    </row>
    <row r="110" customFormat="false" ht="15" hidden="false" customHeight="false" outlineLevel="0" collapsed="false">
      <c r="B110" s="2" t="n">
        <v>109</v>
      </c>
      <c r="O110" s="10" t="s">
        <v>77</v>
      </c>
      <c r="P110" s="10" t="s">
        <v>77</v>
      </c>
      <c r="Q110" s="10" t="s">
        <v>77</v>
      </c>
    </row>
    <row r="111" customFormat="false" ht="15" hidden="false" customHeight="false" outlineLevel="0" collapsed="false">
      <c r="B111" s="2" t="n">
        <v>110</v>
      </c>
      <c r="O111" s="10" t="s">
        <v>77</v>
      </c>
      <c r="P111" s="10" t="s">
        <v>77</v>
      </c>
      <c r="Q111" s="10" t="s">
        <v>77</v>
      </c>
    </row>
    <row r="112" customFormat="false" ht="15" hidden="false" customHeight="false" outlineLevel="0" collapsed="false">
      <c r="B112" s="2" t="n">
        <v>111</v>
      </c>
      <c r="O112" s="10" t="s">
        <v>77</v>
      </c>
      <c r="P112" s="10" t="s">
        <v>77</v>
      </c>
      <c r="Q112" s="10" t="s">
        <v>77</v>
      </c>
    </row>
    <row r="113" customFormat="false" ht="15" hidden="false" customHeight="false" outlineLevel="0" collapsed="false">
      <c r="B113" s="2" t="n">
        <v>112</v>
      </c>
      <c r="O113" s="10" t="s">
        <v>77</v>
      </c>
      <c r="P113" s="10" t="s">
        <v>77</v>
      </c>
      <c r="Q113" s="10" t="s">
        <v>77</v>
      </c>
    </row>
    <row r="114" customFormat="false" ht="15" hidden="false" customHeight="false" outlineLevel="0" collapsed="false">
      <c r="B114" s="2" t="n">
        <v>113</v>
      </c>
      <c r="O114" s="10" t="s">
        <v>77</v>
      </c>
      <c r="P114" s="10" t="s">
        <v>77</v>
      </c>
      <c r="Q114" s="10" t="s">
        <v>77</v>
      </c>
    </row>
    <row r="115" customFormat="false" ht="15" hidden="false" customHeight="false" outlineLevel="0" collapsed="false">
      <c r="B115" s="2" t="n">
        <v>114</v>
      </c>
      <c r="O115" s="10" t="s">
        <v>77</v>
      </c>
      <c r="P115" s="10" t="s">
        <v>77</v>
      </c>
      <c r="Q115" s="10" t="s">
        <v>77</v>
      </c>
    </row>
    <row r="116" customFormat="false" ht="15" hidden="false" customHeight="false" outlineLevel="0" collapsed="false">
      <c r="B116" s="2" t="n">
        <v>115</v>
      </c>
      <c r="O116" s="10" t="s">
        <v>77</v>
      </c>
      <c r="P116" s="10" t="s">
        <v>77</v>
      </c>
      <c r="Q116" s="10" t="s">
        <v>77</v>
      </c>
    </row>
    <row r="117" customFormat="false" ht="15" hidden="false" customHeight="false" outlineLevel="0" collapsed="false">
      <c r="B117" s="2" t="n">
        <v>116</v>
      </c>
      <c r="O117" s="10" t="s">
        <v>77</v>
      </c>
      <c r="P117" s="10" t="s">
        <v>77</v>
      </c>
      <c r="Q117" s="10" t="s">
        <v>77</v>
      </c>
    </row>
    <row r="118" customFormat="false" ht="15" hidden="false" customHeight="false" outlineLevel="0" collapsed="false">
      <c r="B118" s="2" t="n">
        <v>117</v>
      </c>
      <c r="O118" s="10" t="s">
        <v>77</v>
      </c>
      <c r="P118" s="10" t="s">
        <v>77</v>
      </c>
      <c r="Q118" s="10" t="s">
        <v>77</v>
      </c>
    </row>
    <row r="119" customFormat="false" ht="15" hidden="false" customHeight="false" outlineLevel="0" collapsed="false">
      <c r="B119" s="2" t="n">
        <v>118</v>
      </c>
      <c r="O119" s="10" t="s">
        <v>77</v>
      </c>
      <c r="P119" s="10" t="s">
        <v>77</v>
      </c>
      <c r="Q119" s="10" t="s">
        <v>77</v>
      </c>
    </row>
    <row r="120" customFormat="false" ht="15" hidden="false" customHeight="false" outlineLevel="0" collapsed="false">
      <c r="B120" s="2" t="n">
        <v>119</v>
      </c>
      <c r="O120" s="10" t="s">
        <v>77</v>
      </c>
      <c r="P120" s="10" t="s">
        <v>77</v>
      </c>
      <c r="Q120" s="10" t="s">
        <v>77</v>
      </c>
    </row>
    <row r="121" customFormat="false" ht="15" hidden="false" customHeight="false" outlineLevel="0" collapsed="false">
      <c r="B121" s="2" t="n">
        <v>120</v>
      </c>
      <c r="O121" s="10" t="s">
        <v>77</v>
      </c>
      <c r="P121" s="10" t="s">
        <v>77</v>
      </c>
      <c r="Q121" s="10" t="s">
        <v>77</v>
      </c>
    </row>
    <row r="122" customFormat="false" ht="15" hidden="false" customHeight="false" outlineLevel="0" collapsed="false">
      <c r="B122" s="2" t="n">
        <v>121</v>
      </c>
      <c r="O122" s="10" t="s">
        <v>77</v>
      </c>
      <c r="P122" s="10" t="s">
        <v>77</v>
      </c>
      <c r="Q122" s="10" t="s">
        <v>77</v>
      </c>
    </row>
    <row r="123" customFormat="false" ht="15" hidden="false" customHeight="false" outlineLevel="0" collapsed="false">
      <c r="B123" s="2" t="n">
        <v>122</v>
      </c>
      <c r="O123" s="10" t="s">
        <v>77</v>
      </c>
      <c r="P123" s="10" t="s">
        <v>77</v>
      </c>
      <c r="Q123" s="10" t="s">
        <v>77</v>
      </c>
    </row>
    <row r="124" customFormat="false" ht="15" hidden="false" customHeight="false" outlineLevel="0" collapsed="false">
      <c r="B124" s="2" t="n">
        <v>123</v>
      </c>
      <c r="O124" s="10" t="s">
        <v>77</v>
      </c>
      <c r="P124" s="10" t="s">
        <v>77</v>
      </c>
      <c r="Q124" s="10" t="s">
        <v>77</v>
      </c>
    </row>
    <row r="125" customFormat="false" ht="15" hidden="false" customHeight="false" outlineLevel="0" collapsed="false">
      <c r="B125" s="2" t="n">
        <v>124</v>
      </c>
      <c r="O125" s="10" t="s">
        <v>77</v>
      </c>
      <c r="P125" s="10" t="s">
        <v>77</v>
      </c>
      <c r="Q125" s="10" t="s">
        <v>77</v>
      </c>
    </row>
    <row r="126" customFormat="false" ht="15" hidden="false" customHeight="false" outlineLevel="0" collapsed="false">
      <c r="B126" s="2" t="n">
        <v>125</v>
      </c>
      <c r="O126" s="10" t="s">
        <v>77</v>
      </c>
      <c r="P126" s="10" t="s">
        <v>77</v>
      </c>
      <c r="Q126" s="10" t="s">
        <v>77</v>
      </c>
    </row>
    <row r="127" customFormat="false" ht="15" hidden="false" customHeight="false" outlineLevel="0" collapsed="false">
      <c r="B127" s="2" t="n">
        <v>126</v>
      </c>
      <c r="O127" s="10" t="s">
        <v>77</v>
      </c>
      <c r="P127" s="10" t="s">
        <v>77</v>
      </c>
      <c r="Q127" s="10" t="s">
        <v>77</v>
      </c>
    </row>
    <row r="128" customFormat="false" ht="15" hidden="false" customHeight="false" outlineLevel="0" collapsed="false">
      <c r="B128" s="2" t="n">
        <v>127</v>
      </c>
      <c r="O128" s="10" t="s">
        <v>77</v>
      </c>
      <c r="P128" s="10" t="s">
        <v>77</v>
      </c>
      <c r="Q128" s="10" t="s">
        <v>77</v>
      </c>
    </row>
    <row r="129" customFormat="false" ht="15" hidden="false" customHeight="false" outlineLevel="0" collapsed="false">
      <c r="A129" s="21" t="s">
        <v>148</v>
      </c>
      <c r="B129" s="2" t="n">
        <v>128</v>
      </c>
      <c r="O129" s="10" t="s">
        <v>77</v>
      </c>
      <c r="P129" s="10" t="s">
        <v>77</v>
      </c>
      <c r="Q129" s="10" t="s">
        <v>77</v>
      </c>
    </row>
  </sheetData>
  <dataValidations count="2">
    <dataValidation allowBlank="true" errorStyle="stop" operator="equal" showDropDown="false" showErrorMessage="true" showInputMessage="false" sqref="C2:D65 G2:H33 K2:L33 O2:P129" type="list">
      <formula1>"-,yes,no"</formula1>
      <formula2>0</formula2>
    </dataValidation>
    <dataValidation allowBlank="true" errorStyle="stop" operator="equal" showDropDown="false" showErrorMessage="true" showInputMessage="false" sqref="E2:E65 I2:I33 M2:M33 Q2:Q129" type="list">
      <formula1>"-,+5,+10,+15,+20,+25,+30,+35,+40,+45,+50,+55,+60,"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6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V6" activeCellId="0" sqref="V6"/>
    </sheetView>
  </sheetViews>
  <sheetFormatPr defaultColWidth="11.5703125" defaultRowHeight="13.8" customHeight="true" zeroHeight="false" outlineLevelRow="0" outlineLevelCol="0"/>
  <cols>
    <col collapsed="false" customWidth="false" hidden="false" outlineLevel="0" max="1" min="1" style="2" width="11.57"/>
    <col collapsed="false" customWidth="true" hidden="false" outlineLevel="0" max="3" min="2" style="3" width="12.71"/>
    <col collapsed="false" customWidth="true" hidden="false" outlineLevel="0" max="4" min="4" style="3" width="12.57"/>
    <col collapsed="false" customWidth="true" hidden="false" outlineLevel="0" max="5" min="5" style="2" width="12.57"/>
    <col collapsed="false" customWidth="true" hidden="false" outlineLevel="0" max="6" min="6" style="3" width="11.29"/>
    <col collapsed="false" customWidth="false" hidden="true" outlineLevel="0" max="8" min="8" style="2" width="11.57"/>
    <col collapsed="false" customWidth="true" hidden="false" outlineLevel="0" max="10" min="9" style="2" width="13"/>
    <col collapsed="false" customWidth="true" hidden="false" outlineLevel="0" max="11" min="11" style="3" width="12"/>
    <col collapsed="false" customWidth="false" hidden="true" outlineLevel="0" max="13" min="13" style="3" width="11.57"/>
    <col collapsed="false" customWidth="false" hidden="false" outlineLevel="0" max="15" min="15" style="2" width="11.57"/>
    <col collapsed="false" customWidth="true" hidden="false" outlineLevel="0" max="16" min="16" style="3" width="12.71"/>
    <col collapsed="false" customWidth="false" hidden="true" outlineLevel="0" max="18" min="18" style="2" width="11.57"/>
    <col collapsed="false" customWidth="true" hidden="false" outlineLevel="0" max="20" min="19" style="2" width="13.42"/>
    <col collapsed="false" customWidth="true" hidden="false" outlineLevel="0" max="21" min="21" style="3" width="13.86"/>
    <col collapsed="false" customWidth="true" hidden="false" outlineLevel="0" max="22" min="22" style="3" width="12.86"/>
    <col collapsed="false" customWidth="false" hidden="true" outlineLevel="0" max="23" min="23" style="2" width="11.57"/>
    <col collapsed="false" customWidth="true" hidden="false" outlineLevel="0" max="25" min="24" style="2" width="12.71"/>
    <col collapsed="false" customWidth="true" hidden="false" outlineLevel="0" max="26" min="26" style="3" width="13"/>
    <col collapsed="false" customWidth="true" hidden="false" outlineLevel="0" max="27" min="27" style="3" width="12.15"/>
    <col collapsed="false" customWidth="true" hidden="true" outlineLevel="0" max="28" min="28" style="3" width="12.57"/>
    <col collapsed="false" customWidth="true" hidden="false" outlineLevel="0" max="29" min="29" style="3" width="13.42"/>
    <col collapsed="false" customWidth="true" hidden="false" outlineLevel="0" max="30" min="30" style="2" width="13.42"/>
    <col collapsed="false" customWidth="true" hidden="false" outlineLevel="0" max="31" min="31" style="3" width="14.86"/>
    <col collapsed="false" customWidth="true" hidden="false" outlineLevel="0" max="32" min="32" style="3" width="13.86"/>
    <col collapsed="false" customWidth="false" hidden="true" outlineLevel="0" max="33" min="33" style="2" width="11.57"/>
    <col collapsed="false" customWidth="true" hidden="false" outlineLevel="0" max="34" min="34" style="2" width="14.29"/>
    <col collapsed="false" customWidth="true" hidden="false" outlineLevel="0" max="35" min="35" style="3" width="14.29"/>
    <col collapsed="false" customWidth="false" hidden="true" outlineLevel="0" max="38" min="38" style="3" width="11.57"/>
    <col collapsed="false" customWidth="true" hidden="false" outlineLevel="0" max="40" min="39" style="3" width="14.86"/>
    <col collapsed="false" customWidth="false" hidden="true" outlineLevel="0" max="43" min="43" style="3" width="11.57"/>
    <col collapsed="false" customWidth="true" hidden="false" outlineLevel="0" max="46" min="46" style="3" width="15.85"/>
    <col collapsed="false" customWidth="true" hidden="false" outlineLevel="0" max="47" min="47" style="3" width="16.14"/>
    <col collapsed="false" customWidth="true" hidden="false" outlineLevel="0" max="49" min="49" style="3" width="14.48"/>
    <col collapsed="false" customWidth="true" hidden="false" outlineLevel="0" max="50" min="50" style="3" width="10.84"/>
    <col collapsed="false" customWidth="true" hidden="false" outlineLevel="0" max="54" min="54" style="3" width="16.66"/>
    <col collapsed="false" customWidth="true" hidden="false" outlineLevel="0" max="55" min="55" style="3" width="16.05"/>
  </cols>
  <sheetData>
    <row r="1" s="3" customFormat="true" ht="13.8" hidden="false" customHeight="false" outlineLevel="0" collapsed="false">
      <c r="A1" s="22" t="s">
        <v>149</v>
      </c>
      <c r="B1" s="22" t="s">
        <v>150</v>
      </c>
      <c r="C1" s="22" t="s">
        <v>151</v>
      </c>
      <c r="D1" s="23"/>
      <c r="E1" s="24" t="s">
        <v>152</v>
      </c>
      <c r="F1" s="24" t="s">
        <v>153</v>
      </c>
      <c r="G1" s="24" t="s">
        <v>154</v>
      </c>
      <c r="H1" s="23"/>
      <c r="I1" s="23"/>
      <c r="J1" s="24" t="s">
        <v>155</v>
      </c>
      <c r="K1" s="24" t="s">
        <v>156</v>
      </c>
      <c r="L1" s="24" t="s">
        <v>157</v>
      </c>
      <c r="M1" s="23"/>
      <c r="N1" s="23"/>
      <c r="O1" s="25" t="s">
        <v>158</v>
      </c>
      <c r="P1" s="25" t="s">
        <v>159</v>
      </c>
      <c r="Q1" s="25" t="s">
        <v>160</v>
      </c>
      <c r="R1" s="23"/>
      <c r="S1" s="23"/>
      <c r="T1" s="25" t="s">
        <v>161</v>
      </c>
      <c r="U1" s="25" t="s">
        <v>162</v>
      </c>
      <c r="V1" s="25" t="s">
        <v>163</v>
      </c>
      <c r="W1" s="23"/>
      <c r="X1" s="23"/>
      <c r="Y1" s="26" t="s">
        <v>164</v>
      </c>
      <c r="Z1" s="26" t="s">
        <v>165</v>
      </c>
      <c r="AA1" s="26" t="s">
        <v>166</v>
      </c>
      <c r="AB1" s="23"/>
      <c r="AC1" s="23"/>
      <c r="AD1" s="26" t="s">
        <v>167</v>
      </c>
      <c r="AE1" s="26" t="s">
        <v>168</v>
      </c>
      <c r="AF1" s="26" t="s">
        <v>169</v>
      </c>
      <c r="AG1" s="2"/>
      <c r="AH1" s="2"/>
      <c r="AI1" s="24" t="s">
        <v>170</v>
      </c>
      <c r="AJ1" s="24" t="s">
        <v>171</v>
      </c>
      <c r="AK1" s="24" t="s">
        <v>172</v>
      </c>
      <c r="AN1" s="24" t="s">
        <v>173</v>
      </c>
      <c r="AO1" s="24" t="s">
        <v>174</v>
      </c>
      <c r="AP1" s="24" t="s">
        <v>175</v>
      </c>
      <c r="AS1" s="27" t="s">
        <v>176</v>
      </c>
      <c r="AT1" s="27" t="s">
        <v>177</v>
      </c>
      <c r="AU1" s="27" t="s">
        <v>178</v>
      </c>
      <c r="AW1" s="24" t="s">
        <v>179</v>
      </c>
      <c r="AX1" s="24" t="s">
        <v>180</v>
      </c>
      <c r="AY1" s="24" t="s">
        <v>181</v>
      </c>
      <c r="BA1" s="27" t="s">
        <v>182</v>
      </c>
      <c r="BB1" s="27" t="s">
        <v>183</v>
      </c>
      <c r="BC1" s="27" t="s">
        <v>184</v>
      </c>
    </row>
    <row r="2" customFormat="false" ht="13.8" hidden="false" customHeight="false" outlineLevel="0" collapsed="false">
      <c r="A2" s="28" t="n">
        <v>1</v>
      </c>
      <c r="B2" s="29" t="s">
        <v>185</v>
      </c>
      <c r="C2" s="30" t="s">
        <v>75</v>
      </c>
      <c r="E2" s="28" t="n">
        <v>1</v>
      </c>
      <c r="F2" s="31" t="s">
        <v>186</v>
      </c>
      <c r="G2" s="30" t="s">
        <v>109</v>
      </c>
      <c r="H2" s="2" t="n">
        <f aca="false">IF(F2&lt;&gt;CONCATENATE("Aux",E2),1,0)</f>
        <v>0</v>
      </c>
      <c r="J2" s="28" t="n">
        <v>1</v>
      </c>
      <c r="K2" s="31" t="s">
        <v>187</v>
      </c>
      <c r="L2" s="30" t="s">
        <v>109</v>
      </c>
      <c r="M2" s="2" t="n">
        <f aca="false">IF(K2&lt;&gt;CONCATENATE("STAux",J2),1,0)</f>
        <v>0</v>
      </c>
      <c r="N2" s="2"/>
      <c r="O2" s="28" t="n">
        <v>1</v>
      </c>
      <c r="P2" s="31" t="s">
        <v>48</v>
      </c>
      <c r="Q2" s="30" t="s">
        <v>75</v>
      </c>
      <c r="R2" s="10" t="n">
        <f aca="false">IF(P2&lt;&gt;CONCATENATE("Grp",O2),1,0)</f>
        <v>0</v>
      </c>
      <c r="S2" s="10"/>
      <c r="T2" s="28" t="n">
        <v>1</v>
      </c>
      <c r="U2" s="31" t="s">
        <v>60</v>
      </c>
      <c r="V2" s="30" t="s">
        <v>75</v>
      </c>
      <c r="W2" s="2" t="n">
        <f aca="false">IF(U2&lt;&gt;CONCATENATE("StGrp",T2),1,0)</f>
        <v>0</v>
      </c>
      <c r="Y2" s="28" t="n">
        <v>1</v>
      </c>
      <c r="Z2" s="31" t="s">
        <v>188</v>
      </c>
      <c r="AA2" s="30" t="s">
        <v>123</v>
      </c>
      <c r="AB2" s="2" t="n">
        <f aca="false">IF(Z2&lt;&gt;CONCATENATE("Mtx",Y2),1,0)</f>
        <v>0</v>
      </c>
      <c r="AC2" s="2"/>
      <c r="AD2" s="28" t="n">
        <v>1</v>
      </c>
      <c r="AE2" s="31" t="s">
        <v>189</v>
      </c>
      <c r="AF2" s="30" t="s">
        <v>123</v>
      </c>
      <c r="AG2" s="2" t="n">
        <f aca="false">IF(AE2&lt;&gt;CONCATENATE("StMtx",AD2),1,0)</f>
        <v>0</v>
      </c>
      <c r="AI2" s="28" t="n">
        <v>1</v>
      </c>
      <c r="AJ2" s="31" t="s">
        <v>190</v>
      </c>
      <c r="AK2" s="30" t="s">
        <v>109</v>
      </c>
      <c r="AL2" s="2" t="n">
        <f aca="false">IF(AJ2&lt;&gt;CONCATENATE("Fx",AI2),1,0)</f>
        <v>0</v>
      </c>
      <c r="AM2" s="2"/>
      <c r="AN2" s="28" t="n">
        <v>1</v>
      </c>
      <c r="AO2" s="31" t="s">
        <v>191</v>
      </c>
      <c r="AP2" s="30" t="s">
        <v>109</v>
      </c>
      <c r="AQ2" s="2" t="n">
        <f aca="false">IF(AO2&lt;&gt;CONCATENATE("StFx",AN2),1,0)</f>
        <v>0</v>
      </c>
      <c r="AR2" s="2"/>
      <c r="AS2" s="28" t="n">
        <v>1</v>
      </c>
      <c r="AT2" s="31" t="s">
        <v>192</v>
      </c>
      <c r="AU2" s="30" t="s">
        <v>104</v>
      </c>
      <c r="AW2" s="28" t="n">
        <v>1</v>
      </c>
      <c r="AX2" s="31" t="s">
        <v>193</v>
      </c>
      <c r="AY2" s="30" t="s">
        <v>109</v>
      </c>
      <c r="AZ2" s="2"/>
      <c r="BA2" s="28" t="n">
        <v>1</v>
      </c>
      <c r="BB2" s="31" t="s">
        <v>194</v>
      </c>
      <c r="BC2" s="30" t="s">
        <v>104</v>
      </c>
    </row>
    <row r="3" customFormat="false" ht="13.8" hidden="false" customHeight="false" outlineLevel="0" collapsed="false">
      <c r="A3" s="28" t="n">
        <v>2</v>
      </c>
      <c r="B3" s="29" t="s">
        <v>195</v>
      </c>
      <c r="C3" s="30" t="s">
        <v>75</v>
      </c>
      <c r="E3" s="28" t="n">
        <v>2</v>
      </c>
      <c r="F3" s="31" t="s">
        <v>196</v>
      </c>
      <c r="G3" s="30" t="s">
        <v>109</v>
      </c>
      <c r="H3" s="2" t="n">
        <f aca="false">IF(F3&lt;&gt;CONCATENATE("Aux",E3),1,0)</f>
        <v>0</v>
      </c>
      <c r="J3" s="28" t="n">
        <v>2</v>
      </c>
      <c r="K3" s="31" t="s">
        <v>197</v>
      </c>
      <c r="L3" s="30" t="s">
        <v>109</v>
      </c>
      <c r="M3" s="2" t="n">
        <f aca="false">IF(K3&lt;&gt;CONCATENATE("STAux",J3),1,0)</f>
        <v>0</v>
      </c>
      <c r="N3" s="2"/>
      <c r="O3" s="28" t="n">
        <v>2</v>
      </c>
      <c r="P3" s="31" t="s">
        <v>49</v>
      </c>
      <c r="Q3" s="30" t="s">
        <v>75</v>
      </c>
      <c r="R3" s="10" t="n">
        <f aca="false">IF(P3&lt;&gt;CONCATENATE("Grp",O3),1,0)</f>
        <v>0</v>
      </c>
      <c r="S3" s="10"/>
      <c r="T3" s="28" t="n">
        <v>2</v>
      </c>
      <c r="U3" s="31" t="s">
        <v>61</v>
      </c>
      <c r="V3" s="30" t="s">
        <v>75</v>
      </c>
      <c r="W3" s="2" t="n">
        <f aca="false">IF(U3&lt;&gt;CONCATENATE("StGrp",T3),1,0)</f>
        <v>0</v>
      </c>
      <c r="Y3" s="28" t="n">
        <v>2</v>
      </c>
      <c r="Z3" s="31" t="s">
        <v>198</v>
      </c>
      <c r="AA3" s="30" t="s">
        <v>123</v>
      </c>
      <c r="AB3" s="2" t="n">
        <f aca="false">IF(Z3&lt;&gt;CONCATENATE("Mtx",Y3),1,0)</f>
        <v>0</v>
      </c>
      <c r="AC3" s="2"/>
      <c r="AD3" s="28" t="n">
        <v>2</v>
      </c>
      <c r="AE3" s="31" t="s">
        <v>199</v>
      </c>
      <c r="AF3" s="30" t="s">
        <v>123</v>
      </c>
      <c r="AG3" s="2" t="n">
        <f aca="false">IF(AE3&lt;&gt;CONCATENATE("StMtx",AD3),1,0)</f>
        <v>0</v>
      </c>
      <c r="AI3" s="28" t="n">
        <v>2</v>
      </c>
      <c r="AJ3" s="31" t="s">
        <v>200</v>
      </c>
      <c r="AK3" s="30" t="s">
        <v>109</v>
      </c>
      <c r="AL3" s="2" t="n">
        <f aca="false">IF(AJ3&lt;&gt;CONCATENATE("Fx",AI3),1,0)</f>
        <v>0</v>
      </c>
      <c r="AM3" s="2"/>
      <c r="AN3" s="28" t="n">
        <v>2</v>
      </c>
      <c r="AO3" s="31" t="s">
        <v>201</v>
      </c>
      <c r="AP3" s="30" t="s">
        <v>109</v>
      </c>
      <c r="AQ3" s="2" t="n">
        <f aca="false">IF(AO3&lt;&gt;CONCATENATE("StFx",AN3),1,0)</f>
        <v>0</v>
      </c>
      <c r="AR3" s="2"/>
      <c r="AS3" s="28" t="n">
        <v>2</v>
      </c>
      <c r="AT3" s="31" t="s">
        <v>202</v>
      </c>
      <c r="AU3" s="30" t="s">
        <v>104</v>
      </c>
      <c r="AW3" s="28" t="n">
        <v>2</v>
      </c>
      <c r="AX3" s="31" t="s">
        <v>203</v>
      </c>
      <c r="AY3" s="30" t="s">
        <v>109</v>
      </c>
      <c r="AZ3" s="2"/>
      <c r="BA3" s="28" t="n">
        <v>2</v>
      </c>
      <c r="BB3" s="31" t="s">
        <v>204</v>
      </c>
      <c r="BC3" s="30" t="s">
        <v>104</v>
      </c>
    </row>
    <row r="4" customFormat="false" ht="13.8" hidden="false" customHeight="false" outlineLevel="0" collapsed="false">
      <c r="A4" s="28" t="n">
        <v>3</v>
      </c>
      <c r="B4" s="29" t="s">
        <v>205</v>
      </c>
      <c r="C4" s="30" t="s">
        <v>94</v>
      </c>
      <c r="E4" s="28" t="n">
        <v>3</v>
      </c>
      <c r="F4" s="31" t="s">
        <v>206</v>
      </c>
      <c r="G4" s="30" t="s">
        <v>109</v>
      </c>
      <c r="H4" s="2" t="n">
        <f aca="false">IF(F4&lt;&gt;CONCATENATE("Aux",E4),1,0)</f>
        <v>0</v>
      </c>
      <c r="J4" s="28" t="n">
        <v>3</v>
      </c>
      <c r="K4" s="31" t="s">
        <v>207</v>
      </c>
      <c r="L4" s="30" t="s">
        <v>109</v>
      </c>
      <c r="M4" s="2" t="n">
        <f aca="false">IF(K4&lt;&gt;CONCATENATE("STAux",J4),1,0)</f>
        <v>0</v>
      </c>
      <c r="N4" s="2"/>
      <c r="O4" s="28" t="n">
        <v>3</v>
      </c>
      <c r="P4" s="31" t="s">
        <v>50</v>
      </c>
      <c r="Q4" s="30" t="s">
        <v>75</v>
      </c>
      <c r="R4" s="10" t="n">
        <f aca="false">IF(P4&lt;&gt;CONCATENATE("Grp",O4),1,0)</f>
        <v>0</v>
      </c>
      <c r="S4" s="10"/>
      <c r="T4" s="28" t="n">
        <v>3</v>
      </c>
      <c r="U4" s="31" t="s">
        <v>62</v>
      </c>
      <c r="V4" s="30" t="s">
        <v>75</v>
      </c>
      <c r="W4" s="2" t="n">
        <f aca="false">IF(U4&lt;&gt;CONCATENATE("StGrp",T4),1,0)</f>
        <v>0</v>
      </c>
      <c r="Y4" s="28" t="n">
        <v>3</v>
      </c>
      <c r="Z4" s="31" t="s">
        <v>208</v>
      </c>
      <c r="AA4" s="30" t="s">
        <v>123</v>
      </c>
      <c r="AB4" s="2" t="n">
        <f aca="false">IF(Z4&lt;&gt;CONCATENATE("Mtx",Y4),1,0)</f>
        <v>0</v>
      </c>
      <c r="AC4" s="2"/>
      <c r="AD4" s="28" t="n">
        <v>3</v>
      </c>
      <c r="AE4" s="31" t="s">
        <v>209</v>
      </c>
      <c r="AF4" s="30" t="s">
        <v>123</v>
      </c>
      <c r="AG4" s="2" t="n">
        <f aca="false">IF(AE4&lt;&gt;CONCATENATE("StMtx",AD4),1,0)</f>
        <v>0</v>
      </c>
      <c r="AI4" s="28" t="n">
        <v>3</v>
      </c>
      <c r="AJ4" s="31" t="s">
        <v>210</v>
      </c>
      <c r="AK4" s="30" t="s">
        <v>109</v>
      </c>
      <c r="AL4" s="2" t="n">
        <f aca="false">IF(AJ4&lt;&gt;CONCATENATE("Fx",AI4),1,0)</f>
        <v>0</v>
      </c>
      <c r="AM4" s="2"/>
      <c r="AN4" s="28" t="n">
        <v>3</v>
      </c>
      <c r="AO4" s="31" t="s">
        <v>211</v>
      </c>
      <c r="AP4" s="30" t="s">
        <v>109</v>
      </c>
      <c r="AQ4" s="2" t="n">
        <f aca="false">IF(AO4&lt;&gt;CONCATENATE("StFx",AN4),1,0)</f>
        <v>0</v>
      </c>
      <c r="AR4" s="2"/>
      <c r="AS4" s="28" t="n">
        <v>3</v>
      </c>
      <c r="AT4" s="31" t="s">
        <v>212</v>
      </c>
      <c r="AU4" s="30" t="s">
        <v>104</v>
      </c>
      <c r="AW4" s="28" t="n">
        <v>3</v>
      </c>
      <c r="AX4" s="31" t="s">
        <v>213</v>
      </c>
      <c r="AY4" s="30" t="s">
        <v>109</v>
      </c>
      <c r="AZ4" s="2"/>
      <c r="BA4" s="28" t="n">
        <v>3</v>
      </c>
      <c r="BB4" s="31" t="s">
        <v>214</v>
      </c>
      <c r="BC4" s="30" t="s">
        <v>104</v>
      </c>
    </row>
    <row r="5" customFormat="false" ht="13.8" hidden="false" customHeight="false" outlineLevel="0" collapsed="false">
      <c r="A5" s="28" t="n">
        <v>4</v>
      </c>
      <c r="B5" s="29" t="s">
        <v>215</v>
      </c>
      <c r="C5" s="30" t="s">
        <v>97</v>
      </c>
      <c r="E5" s="28" t="n">
        <v>4</v>
      </c>
      <c r="F5" s="31" t="s">
        <v>216</v>
      </c>
      <c r="G5" s="30" t="s">
        <v>109</v>
      </c>
      <c r="H5" s="2" t="n">
        <f aca="false">IF(F5&lt;&gt;CONCATENATE("Aux",E5),1,0)</f>
        <v>0</v>
      </c>
      <c r="J5" s="28" t="n">
        <v>4</v>
      </c>
      <c r="K5" s="31" t="s">
        <v>217</v>
      </c>
      <c r="L5" s="30" t="s">
        <v>109</v>
      </c>
      <c r="M5" s="2" t="n">
        <f aca="false">IF(K5&lt;&gt;CONCATENATE("STAux",J5),1,0)</f>
        <v>0</v>
      </c>
      <c r="N5" s="2"/>
      <c r="O5" s="28" t="n">
        <v>4</v>
      </c>
      <c r="P5" s="31" t="s">
        <v>51</v>
      </c>
      <c r="Q5" s="30" t="s">
        <v>75</v>
      </c>
      <c r="R5" s="10" t="n">
        <f aca="false">IF(P5&lt;&gt;CONCATENATE("Grp",O5),1,0)</f>
        <v>0</v>
      </c>
      <c r="S5" s="10"/>
      <c r="T5" s="28" t="n">
        <v>4</v>
      </c>
      <c r="U5" s="31" t="s">
        <v>63</v>
      </c>
      <c r="V5" s="30" t="s">
        <v>75</v>
      </c>
      <c r="W5" s="2" t="n">
        <f aca="false">IF(U5&lt;&gt;CONCATENATE("StGrp",T5),1,0)</f>
        <v>0</v>
      </c>
      <c r="Y5" s="28" t="n">
        <v>4</v>
      </c>
      <c r="Z5" s="31" t="s">
        <v>218</v>
      </c>
      <c r="AA5" s="30" t="s">
        <v>123</v>
      </c>
      <c r="AB5" s="2" t="n">
        <f aca="false">IF(Z5&lt;&gt;CONCATENATE("Mtx",Y5),1,0)</f>
        <v>0</v>
      </c>
      <c r="AC5" s="2"/>
      <c r="AD5" s="28" t="n">
        <v>4</v>
      </c>
      <c r="AE5" s="31" t="s">
        <v>219</v>
      </c>
      <c r="AF5" s="30" t="s">
        <v>123</v>
      </c>
      <c r="AG5" s="2" t="n">
        <f aca="false">IF(AE5&lt;&gt;CONCATENATE("StMtx",AD5),1,0)</f>
        <v>0</v>
      </c>
      <c r="AI5" s="28" t="n">
        <v>4</v>
      </c>
      <c r="AJ5" s="31" t="s">
        <v>220</v>
      </c>
      <c r="AK5" s="30" t="s">
        <v>109</v>
      </c>
      <c r="AL5" s="2" t="n">
        <f aca="false">IF(AJ5&lt;&gt;CONCATENATE("Fx",AI5),1,0)</f>
        <v>0</v>
      </c>
      <c r="AM5" s="2"/>
      <c r="AN5" s="28" t="n">
        <v>4</v>
      </c>
      <c r="AO5" s="31" t="s">
        <v>221</v>
      </c>
      <c r="AP5" s="30" t="s">
        <v>109</v>
      </c>
      <c r="AQ5" s="2" t="n">
        <f aca="false">IF(AO5&lt;&gt;CONCATENATE("StFx",AN5),1,0)</f>
        <v>0</v>
      </c>
      <c r="AR5" s="2"/>
      <c r="AS5" s="28" t="n">
        <v>4</v>
      </c>
      <c r="AT5" s="31" t="s">
        <v>222</v>
      </c>
      <c r="AU5" s="30" t="s">
        <v>104</v>
      </c>
      <c r="AW5" s="28" t="n">
        <v>4</v>
      </c>
      <c r="AX5" s="31" t="s">
        <v>223</v>
      </c>
      <c r="AY5" s="30" t="s">
        <v>109</v>
      </c>
      <c r="AZ5" s="2"/>
      <c r="BA5" s="28" t="n">
        <v>4</v>
      </c>
      <c r="BB5" s="31" t="s">
        <v>224</v>
      </c>
      <c r="BC5" s="30" t="s">
        <v>104</v>
      </c>
    </row>
    <row r="6" customFormat="false" ht="13.8" hidden="false" customHeight="false" outlineLevel="0" collapsed="false">
      <c r="A6" s="28" t="n">
        <v>5</v>
      </c>
      <c r="B6" s="29" t="s">
        <v>225</v>
      </c>
      <c r="C6" s="30" t="s">
        <v>104</v>
      </c>
      <c r="E6" s="28" t="n">
        <v>5</v>
      </c>
      <c r="F6" s="31" t="s">
        <v>226</v>
      </c>
      <c r="G6" s="30" t="s">
        <v>109</v>
      </c>
      <c r="H6" s="2" t="n">
        <f aca="false">IF(F6&lt;&gt;CONCATENATE("Aux",E6),1,0)</f>
        <v>0</v>
      </c>
      <c r="J6" s="28" t="n">
        <v>5</v>
      </c>
      <c r="K6" s="31" t="s">
        <v>227</v>
      </c>
      <c r="L6" s="30" t="s">
        <v>109</v>
      </c>
      <c r="M6" s="2" t="n">
        <f aca="false">IF(K6&lt;&gt;CONCATENATE("STAux",J6),1,0)</f>
        <v>0</v>
      </c>
      <c r="N6" s="2"/>
      <c r="O6" s="28" t="n">
        <v>5</v>
      </c>
      <c r="P6" s="31" t="s">
        <v>52</v>
      </c>
      <c r="Q6" s="30" t="s">
        <v>75</v>
      </c>
      <c r="R6" s="10" t="n">
        <f aca="false">IF(P6&lt;&gt;CONCATENATE("Grp",O6),1,0)</f>
        <v>0</v>
      </c>
      <c r="S6" s="10"/>
      <c r="T6" s="28" t="n">
        <v>5</v>
      </c>
      <c r="U6" s="31" t="s">
        <v>64</v>
      </c>
      <c r="V6" s="30" t="s">
        <v>75</v>
      </c>
      <c r="W6" s="2" t="n">
        <f aca="false">IF(U6&lt;&gt;CONCATENATE("StGrp",T6),1,0)</f>
        <v>0</v>
      </c>
      <c r="Y6" s="28" t="n">
        <v>5</v>
      </c>
      <c r="Z6" s="31" t="s">
        <v>228</v>
      </c>
      <c r="AA6" s="30" t="s">
        <v>123</v>
      </c>
      <c r="AB6" s="2" t="n">
        <f aca="false">IF(Z6&lt;&gt;CONCATENATE("Mtx",Y6),1,0)</f>
        <v>0</v>
      </c>
      <c r="AC6" s="2"/>
      <c r="AD6" s="28" t="n">
        <v>5</v>
      </c>
      <c r="AE6" s="31" t="s">
        <v>229</v>
      </c>
      <c r="AF6" s="30" t="s">
        <v>123</v>
      </c>
      <c r="AG6" s="2" t="n">
        <f aca="false">IF(AE6&lt;&gt;CONCATENATE("StMtx",AD6),1,0)</f>
        <v>0</v>
      </c>
      <c r="AI6" s="28" t="n">
        <v>5</v>
      </c>
      <c r="AJ6" s="31" t="s">
        <v>230</v>
      </c>
      <c r="AK6" s="30" t="s">
        <v>109</v>
      </c>
      <c r="AL6" s="2" t="n">
        <f aca="false">IF(AJ6&lt;&gt;CONCATENATE("Fx",AI6),1,0)</f>
        <v>0</v>
      </c>
      <c r="AM6" s="2"/>
      <c r="AN6" s="28" t="n">
        <v>5</v>
      </c>
      <c r="AO6" s="31" t="s">
        <v>231</v>
      </c>
      <c r="AP6" s="30" t="s">
        <v>109</v>
      </c>
      <c r="AQ6" s="2" t="n">
        <f aca="false">IF(AO6&lt;&gt;CONCATENATE("StFx",AN6),1,0)</f>
        <v>0</v>
      </c>
      <c r="AR6" s="2"/>
      <c r="AS6" s="28" t="n">
        <v>5</v>
      </c>
      <c r="AT6" s="31" t="s">
        <v>232</v>
      </c>
      <c r="AU6" s="30" t="s">
        <v>104</v>
      </c>
      <c r="AW6" s="28" t="n">
        <v>5</v>
      </c>
      <c r="AX6" s="31" t="s">
        <v>233</v>
      </c>
      <c r="AY6" s="30" t="s">
        <v>109</v>
      </c>
      <c r="AZ6" s="2"/>
      <c r="BA6" s="28" t="n">
        <v>5</v>
      </c>
      <c r="BB6" s="31" t="s">
        <v>234</v>
      </c>
      <c r="BC6" s="30" t="s">
        <v>104</v>
      </c>
    </row>
    <row r="7" customFormat="false" ht="13.8" hidden="false" customHeight="false" outlineLevel="0" collapsed="false">
      <c r="A7" s="28" t="n">
        <v>6</v>
      </c>
      <c r="B7" s="29" t="s">
        <v>235</v>
      </c>
      <c r="C7" s="30" t="s">
        <v>109</v>
      </c>
      <c r="D7" s="2"/>
      <c r="E7" s="28" t="n">
        <v>6</v>
      </c>
      <c r="F7" s="31" t="s">
        <v>236</v>
      </c>
      <c r="G7" s="30" t="s">
        <v>109</v>
      </c>
      <c r="H7" s="2" t="n">
        <f aca="false">IF(F7&lt;&gt;CONCATENATE("Aux",E7),1,0)</f>
        <v>0</v>
      </c>
      <c r="J7" s="28" t="n">
        <v>6</v>
      </c>
      <c r="K7" s="31" t="s">
        <v>237</v>
      </c>
      <c r="L7" s="30" t="s">
        <v>109</v>
      </c>
      <c r="M7" s="2" t="n">
        <f aca="false">IF(K7&lt;&gt;CONCATENATE("STAux",J7),1,0)</f>
        <v>0</v>
      </c>
      <c r="N7" s="2"/>
      <c r="O7" s="28" t="n">
        <v>6</v>
      </c>
      <c r="P7" s="31" t="s">
        <v>53</v>
      </c>
      <c r="Q7" s="30" t="s">
        <v>75</v>
      </c>
      <c r="R7" s="10" t="n">
        <f aca="false">IF(P7&lt;&gt;CONCATENATE("Grp",O7),1,0)</f>
        <v>0</v>
      </c>
      <c r="S7" s="10"/>
      <c r="T7" s="28" t="n">
        <v>6</v>
      </c>
      <c r="U7" s="31" t="s">
        <v>65</v>
      </c>
      <c r="V7" s="30" t="s">
        <v>75</v>
      </c>
      <c r="W7" s="2" t="n">
        <f aca="false">IF(U7&lt;&gt;CONCATENATE("StGrp",T7),1,0)</f>
        <v>0</v>
      </c>
      <c r="Y7" s="28" t="n">
        <v>6</v>
      </c>
      <c r="Z7" s="31" t="s">
        <v>238</v>
      </c>
      <c r="AA7" s="30" t="s">
        <v>123</v>
      </c>
      <c r="AB7" s="2" t="n">
        <f aca="false">IF(Z7&lt;&gt;CONCATENATE("Mtx",Y7),1,0)</f>
        <v>0</v>
      </c>
      <c r="AC7" s="2"/>
      <c r="AD7" s="28" t="n">
        <v>6</v>
      </c>
      <c r="AE7" s="31" t="s">
        <v>239</v>
      </c>
      <c r="AF7" s="30" t="s">
        <v>123</v>
      </c>
      <c r="AG7" s="2" t="n">
        <f aca="false">IF(AE7&lt;&gt;CONCATENATE("StMtx",AD7),1,0)</f>
        <v>0</v>
      </c>
      <c r="AI7" s="28" t="n">
        <v>6</v>
      </c>
      <c r="AJ7" s="31" t="s">
        <v>240</v>
      </c>
      <c r="AK7" s="30" t="s">
        <v>109</v>
      </c>
      <c r="AL7" s="2" t="n">
        <f aca="false">IF(AJ7&lt;&gt;CONCATENATE("Fx",AI7),1,0)</f>
        <v>0</v>
      </c>
      <c r="AM7" s="2"/>
      <c r="AN7" s="28" t="n">
        <v>6</v>
      </c>
      <c r="AO7" s="31" t="s">
        <v>241</v>
      </c>
      <c r="AP7" s="30" t="s">
        <v>109</v>
      </c>
      <c r="AQ7" s="2" t="n">
        <f aca="false">IF(AO7&lt;&gt;CONCATENATE("StFx",AN7),1,0)</f>
        <v>0</v>
      </c>
      <c r="AR7" s="2"/>
      <c r="AS7" s="28" t="n">
        <v>6</v>
      </c>
      <c r="AT7" s="31" t="s">
        <v>242</v>
      </c>
      <c r="AU7" s="30" t="s">
        <v>104</v>
      </c>
      <c r="AW7" s="28" t="n">
        <v>6</v>
      </c>
      <c r="AX7" s="31" t="s">
        <v>243</v>
      </c>
      <c r="AY7" s="30" t="s">
        <v>109</v>
      </c>
      <c r="AZ7" s="2"/>
      <c r="BA7" s="28" t="n">
        <v>6</v>
      </c>
      <c r="BB7" s="31" t="s">
        <v>244</v>
      </c>
      <c r="BC7" s="30" t="s">
        <v>104</v>
      </c>
    </row>
    <row r="8" customFormat="false" ht="13.8" hidden="false" customHeight="false" outlineLevel="0" collapsed="false">
      <c r="A8" s="28" t="n">
        <v>7</v>
      </c>
      <c r="B8" s="29" t="s">
        <v>245</v>
      </c>
      <c r="C8" s="30" t="s">
        <v>118</v>
      </c>
      <c r="E8" s="28" t="n">
        <v>7</v>
      </c>
      <c r="F8" s="31" t="s">
        <v>246</v>
      </c>
      <c r="G8" s="30" t="s">
        <v>109</v>
      </c>
      <c r="H8" s="2" t="n">
        <f aca="false">IF(F8&lt;&gt;CONCATENATE("Aux",E8),1,0)</f>
        <v>0</v>
      </c>
      <c r="J8" s="28" t="n">
        <v>7</v>
      </c>
      <c r="K8" s="31" t="s">
        <v>247</v>
      </c>
      <c r="L8" s="30" t="s">
        <v>109</v>
      </c>
      <c r="M8" s="2" t="n">
        <f aca="false">IF(K8&lt;&gt;CONCATENATE("STAux",J8),1,0)</f>
        <v>0</v>
      </c>
      <c r="N8" s="2"/>
      <c r="O8" s="28" t="n">
        <v>7</v>
      </c>
      <c r="P8" s="31" t="s">
        <v>54</v>
      </c>
      <c r="Q8" s="30" t="s">
        <v>75</v>
      </c>
      <c r="R8" s="10" t="n">
        <f aca="false">IF(P8&lt;&gt;CONCATENATE("Grp",O8),1,0)</f>
        <v>0</v>
      </c>
      <c r="S8" s="10"/>
      <c r="T8" s="28" t="n">
        <v>7</v>
      </c>
      <c r="U8" s="31" t="s">
        <v>66</v>
      </c>
      <c r="V8" s="30" t="s">
        <v>75</v>
      </c>
      <c r="W8" s="2" t="n">
        <f aca="false">IF(U8&lt;&gt;CONCATENATE("StGrp",T8),1,0)</f>
        <v>0</v>
      </c>
      <c r="Y8" s="28" t="n">
        <v>7</v>
      </c>
      <c r="Z8" s="31" t="s">
        <v>248</v>
      </c>
      <c r="AA8" s="30" t="s">
        <v>123</v>
      </c>
      <c r="AB8" s="2" t="n">
        <f aca="false">IF(Z8&lt;&gt;CONCATENATE("Mtx",Y8),1,0)</f>
        <v>0</v>
      </c>
      <c r="AC8" s="2"/>
      <c r="AD8" s="28" t="n">
        <v>7</v>
      </c>
      <c r="AE8" s="31" t="s">
        <v>249</v>
      </c>
      <c r="AF8" s="30" t="s">
        <v>123</v>
      </c>
      <c r="AG8" s="2" t="n">
        <f aca="false">IF(AE8&lt;&gt;CONCATENATE("StMtx",AD8),1,0)</f>
        <v>0</v>
      </c>
      <c r="AI8" s="28" t="n">
        <v>7</v>
      </c>
      <c r="AJ8" s="31" t="s">
        <v>250</v>
      </c>
      <c r="AK8" s="30" t="s">
        <v>109</v>
      </c>
      <c r="AL8" s="2" t="n">
        <f aca="false">IF(AJ8&lt;&gt;CONCATENATE("Fx",AI8),1,0)</f>
        <v>0</v>
      </c>
      <c r="AM8" s="2"/>
      <c r="AN8" s="28" t="n">
        <v>7</v>
      </c>
      <c r="AO8" s="31" t="s">
        <v>251</v>
      </c>
      <c r="AP8" s="30" t="s">
        <v>109</v>
      </c>
      <c r="AQ8" s="2" t="n">
        <f aca="false">IF(AO8&lt;&gt;CONCATENATE("StFx",AN8),1,0)</f>
        <v>0</v>
      </c>
      <c r="AR8" s="2"/>
      <c r="AS8" s="28" t="n">
        <v>7</v>
      </c>
      <c r="AT8" s="31" t="s">
        <v>252</v>
      </c>
      <c r="AU8" s="30" t="s">
        <v>104</v>
      </c>
      <c r="AW8" s="28" t="n">
        <v>7</v>
      </c>
      <c r="AX8" s="31" t="s">
        <v>253</v>
      </c>
      <c r="AY8" s="30" t="s">
        <v>109</v>
      </c>
      <c r="AZ8" s="2"/>
      <c r="BA8" s="28" t="n">
        <v>7</v>
      </c>
      <c r="BB8" s="31" t="s">
        <v>254</v>
      </c>
      <c r="BC8" s="30" t="s">
        <v>104</v>
      </c>
    </row>
    <row r="9" customFormat="false" ht="13.8" hidden="false" customHeight="false" outlineLevel="0" collapsed="false">
      <c r="A9" s="28" t="n">
        <v>8</v>
      </c>
      <c r="B9" s="29" t="s">
        <v>255</v>
      </c>
      <c r="C9" s="30" t="s">
        <v>123</v>
      </c>
      <c r="E9" s="28" t="n">
        <v>8</v>
      </c>
      <c r="F9" s="31" t="s">
        <v>256</v>
      </c>
      <c r="G9" s="30" t="s">
        <v>109</v>
      </c>
      <c r="H9" s="2" t="n">
        <f aca="false">IF(F9&lt;&gt;CONCATENATE("Aux",E9),1,0)</f>
        <v>0</v>
      </c>
      <c r="J9" s="28" t="n">
        <v>8</v>
      </c>
      <c r="K9" s="31" t="s">
        <v>257</v>
      </c>
      <c r="L9" s="30" t="s">
        <v>109</v>
      </c>
      <c r="M9" s="2" t="n">
        <f aca="false">IF(K9&lt;&gt;CONCATENATE("STAux",J9),1,0)</f>
        <v>0</v>
      </c>
      <c r="N9" s="2"/>
      <c r="O9" s="28" t="n">
        <v>8</v>
      </c>
      <c r="P9" s="31" t="s">
        <v>55</v>
      </c>
      <c r="Q9" s="30" t="s">
        <v>75</v>
      </c>
      <c r="R9" s="10" t="n">
        <f aca="false">IF(P9&lt;&gt;CONCATENATE("Grp",O9),1,0)</f>
        <v>0</v>
      </c>
      <c r="S9" s="10"/>
      <c r="T9" s="28" t="n">
        <v>8</v>
      </c>
      <c r="U9" s="31" t="s">
        <v>67</v>
      </c>
      <c r="V9" s="30" t="s">
        <v>75</v>
      </c>
      <c r="W9" s="2" t="n">
        <f aca="false">IF(U9&lt;&gt;CONCATENATE("StGrp",T9),1,0)</f>
        <v>0</v>
      </c>
      <c r="Y9" s="28" t="n">
        <v>8</v>
      </c>
      <c r="Z9" s="31" t="s">
        <v>258</v>
      </c>
      <c r="AA9" s="30" t="s">
        <v>123</v>
      </c>
      <c r="AB9" s="2" t="n">
        <f aca="false">IF(Z9&lt;&gt;CONCATENATE("Mtx",Y9),1,0)</f>
        <v>0</v>
      </c>
      <c r="AC9" s="2"/>
      <c r="AD9" s="28" t="n">
        <v>8</v>
      </c>
      <c r="AE9" s="31" t="s">
        <v>259</v>
      </c>
      <c r="AF9" s="30" t="s">
        <v>123</v>
      </c>
      <c r="AG9" s="2" t="n">
        <f aca="false">IF(AE9&lt;&gt;CONCATENATE("StMtx",AD9),1,0)</f>
        <v>0</v>
      </c>
      <c r="AI9" s="28" t="n">
        <v>8</v>
      </c>
      <c r="AJ9" s="31" t="s">
        <v>260</v>
      </c>
      <c r="AK9" s="30" t="s">
        <v>109</v>
      </c>
      <c r="AL9" s="2" t="n">
        <f aca="false">IF(AJ9&lt;&gt;CONCATENATE("Fx",AI9),1,0)</f>
        <v>0</v>
      </c>
      <c r="AM9" s="2"/>
      <c r="AN9" s="28" t="n">
        <v>8</v>
      </c>
      <c r="AO9" s="31" t="s">
        <v>261</v>
      </c>
      <c r="AP9" s="30" t="s">
        <v>109</v>
      </c>
      <c r="AQ9" s="2" t="n">
        <f aca="false">IF(AO9&lt;&gt;CONCATENATE("StFx",AN9),1,0)</f>
        <v>0</v>
      </c>
      <c r="AR9" s="2"/>
      <c r="AS9" s="28" t="n">
        <v>8</v>
      </c>
      <c r="AT9" s="31" t="s">
        <v>262</v>
      </c>
      <c r="AU9" s="30" t="s">
        <v>104</v>
      </c>
      <c r="AW9" s="28" t="n">
        <v>8</v>
      </c>
      <c r="AX9" s="31" t="s">
        <v>263</v>
      </c>
      <c r="AY9" s="30" t="s">
        <v>109</v>
      </c>
      <c r="AZ9" s="2"/>
      <c r="BA9" s="28" t="n">
        <v>8</v>
      </c>
      <c r="BB9" s="31" t="s">
        <v>264</v>
      </c>
      <c r="BC9" s="30" t="s">
        <v>104</v>
      </c>
    </row>
    <row r="10" customFormat="false" ht="13.8" hidden="false" customHeight="false" outlineLevel="0" collapsed="false">
      <c r="A10" s="28" t="n">
        <v>9</v>
      </c>
      <c r="B10" s="29" t="s">
        <v>265</v>
      </c>
      <c r="C10" s="30" t="s">
        <v>94</v>
      </c>
      <c r="E10" s="28" t="n">
        <v>9</v>
      </c>
      <c r="F10" s="31" t="s">
        <v>266</v>
      </c>
      <c r="G10" s="30" t="s">
        <v>109</v>
      </c>
      <c r="H10" s="2" t="n">
        <f aca="false">IF(F10&lt;&gt;CONCATENATE("Aux",E10),1,0)</f>
        <v>0</v>
      </c>
      <c r="J10" s="28" t="n">
        <v>9</v>
      </c>
      <c r="K10" s="31" t="s">
        <v>267</v>
      </c>
      <c r="L10" s="30" t="s">
        <v>109</v>
      </c>
      <c r="M10" s="2" t="n">
        <f aca="false">IF(K10&lt;&gt;CONCATENATE("STAux",J10),1,0)</f>
        <v>0</v>
      </c>
      <c r="N10" s="2"/>
      <c r="O10" s="28" t="n">
        <v>9</v>
      </c>
      <c r="P10" s="31" t="s">
        <v>56</v>
      </c>
      <c r="Q10" s="30" t="s">
        <v>75</v>
      </c>
      <c r="R10" s="10" t="n">
        <f aca="false">IF(P10&lt;&gt;CONCATENATE("Grp",O10),1,0)</f>
        <v>0</v>
      </c>
      <c r="S10" s="10"/>
      <c r="T10" s="28" t="n">
        <v>9</v>
      </c>
      <c r="U10" s="31" t="s">
        <v>68</v>
      </c>
      <c r="V10" s="30" t="s">
        <v>75</v>
      </c>
      <c r="W10" s="2" t="n">
        <f aca="false">IF(U10&lt;&gt;CONCATENATE("StGrp",T10),1,0)</f>
        <v>0</v>
      </c>
      <c r="Y10" s="28" t="n">
        <v>9</v>
      </c>
      <c r="Z10" s="31" t="s">
        <v>268</v>
      </c>
      <c r="AA10" s="30" t="s">
        <v>123</v>
      </c>
      <c r="AB10" s="2" t="n">
        <f aca="false">IF(Z10&lt;&gt;CONCATENATE("Mtx",Y10),1,0)</f>
        <v>0</v>
      </c>
      <c r="AC10" s="2"/>
      <c r="AD10" s="28" t="n">
        <v>9</v>
      </c>
      <c r="AE10" s="31" t="s">
        <v>269</v>
      </c>
      <c r="AF10" s="30" t="s">
        <v>123</v>
      </c>
      <c r="AG10" s="2" t="n">
        <f aca="false">IF(AE10&lt;&gt;CONCATENATE("StMtx",AD10),1,0)</f>
        <v>0</v>
      </c>
      <c r="AI10" s="28" t="n">
        <v>9</v>
      </c>
      <c r="AJ10" s="31" t="s">
        <v>270</v>
      </c>
      <c r="AK10" s="30" t="s">
        <v>109</v>
      </c>
      <c r="AL10" s="2" t="n">
        <f aca="false">IF(AJ10&lt;&gt;CONCATENATE("Fx",AI10),1,0)</f>
        <v>0</v>
      </c>
      <c r="AM10" s="2"/>
      <c r="AN10" s="28" t="n">
        <v>9</v>
      </c>
      <c r="AO10" s="31" t="s">
        <v>271</v>
      </c>
      <c r="AP10" s="30" t="s">
        <v>109</v>
      </c>
      <c r="AQ10" s="2" t="n">
        <f aca="false">IF(AO10&lt;&gt;CONCATENATE("StFx",AN10),1,0)</f>
        <v>0</v>
      </c>
      <c r="AR10" s="2"/>
      <c r="AS10" s="28" t="n">
        <v>9</v>
      </c>
      <c r="AT10" s="31" t="s">
        <v>272</v>
      </c>
      <c r="AU10" s="30" t="s">
        <v>104</v>
      </c>
    </row>
    <row r="11" customFormat="false" ht="13.8" hidden="false" customHeight="false" outlineLevel="0" collapsed="false">
      <c r="A11" s="28" t="n">
        <v>10</v>
      </c>
      <c r="B11" s="29" t="s">
        <v>273</v>
      </c>
      <c r="C11" s="30" t="s">
        <v>94</v>
      </c>
      <c r="E11" s="28" t="n">
        <v>10</v>
      </c>
      <c r="F11" s="31" t="s">
        <v>274</v>
      </c>
      <c r="G11" s="30" t="s">
        <v>109</v>
      </c>
      <c r="H11" s="2" t="n">
        <f aca="false">IF(F11&lt;&gt;CONCATENATE("Aux",E11),1,0)</f>
        <v>0</v>
      </c>
      <c r="J11" s="28" t="n">
        <v>10</v>
      </c>
      <c r="K11" s="31" t="s">
        <v>275</v>
      </c>
      <c r="L11" s="30" t="s">
        <v>109</v>
      </c>
      <c r="M11" s="2" t="n">
        <f aca="false">IF(K11&lt;&gt;CONCATENATE("STAux",J11),1,0)</f>
        <v>0</v>
      </c>
      <c r="N11" s="2"/>
      <c r="O11" s="28" t="n">
        <v>10</v>
      </c>
      <c r="P11" s="31" t="s">
        <v>57</v>
      </c>
      <c r="Q11" s="30" t="s">
        <v>75</v>
      </c>
      <c r="R11" s="10" t="n">
        <f aca="false">IF(P11&lt;&gt;CONCATENATE("Grp",O11),1,0)</f>
        <v>0</v>
      </c>
      <c r="S11" s="10"/>
      <c r="T11" s="28" t="n">
        <v>10</v>
      </c>
      <c r="U11" s="31" t="s">
        <v>69</v>
      </c>
      <c r="V11" s="30" t="s">
        <v>75</v>
      </c>
      <c r="W11" s="2" t="n">
        <f aca="false">IF(U11&lt;&gt;CONCATENATE("StGrp",T11),1,0)</f>
        <v>0</v>
      </c>
      <c r="Y11" s="28" t="n">
        <v>10</v>
      </c>
      <c r="Z11" s="31" t="s">
        <v>276</v>
      </c>
      <c r="AA11" s="30" t="s">
        <v>123</v>
      </c>
      <c r="AB11" s="2" t="n">
        <f aca="false">IF(Z11&lt;&gt;CONCATENATE("Mtx",Y11),1,0)</f>
        <v>0</v>
      </c>
      <c r="AC11" s="2"/>
      <c r="AD11" s="28" t="n">
        <v>10</v>
      </c>
      <c r="AE11" s="31" t="s">
        <v>277</v>
      </c>
      <c r="AF11" s="30" t="s">
        <v>123</v>
      </c>
      <c r="AG11" s="2" t="n">
        <f aca="false">IF(AE11&lt;&gt;CONCATENATE("StMtx",AD11),1,0)</f>
        <v>0</v>
      </c>
      <c r="AI11" s="28" t="n">
        <v>10</v>
      </c>
      <c r="AJ11" s="31" t="s">
        <v>278</v>
      </c>
      <c r="AK11" s="30" t="s">
        <v>109</v>
      </c>
      <c r="AL11" s="2" t="n">
        <f aca="false">IF(AJ11&lt;&gt;CONCATENATE("Fx",AI11),1,0)</f>
        <v>0</v>
      </c>
      <c r="AM11" s="2"/>
      <c r="AN11" s="28" t="n">
        <v>10</v>
      </c>
      <c r="AO11" s="31" t="s">
        <v>279</v>
      </c>
      <c r="AP11" s="30" t="s">
        <v>109</v>
      </c>
      <c r="AQ11" s="2" t="n">
        <f aca="false">IF(AO11&lt;&gt;CONCATENATE("StFx",AN11),1,0)</f>
        <v>0</v>
      </c>
      <c r="AR11" s="2"/>
      <c r="AS11" s="28" t="n">
        <v>10</v>
      </c>
      <c r="AT11" s="31" t="s">
        <v>280</v>
      </c>
      <c r="AU11" s="30" t="s">
        <v>104</v>
      </c>
    </row>
    <row r="12" customFormat="false" ht="13.8" hidden="false" customHeight="false" outlineLevel="0" collapsed="false">
      <c r="A12" s="28" t="n">
        <v>11</v>
      </c>
      <c r="B12" s="29" t="s">
        <v>281</v>
      </c>
      <c r="C12" s="30" t="s">
        <v>94</v>
      </c>
      <c r="E12" s="28" t="n">
        <v>11</v>
      </c>
      <c r="F12" s="31" t="s">
        <v>282</v>
      </c>
      <c r="G12" s="30" t="s">
        <v>109</v>
      </c>
      <c r="H12" s="2" t="n">
        <f aca="false">IF(F12&lt;&gt;CONCATENATE("Aux",E12),1,0)</f>
        <v>0</v>
      </c>
      <c r="J12" s="28" t="n">
        <v>11</v>
      </c>
      <c r="K12" s="31" t="s">
        <v>283</v>
      </c>
      <c r="L12" s="30" t="s">
        <v>109</v>
      </c>
      <c r="M12" s="2" t="n">
        <f aca="false">IF(K12&lt;&gt;CONCATENATE("STAux",J12),1,0)</f>
        <v>0</v>
      </c>
      <c r="N12" s="2"/>
      <c r="O12" s="28" t="n">
        <v>11</v>
      </c>
      <c r="P12" s="31" t="s">
        <v>58</v>
      </c>
      <c r="Q12" s="30" t="s">
        <v>75</v>
      </c>
      <c r="R12" s="10" t="n">
        <f aca="false">IF(P12&lt;&gt;CONCATENATE("Grp",O12),1,0)</f>
        <v>0</v>
      </c>
      <c r="S12" s="10"/>
      <c r="T12" s="28" t="n">
        <v>11</v>
      </c>
      <c r="U12" s="31" t="s">
        <v>70</v>
      </c>
      <c r="V12" s="30" t="s">
        <v>75</v>
      </c>
      <c r="W12" s="2" t="n">
        <f aca="false">IF(U12&lt;&gt;CONCATENATE("StGrp",T12),1,0)</f>
        <v>0</v>
      </c>
      <c r="Y12" s="28" t="n">
        <v>11</v>
      </c>
      <c r="Z12" s="31" t="s">
        <v>284</v>
      </c>
      <c r="AA12" s="30" t="s">
        <v>123</v>
      </c>
      <c r="AB12" s="2" t="n">
        <f aca="false">IF(Z12&lt;&gt;CONCATENATE("Mtx",Y12),1,0)</f>
        <v>0</v>
      </c>
      <c r="AC12" s="2"/>
      <c r="AD12" s="28" t="n">
        <v>11</v>
      </c>
      <c r="AE12" s="31" t="s">
        <v>285</v>
      </c>
      <c r="AF12" s="30" t="s">
        <v>123</v>
      </c>
      <c r="AG12" s="2" t="n">
        <f aca="false">IF(AE12&lt;&gt;CONCATENATE("StMtx",AD12),1,0)</f>
        <v>0</v>
      </c>
      <c r="AI12" s="28" t="n">
        <v>11</v>
      </c>
      <c r="AJ12" s="31" t="s">
        <v>286</v>
      </c>
      <c r="AK12" s="30" t="s">
        <v>109</v>
      </c>
      <c r="AL12" s="2" t="n">
        <f aca="false">IF(AJ12&lt;&gt;CONCATENATE("Fx",AI12),1,0)</f>
        <v>0</v>
      </c>
      <c r="AM12" s="2"/>
      <c r="AN12" s="28" t="n">
        <v>11</v>
      </c>
      <c r="AO12" s="31" t="s">
        <v>287</v>
      </c>
      <c r="AP12" s="30" t="s">
        <v>109</v>
      </c>
      <c r="AQ12" s="2" t="n">
        <f aca="false">IF(AO12&lt;&gt;CONCATENATE("StFx",AN12),1,0)</f>
        <v>0</v>
      </c>
      <c r="AR12" s="2"/>
      <c r="AS12" s="28" t="n">
        <v>11</v>
      </c>
      <c r="AT12" s="31" t="s">
        <v>288</v>
      </c>
      <c r="AU12" s="30" t="s">
        <v>104</v>
      </c>
    </row>
    <row r="13" customFormat="false" ht="13.8" hidden="false" customHeight="false" outlineLevel="0" collapsed="false">
      <c r="A13" s="28" t="n">
        <v>12</v>
      </c>
      <c r="B13" s="29" t="s">
        <v>289</v>
      </c>
      <c r="C13" s="30" t="s">
        <v>94</v>
      </c>
      <c r="E13" s="28" t="n">
        <v>12</v>
      </c>
      <c r="F13" s="31" t="s">
        <v>290</v>
      </c>
      <c r="G13" s="30" t="s">
        <v>109</v>
      </c>
      <c r="H13" s="2" t="n">
        <f aca="false">IF(F13&lt;&gt;CONCATENATE("Aux",E13),1,0)</f>
        <v>0</v>
      </c>
      <c r="J13" s="28" t="n">
        <v>12</v>
      </c>
      <c r="K13" s="31" t="s">
        <v>291</v>
      </c>
      <c r="L13" s="30" t="s">
        <v>109</v>
      </c>
      <c r="M13" s="2" t="n">
        <f aca="false">IF(K13&lt;&gt;CONCATENATE("STAux",J13),1,0)</f>
        <v>0</v>
      </c>
      <c r="N13" s="2"/>
      <c r="O13" s="28" t="n">
        <v>12</v>
      </c>
      <c r="P13" s="31" t="s">
        <v>59</v>
      </c>
      <c r="Q13" s="30" t="s">
        <v>75</v>
      </c>
      <c r="R13" s="10" t="n">
        <f aca="false">IF(P13&lt;&gt;CONCATENATE("Grp",O13),1,0)</f>
        <v>0</v>
      </c>
      <c r="S13" s="10"/>
      <c r="T13" s="28" t="n">
        <v>12</v>
      </c>
      <c r="U13" s="31" t="s">
        <v>71</v>
      </c>
      <c r="V13" s="30" t="s">
        <v>75</v>
      </c>
      <c r="W13" s="2" t="n">
        <f aca="false">IF(U13&lt;&gt;CONCATENATE("StGrp",T13),1,0)</f>
        <v>0</v>
      </c>
      <c r="Y13" s="28" t="n">
        <v>12</v>
      </c>
      <c r="Z13" s="31" t="s">
        <v>292</v>
      </c>
      <c r="AA13" s="30" t="s">
        <v>123</v>
      </c>
      <c r="AB13" s="2" t="n">
        <f aca="false">IF(Z13&lt;&gt;CONCATENATE("Mtx",Y13),1,0)</f>
        <v>0</v>
      </c>
      <c r="AC13" s="2"/>
      <c r="AD13" s="28" t="n">
        <v>12</v>
      </c>
      <c r="AE13" s="31" t="s">
        <v>293</v>
      </c>
      <c r="AF13" s="30" t="s">
        <v>123</v>
      </c>
      <c r="AG13" s="2" t="n">
        <f aca="false">IF(AE13&lt;&gt;CONCATENATE("StMtx",AD13),1,0)</f>
        <v>0</v>
      </c>
      <c r="AI13" s="28" t="n">
        <v>12</v>
      </c>
      <c r="AJ13" s="31" t="s">
        <v>294</v>
      </c>
      <c r="AK13" s="30" t="s">
        <v>109</v>
      </c>
      <c r="AL13" s="2" t="n">
        <f aca="false">IF(AJ13&lt;&gt;CONCATENATE("Fx",AI13),1,0)</f>
        <v>0</v>
      </c>
      <c r="AM13" s="2"/>
      <c r="AN13" s="28" t="n">
        <v>12</v>
      </c>
      <c r="AO13" s="31" t="s">
        <v>295</v>
      </c>
      <c r="AP13" s="30" t="s">
        <v>109</v>
      </c>
      <c r="AQ13" s="2" t="n">
        <f aca="false">IF(AO13&lt;&gt;CONCATENATE("StFx",AN13),1,0)</f>
        <v>0</v>
      </c>
      <c r="AR13" s="2"/>
      <c r="AS13" s="28" t="n">
        <v>12</v>
      </c>
      <c r="AT13" s="31" t="s">
        <v>296</v>
      </c>
      <c r="AU13" s="30" t="s">
        <v>104</v>
      </c>
    </row>
    <row r="14" customFormat="false" ht="13.8" hidden="false" customHeight="false" outlineLevel="0" collapsed="false">
      <c r="A14" s="28" t="n">
        <v>13</v>
      </c>
      <c r="B14" s="29" t="s">
        <v>297</v>
      </c>
      <c r="C14" s="30" t="s">
        <v>94</v>
      </c>
      <c r="E14" s="28" t="n">
        <v>13</v>
      </c>
      <c r="F14" s="31" t="s">
        <v>298</v>
      </c>
      <c r="G14" s="30" t="s">
        <v>109</v>
      </c>
      <c r="H14" s="2" t="n">
        <f aca="false">IF(F14&lt;&gt;CONCATENATE("Aux",E14),1,0)</f>
        <v>0</v>
      </c>
      <c r="J14" s="28" t="n">
        <v>13</v>
      </c>
      <c r="K14" s="31" t="s">
        <v>299</v>
      </c>
      <c r="L14" s="30" t="s">
        <v>109</v>
      </c>
      <c r="M14" s="2" t="n">
        <f aca="false">IF(K14&lt;&gt;CONCATENATE("STAux",J14),1,0)</f>
        <v>0</v>
      </c>
      <c r="N14" s="2"/>
      <c r="O14" s="28" t="n">
        <v>13</v>
      </c>
      <c r="P14" s="31" t="s">
        <v>300</v>
      </c>
      <c r="Q14" s="30" t="s">
        <v>75</v>
      </c>
      <c r="R14" s="10" t="n">
        <f aca="false">IF(P14&lt;&gt;CONCATENATE("Grp",O14),1,0)</f>
        <v>0</v>
      </c>
      <c r="S14" s="10"/>
      <c r="T14" s="28" t="n">
        <v>13</v>
      </c>
      <c r="U14" s="31" t="s">
        <v>301</v>
      </c>
      <c r="V14" s="30" t="s">
        <v>75</v>
      </c>
      <c r="W14" s="2" t="n">
        <f aca="false">IF(U14&lt;&gt;CONCATENATE("StGrp",T14),1,0)</f>
        <v>0</v>
      </c>
      <c r="Y14" s="28" t="n">
        <v>13</v>
      </c>
      <c r="Z14" s="31" t="s">
        <v>302</v>
      </c>
      <c r="AA14" s="30" t="s">
        <v>123</v>
      </c>
      <c r="AB14" s="2" t="n">
        <f aca="false">IF(Z14&lt;&gt;CONCATENATE("Mtx",Y14),1,0)</f>
        <v>0</v>
      </c>
      <c r="AC14" s="2"/>
      <c r="AD14" s="28" t="n">
        <v>13</v>
      </c>
      <c r="AE14" s="31" t="s">
        <v>303</v>
      </c>
      <c r="AF14" s="30" t="s">
        <v>123</v>
      </c>
      <c r="AG14" s="2" t="n">
        <f aca="false">IF(AE14&lt;&gt;CONCATENATE("StMtx",AD14),1,0)</f>
        <v>0</v>
      </c>
      <c r="AI14" s="28" t="n">
        <v>13</v>
      </c>
      <c r="AJ14" s="31" t="s">
        <v>304</v>
      </c>
      <c r="AK14" s="30" t="s">
        <v>109</v>
      </c>
      <c r="AL14" s="2" t="n">
        <f aca="false">IF(AJ14&lt;&gt;CONCATENATE("Fx",AI14),1,0)</f>
        <v>0</v>
      </c>
      <c r="AM14" s="2"/>
      <c r="AN14" s="28" t="n">
        <v>13</v>
      </c>
      <c r="AO14" s="31" t="s">
        <v>305</v>
      </c>
      <c r="AP14" s="30" t="s">
        <v>109</v>
      </c>
      <c r="AQ14" s="2" t="n">
        <f aca="false">IF(AO14&lt;&gt;CONCATENATE("StFx",AN14),1,0)</f>
        <v>0</v>
      </c>
      <c r="AR14" s="2"/>
      <c r="AS14" s="28" t="n">
        <v>13</v>
      </c>
      <c r="AT14" s="31" t="s">
        <v>306</v>
      </c>
      <c r="AU14" s="30" t="s">
        <v>104</v>
      </c>
    </row>
    <row r="15" customFormat="false" ht="13.8" hidden="false" customHeight="false" outlineLevel="0" collapsed="false">
      <c r="A15" s="28" t="n">
        <v>14</v>
      </c>
      <c r="B15" s="29" t="s">
        <v>307</v>
      </c>
      <c r="C15" s="30" t="s">
        <v>94</v>
      </c>
      <c r="E15" s="28" t="n">
        <v>14</v>
      </c>
      <c r="F15" s="31" t="s">
        <v>308</v>
      </c>
      <c r="G15" s="30" t="s">
        <v>109</v>
      </c>
      <c r="H15" s="2" t="n">
        <f aca="false">IF(F15&lt;&gt;CONCATENATE("Aux",E15),1,0)</f>
        <v>0</v>
      </c>
      <c r="J15" s="28" t="n">
        <v>14</v>
      </c>
      <c r="K15" s="31" t="s">
        <v>309</v>
      </c>
      <c r="L15" s="30" t="s">
        <v>109</v>
      </c>
      <c r="M15" s="2" t="n">
        <f aca="false">IF(K15&lt;&gt;CONCATENATE("STAux",J15),1,0)</f>
        <v>0</v>
      </c>
      <c r="N15" s="2"/>
      <c r="O15" s="28" t="n">
        <v>14</v>
      </c>
      <c r="P15" s="31" t="s">
        <v>310</v>
      </c>
      <c r="Q15" s="30" t="s">
        <v>75</v>
      </c>
      <c r="R15" s="10" t="n">
        <f aca="false">IF(P15&lt;&gt;CONCATENATE("Grp",O15),1,0)</f>
        <v>0</v>
      </c>
      <c r="S15" s="10"/>
      <c r="T15" s="28" t="n">
        <v>14</v>
      </c>
      <c r="U15" s="31" t="s">
        <v>311</v>
      </c>
      <c r="V15" s="30" t="s">
        <v>75</v>
      </c>
      <c r="W15" s="2" t="n">
        <f aca="false">IF(U15&lt;&gt;CONCATENATE("StGrp",T15),1,0)</f>
        <v>0</v>
      </c>
      <c r="Y15" s="28" t="n">
        <v>14</v>
      </c>
      <c r="Z15" s="31" t="s">
        <v>312</v>
      </c>
      <c r="AA15" s="30" t="s">
        <v>123</v>
      </c>
      <c r="AB15" s="2" t="n">
        <f aca="false">IF(Z15&lt;&gt;CONCATENATE("Mtx",Y15),1,0)</f>
        <v>0</v>
      </c>
      <c r="AC15" s="2"/>
      <c r="AD15" s="28" t="n">
        <v>14</v>
      </c>
      <c r="AE15" s="31" t="s">
        <v>313</v>
      </c>
      <c r="AF15" s="30" t="s">
        <v>123</v>
      </c>
      <c r="AG15" s="2" t="n">
        <f aca="false">IF(AE15&lt;&gt;CONCATENATE("StMtx",AD15),1,0)</f>
        <v>0</v>
      </c>
      <c r="AI15" s="28" t="n">
        <v>14</v>
      </c>
      <c r="AJ15" s="31" t="s">
        <v>314</v>
      </c>
      <c r="AK15" s="30" t="s">
        <v>109</v>
      </c>
      <c r="AL15" s="2" t="n">
        <f aca="false">IF(AJ15&lt;&gt;CONCATENATE("Fx",AI15),1,0)</f>
        <v>0</v>
      </c>
      <c r="AM15" s="2"/>
      <c r="AN15" s="28" t="n">
        <v>14</v>
      </c>
      <c r="AO15" s="31" t="s">
        <v>315</v>
      </c>
      <c r="AP15" s="30" t="s">
        <v>109</v>
      </c>
      <c r="AQ15" s="2" t="n">
        <f aca="false">IF(AO15&lt;&gt;CONCATENATE("StFx",AN15),1,0)</f>
        <v>0</v>
      </c>
      <c r="AR15" s="2"/>
      <c r="AS15" s="28" t="n">
        <v>14</v>
      </c>
      <c r="AT15" s="31" t="s">
        <v>316</v>
      </c>
      <c r="AU15" s="30" t="s">
        <v>104</v>
      </c>
    </row>
    <row r="16" customFormat="false" ht="13.8" hidden="false" customHeight="false" outlineLevel="0" collapsed="false">
      <c r="A16" s="28" t="n">
        <v>15</v>
      </c>
      <c r="B16" s="29" t="s">
        <v>317</v>
      </c>
      <c r="C16" s="30" t="s">
        <v>94</v>
      </c>
      <c r="E16" s="28" t="n">
        <v>15</v>
      </c>
      <c r="F16" s="31" t="s">
        <v>318</v>
      </c>
      <c r="G16" s="30" t="s">
        <v>109</v>
      </c>
      <c r="H16" s="2" t="n">
        <f aca="false">IF(F16&lt;&gt;CONCATENATE("Aux",E16),1,0)</f>
        <v>0</v>
      </c>
      <c r="J16" s="28" t="n">
        <v>15</v>
      </c>
      <c r="K16" s="31" t="s">
        <v>319</v>
      </c>
      <c r="L16" s="30" t="s">
        <v>109</v>
      </c>
      <c r="M16" s="2" t="n">
        <f aca="false">IF(K16&lt;&gt;CONCATENATE("STAux",J16),1,0)</f>
        <v>0</v>
      </c>
      <c r="N16" s="2"/>
      <c r="O16" s="28" t="n">
        <v>15</v>
      </c>
      <c r="P16" s="31" t="s">
        <v>320</v>
      </c>
      <c r="Q16" s="30" t="s">
        <v>75</v>
      </c>
      <c r="R16" s="10" t="n">
        <f aca="false">IF(P16&lt;&gt;CONCATENATE("Grp",O16),1,0)</f>
        <v>0</v>
      </c>
      <c r="S16" s="10"/>
      <c r="T16" s="28" t="n">
        <v>15</v>
      </c>
      <c r="U16" s="31" t="s">
        <v>321</v>
      </c>
      <c r="V16" s="30" t="s">
        <v>75</v>
      </c>
      <c r="W16" s="2" t="n">
        <f aca="false">IF(U16&lt;&gt;CONCATENATE("StGrp",T16),1,0)</f>
        <v>0</v>
      </c>
      <c r="Y16" s="28" t="n">
        <v>15</v>
      </c>
      <c r="Z16" s="31" t="s">
        <v>322</v>
      </c>
      <c r="AA16" s="30" t="s">
        <v>123</v>
      </c>
      <c r="AB16" s="2" t="n">
        <f aca="false">IF(Z16&lt;&gt;CONCATENATE("Mtx",Y16),1,0)</f>
        <v>0</v>
      </c>
      <c r="AC16" s="2"/>
      <c r="AD16" s="28" t="n">
        <v>15</v>
      </c>
      <c r="AE16" s="31" t="s">
        <v>323</v>
      </c>
      <c r="AF16" s="30" t="s">
        <v>123</v>
      </c>
      <c r="AG16" s="2" t="n">
        <f aca="false">IF(AE16&lt;&gt;CONCATENATE("StMtx",AD16),1,0)</f>
        <v>0</v>
      </c>
      <c r="AI16" s="28" t="n">
        <v>15</v>
      </c>
      <c r="AJ16" s="31" t="s">
        <v>324</v>
      </c>
      <c r="AK16" s="30" t="s">
        <v>109</v>
      </c>
      <c r="AL16" s="2" t="n">
        <f aca="false">IF(AJ16&lt;&gt;CONCATENATE("Fx",AI16),1,0)</f>
        <v>0</v>
      </c>
      <c r="AM16" s="2"/>
      <c r="AN16" s="28" t="n">
        <v>15</v>
      </c>
      <c r="AO16" s="31" t="s">
        <v>325</v>
      </c>
      <c r="AP16" s="30" t="s">
        <v>109</v>
      </c>
      <c r="AQ16" s="2" t="n">
        <f aca="false">IF(AO16&lt;&gt;CONCATENATE("StFx",AN16),1,0)</f>
        <v>0</v>
      </c>
      <c r="AR16" s="2"/>
      <c r="AS16" s="28" t="n">
        <v>15</v>
      </c>
      <c r="AT16" s="31" t="s">
        <v>326</v>
      </c>
      <c r="AU16" s="30" t="s">
        <v>104</v>
      </c>
    </row>
    <row r="17" customFormat="false" ht="13.8" hidden="false" customHeight="false" outlineLevel="0" collapsed="false">
      <c r="A17" s="28" t="n">
        <v>16</v>
      </c>
      <c r="B17" s="29" t="s">
        <v>327</v>
      </c>
      <c r="C17" s="30" t="s">
        <v>94</v>
      </c>
      <c r="E17" s="28" t="n">
        <v>16</v>
      </c>
      <c r="F17" s="31" t="s">
        <v>328</v>
      </c>
      <c r="G17" s="30" t="s">
        <v>109</v>
      </c>
      <c r="H17" s="2" t="n">
        <f aca="false">IF(F17&lt;&gt;CONCATENATE("Aux",E17),1,0)</f>
        <v>0</v>
      </c>
      <c r="J17" s="28" t="n">
        <v>16</v>
      </c>
      <c r="K17" s="31" t="s">
        <v>329</v>
      </c>
      <c r="L17" s="30" t="s">
        <v>109</v>
      </c>
      <c r="M17" s="2" t="n">
        <f aca="false">IF(K17&lt;&gt;CONCATENATE("STAux",J17),1,0)</f>
        <v>0</v>
      </c>
      <c r="N17" s="2"/>
      <c r="O17" s="28" t="n">
        <v>16</v>
      </c>
      <c r="P17" s="31" t="s">
        <v>330</v>
      </c>
      <c r="Q17" s="30" t="s">
        <v>75</v>
      </c>
      <c r="R17" s="10" t="n">
        <f aca="false">IF(P17&lt;&gt;CONCATENATE("Grp",O17),1,0)</f>
        <v>0</v>
      </c>
      <c r="S17" s="10"/>
      <c r="T17" s="28" t="n">
        <v>16</v>
      </c>
      <c r="U17" s="31" t="s">
        <v>331</v>
      </c>
      <c r="V17" s="30" t="s">
        <v>75</v>
      </c>
      <c r="W17" s="2" t="n">
        <f aca="false">IF(U17&lt;&gt;CONCATENATE("StGrp",T17),1,0)</f>
        <v>0</v>
      </c>
      <c r="Y17" s="28" t="n">
        <v>16</v>
      </c>
      <c r="Z17" s="31" t="s">
        <v>332</v>
      </c>
      <c r="AA17" s="30" t="s">
        <v>123</v>
      </c>
      <c r="AB17" s="2" t="n">
        <f aca="false">IF(Z17&lt;&gt;CONCATENATE("Mtx",Y17),1,0)</f>
        <v>0</v>
      </c>
      <c r="AC17" s="2"/>
      <c r="AD17" s="28" t="n">
        <v>16</v>
      </c>
      <c r="AE17" s="31" t="s">
        <v>333</v>
      </c>
      <c r="AF17" s="30" t="s">
        <v>123</v>
      </c>
      <c r="AG17" s="2" t="n">
        <f aca="false">IF(AE17&lt;&gt;CONCATENATE("StMtx",AD17),1,0)</f>
        <v>0</v>
      </c>
      <c r="AI17" s="28" t="n">
        <v>16</v>
      </c>
      <c r="AJ17" s="31" t="s">
        <v>334</v>
      </c>
      <c r="AK17" s="30" t="s">
        <v>109</v>
      </c>
      <c r="AL17" s="2" t="n">
        <f aca="false">IF(AJ17&lt;&gt;CONCATENATE("Fx",AI17),1,0)</f>
        <v>0</v>
      </c>
      <c r="AM17" s="2"/>
      <c r="AN17" s="28" t="n">
        <v>16</v>
      </c>
      <c r="AO17" s="31" t="s">
        <v>335</v>
      </c>
      <c r="AP17" s="30" t="s">
        <v>109</v>
      </c>
      <c r="AQ17" s="2" t="n">
        <f aca="false">IF(AO17&lt;&gt;CONCATENATE("StFx",AN17),1,0)</f>
        <v>0</v>
      </c>
      <c r="AR17" s="2"/>
      <c r="AS17" s="28" t="n">
        <v>16</v>
      </c>
      <c r="AT17" s="31" t="s">
        <v>336</v>
      </c>
      <c r="AU17" s="30" t="s">
        <v>104</v>
      </c>
    </row>
    <row r="18" customFormat="false" ht="13.8" hidden="false" customHeight="false" outlineLevel="0" collapsed="false">
      <c r="A18" s="28" t="n">
        <v>17</v>
      </c>
      <c r="B18" s="29" t="s">
        <v>337</v>
      </c>
      <c r="C18" s="30" t="s">
        <v>94</v>
      </c>
      <c r="E18" s="28" t="n">
        <v>17</v>
      </c>
      <c r="F18" s="31" t="s">
        <v>338</v>
      </c>
      <c r="G18" s="30" t="s">
        <v>109</v>
      </c>
      <c r="H18" s="2" t="n">
        <f aca="false">IF(F18&lt;&gt;CONCATENATE("Aux",E18),1,0)</f>
        <v>0</v>
      </c>
      <c r="J18" s="28" t="n">
        <v>17</v>
      </c>
      <c r="K18" s="31" t="s">
        <v>339</v>
      </c>
      <c r="L18" s="30" t="s">
        <v>109</v>
      </c>
      <c r="M18" s="2" t="n">
        <f aca="false">IF(K18&lt;&gt;CONCATENATE("STAux",J18),1,0)</f>
        <v>0</v>
      </c>
      <c r="N18" s="2"/>
      <c r="O18" s="28" t="n">
        <v>17</v>
      </c>
      <c r="P18" s="31" t="s">
        <v>340</v>
      </c>
      <c r="Q18" s="30" t="s">
        <v>75</v>
      </c>
      <c r="R18" s="10" t="n">
        <f aca="false">IF(P18&lt;&gt;CONCATENATE("Grp",O18),1,0)</f>
        <v>0</v>
      </c>
      <c r="S18" s="10"/>
      <c r="T18" s="28" t="n">
        <v>17</v>
      </c>
      <c r="U18" s="31" t="s">
        <v>341</v>
      </c>
      <c r="V18" s="30" t="s">
        <v>75</v>
      </c>
      <c r="W18" s="2" t="n">
        <f aca="false">IF(U18&lt;&gt;CONCATENATE("StGrp",T18),1,0)</f>
        <v>0</v>
      </c>
      <c r="Y18" s="28" t="n">
        <v>17</v>
      </c>
      <c r="Z18" s="31" t="s">
        <v>342</v>
      </c>
      <c r="AA18" s="30" t="s">
        <v>123</v>
      </c>
      <c r="AB18" s="2" t="n">
        <f aca="false">IF(Z18&lt;&gt;CONCATENATE("Mtx",Y18),1,0)</f>
        <v>0</v>
      </c>
      <c r="AC18" s="2"/>
      <c r="AD18" s="28" t="n">
        <v>17</v>
      </c>
      <c r="AE18" s="31" t="s">
        <v>343</v>
      </c>
      <c r="AF18" s="30" t="s">
        <v>123</v>
      </c>
      <c r="AG18" s="2" t="n">
        <f aca="false">IF(AE18&lt;&gt;CONCATENATE("StMtx",AD18),1,0)</f>
        <v>0</v>
      </c>
    </row>
    <row r="19" customFormat="false" ht="13.8" hidden="false" customHeight="false" outlineLevel="0" collapsed="false">
      <c r="A19" s="28" t="n">
        <v>18</v>
      </c>
      <c r="B19" s="29" t="s">
        <v>344</v>
      </c>
      <c r="C19" s="30" t="s">
        <v>94</v>
      </c>
      <c r="E19" s="28" t="n">
        <v>18</v>
      </c>
      <c r="F19" s="31" t="s">
        <v>345</v>
      </c>
      <c r="G19" s="30" t="s">
        <v>109</v>
      </c>
      <c r="H19" s="2" t="n">
        <f aca="false">IF(F19&lt;&gt;CONCATENATE("Aux",E19),1,0)</f>
        <v>0</v>
      </c>
      <c r="J19" s="28" t="n">
        <v>18</v>
      </c>
      <c r="K19" s="31" t="s">
        <v>346</v>
      </c>
      <c r="L19" s="30" t="s">
        <v>109</v>
      </c>
      <c r="M19" s="2" t="n">
        <f aca="false">IF(K19&lt;&gt;CONCATENATE("STAux",J19),1,0)</f>
        <v>0</v>
      </c>
      <c r="N19" s="2"/>
      <c r="O19" s="28" t="n">
        <v>18</v>
      </c>
      <c r="P19" s="31" t="s">
        <v>347</v>
      </c>
      <c r="Q19" s="30" t="s">
        <v>75</v>
      </c>
      <c r="R19" s="10" t="n">
        <f aca="false">IF(P19&lt;&gt;CONCATENATE("Grp",O19),1,0)</f>
        <v>0</v>
      </c>
      <c r="S19" s="10"/>
      <c r="T19" s="28" t="n">
        <v>18</v>
      </c>
      <c r="U19" s="31" t="s">
        <v>348</v>
      </c>
      <c r="V19" s="30" t="s">
        <v>75</v>
      </c>
      <c r="W19" s="2" t="n">
        <f aca="false">IF(U19&lt;&gt;CONCATENATE("StGrp",T19),1,0)</f>
        <v>0</v>
      </c>
      <c r="Y19" s="28" t="n">
        <v>18</v>
      </c>
      <c r="Z19" s="31" t="s">
        <v>349</v>
      </c>
      <c r="AA19" s="30" t="s">
        <v>123</v>
      </c>
      <c r="AB19" s="2" t="n">
        <f aca="false">IF(Z19&lt;&gt;CONCATENATE("Mtx",Y19),1,0)</f>
        <v>0</v>
      </c>
      <c r="AC19" s="2"/>
      <c r="AD19" s="28" t="n">
        <v>18</v>
      </c>
      <c r="AE19" s="31" t="s">
        <v>350</v>
      </c>
      <c r="AF19" s="30" t="s">
        <v>123</v>
      </c>
      <c r="AG19" s="2" t="n">
        <f aca="false">IF(AE19&lt;&gt;CONCATENATE("StMtx",AD19),1,0)</f>
        <v>0</v>
      </c>
    </row>
    <row r="20" customFormat="false" ht="13.8" hidden="false" customHeight="false" outlineLevel="0" collapsed="false">
      <c r="A20" s="28" t="n">
        <v>19</v>
      </c>
      <c r="B20" s="29" t="s">
        <v>351</v>
      </c>
      <c r="C20" s="30" t="s">
        <v>94</v>
      </c>
      <c r="E20" s="28" t="n">
        <v>19</v>
      </c>
      <c r="F20" s="31" t="s">
        <v>352</v>
      </c>
      <c r="G20" s="30" t="s">
        <v>109</v>
      </c>
      <c r="H20" s="2" t="n">
        <f aca="false">IF(F20&lt;&gt;CONCATENATE("Aux",E20),1,0)</f>
        <v>0</v>
      </c>
      <c r="J20" s="28" t="n">
        <v>19</v>
      </c>
      <c r="K20" s="31" t="s">
        <v>353</v>
      </c>
      <c r="L20" s="30" t="s">
        <v>109</v>
      </c>
      <c r="M20" s="2" t="n">
        <f aca="false">IF(K20&lt;&gt;CONCATENATE("STAux",J20),1,0)</f>
        <v>0</v>
      </c>
      <c r="N20" s="2"/>
      <c r="O20" s="28" t="n">
        <v>19</v>
      </c>
      <c r="P20" s="31" t="s">
        <v>354</v>
      </c>
      <c r="Q20" s="30" t="s">
        <v>75</v>
      </c>
      <c r="R20" s="10" t="n">
        <f aca="false">IF(P20&lt;&gt;CONCATENATE("Grp",O20),1,0)</f>
        <v>0</v>
      </c>
      <c r="S20" s="10"/>
      <c r="T20" s="28" t="n">
        <v>19</v>
      </c>
      <c r="U20" s="31" t="s">
        <v>355</v>
      </c>
      <c r="V20" s="30" t="s">
        <v>75</v>
      </c>
      <c r="W20" s="2" t="n">
        <f aca="false">IF(U20&lt;&gt;CONCATENATE("StGrp",T20),1,0)</f>
        <v>0</v>
      </c>
      <c r="Y20" s="28" t="n">
        <v>19</v>
      </c>
      <c r="Z20" s="31" t="s">
        <v>356</v>
      </c>
      <c r="AA20" s="30" t="s">
        <v>123</v>
      </c>
      <c r="AB20" s="2" t="n">
        <f aca="false">IF(Z20&lt;&gt;CONCATENATE("Mtx",Y20),1,0)</f>
        <v>0</v>
      </c>
      <c r="AC20" s="2"/>
      <c r="AD20" s="28" t="n">
        <v>19</v>
      </c>
      <c r="AE20" s="31" t="s">
        <v>357</v>
      </c>
      <c r="AF20" s="30" t="s">
        <v>123</v>
      </c>
      <c r="AG20" s="2" t="n">
        <f aca="false">IF(AE20&lt;&gt;CONCATENATE("StMtx",AD20),1,0)</f>
        <v>0</v>
      </c>
    </row>
    <row r="21" customFormat="false" ht="13.8" hidden="false" customHeight="false" outlineLevel="0" collapsed="false">
      <c r="A21" s="28" t="n">
        <v>20</v>
      </c>
      <c r="B21" s="29" t="s">
        <v>358</v>
      </c>
      <c r="C21" s="30" t="s">
        <v>94</v>
      </c>
      <c r="E21" s="28" t="n">
        <v>20</v>
      </c>
      <c r="F21" s="31" t="s">
        <v>359</v>
      </c>
      <c r="G21" s="30" t="s">
        <v>109</v>
      </c>
      <c r="H21" s="2" t="n">
        <f aca="false">IF(F21&lt;&gt;CONCATENATE("Aux",E21),1,0)</f>
        <v>0</v>
      </c>
      <c r="J21" s="28" t="n">
        <v>20</v>
      </c>
      <c r="K21" s="31" t="s">
        <v>360</v>
      </c>
      <c r="L21" s="30" t="s">
        <v>109</v>
      </c>
      <c r="M21" s="2" t="n">
        <f aca="false">IF(K21&lt;&gt;CONCATENATE("STAux",J21),1,0)</f>
        <v>0</v>
      </c>
      <c r="N21" s="2"/>
      <c r="O21" s="28" t="n">
        <v>20</v>
      </c>
      <c r="P21" s="31" t="s">
        <v>361</v>
      </c>
      <c r="Q21" s="30" t="s">
        <v>75</v>
      </c>
      <c r="R21" s="10" t="n">
        <f aca="false">IF(P21&lt;&gt;CONCATENATE("Grp",O21),1,0)</f>
        <v>0</v>
      </c>
      <c r="S21" s="10"/>
      <c r="T21" s="28" t="n">
        <v>20</v>
      </c>
      <c r="U21" s="31" t="s">
        <v>362</v>
      </c>
      <c r="V21" s="30" t="s">
        <v>75</v>
      </c>
      <c r="W21" s="2" t="n">
        <f aca="false">IF(U21&lt;&gt;CONCATENATE("StGrp",T21),1,0)</f>
        <v>0</v>
      </c>
      <c r="Y21" s="28" t="n">
        <v>20</v>
      </c>
      <c r="Z21" s="31" t="s">
        <v>363</v>
      </c>
      <c r="AA21" s="30" t="s">
        <v>123</v>
      </c>
      <c r="AB21" s="2" t="n">
        <f aca="false">IF(Z21&lt;&gt;CONCATENATE("Mtx",Y21),1,0)</f>
        <v>0</v>
      </c>
      <c r="AC21" s="2"/>
      <c r="AD21" s="28" t="n">
        <v>20</v>
      </c>
      <c r="AE21" s="31" t="s">
        <v>364</v>
      </c>
      <c r="AF21" s="30" t="s">
        <v>123</v>
      </c>
      <c r="AG21" s="2" t="n">
        <f aca="false">IF(AE21&lt;&gt;CONCATENATE("StMtx",AD21),1,0)</f>
        <v>0</v>
      </c>
    </row>
    <row r="22" customFormat="false" ht="13.8" hidden="false" customHeight="false" outlineLevel="0" collapsed="false">
      <c r="A22" s="28" t="n">
        <v>21</v>
      </c>
      <c r="B22" s="29" t="s">
        <v>365</v>
      </c>
      <c r="C22" s="30" t="s">
        <v>94</v>
      </c>
      <c r="E22" s="28" t="n">
        <v>21</v>
      </c>
      <c r="F22" s="31" t="s">
        <v>366</v>
      </c>
      <c r="G22" s="30" t="s">
        <v>109</v>
      </c>
      <c r="H22" s="2" t="n">
        <f aca="false">IF(F22&lt;&gt;CONCATENATE("Aux",E22),1,0)</f>
        <v>0</v>
      </c>
      <c r="J22" s="28" t="n">
        <v>21</v>
      </c>
      <c r="K22" s="31" t="s">
        <v>367</v>
      </c>
      <c r="L22" s="30" t="s">
        <v>109</v>
      </c>
      <c r="M22" s="2" t="n">
        <f aca="false">IF(K22&lt;&gt;CONCATENATE("STAux",J22),1,0)</f>
        <v>0</v>
      </c>
      <c r="N22" s="2"/>
      <c r="O22" s="28" t="n">
        <v>21</v>
      </c>
      <c r="P22" s="31" t="s">
        <v>368</v>
      </c>
      <c r="Q22" s="30" t="s">
        <v>75</v>
      </c>
      <c r="R22" s="10" t="n">
        <f aca="false">IF(P22&lt;&gt;CONCATENATE("Grp",O22),1,0)</f>
        <v>0</v>
      </c>
      <c r="S22" s="10"/>
      <c r="T22" s="28" t="n">
        <v>21</v>
      </c>
      <c r="U22" s="31" t="s">
        <v>369</v>
      </c>
      <c r="V22" s="30" t="s">
        <v>75</v>
      </c>
      <c r="W22" s="2" t="n">
        <f aca="false">IF(U22&lt;&gt;CONCATENATE("StGrp",T22),1,0)</f>
        <v>0</v>
      </c>
      <c r="Y22" s="28" t="n">
        <v>21</v>
      </c>
      <c r="Z22" s="31" t="s">
        <v>370</v>
      </c>
      <c r="AA22" s="30" t="s">
        <v>123</v>
      </c>
      <c r="AB22" s="2" t="n">
        <f aca="false">IF(Z22&lt;&gt;CONCATENATE("Mtx",Y22),1,0)</f>
        <v>0</v>
      </c>
      <c r="AC22" s="2"/>
      <c r="AD22" s="28" t="n">
        <v>21</v>
      </c>
      <c r="AE22" s="31" t="s">
        <v>371</v>
      </c>
      <c r="AF22" s="30" t="s">
        <v>123</v>
      </c>
      <c r="AG22" s="2" t="n">
        <f aca="false">IF(AE22&lt;&gt;CONCATENATE("StMtx",AD22),1,0)</f>
        <v>0</v>
      </c>
    </row>
    <row r="23" customFormat="false" ht="13.8" hidden="false" customHeight="false" outlineLevel="0" collapsed="false">
      <c r="A23" s="28" t="n">
        <v>22</v>
      </c>
      <c r="B23" s="29" t="s">
        <v>372</v>
      </c>
      <c r="C23" s="30" t="s">
        <v>94</v>
      </c>
      <c r="E23" s="28" t="n">
        <v>22</v>
      </c>
      <c r="F23" s="31" t="s">
        <v>373</v>
      </c>
      <c r="G23" s="30" t="s">
        <v>109</v>
      </c>
      <c r="H23" s="2" t="n">
        <f aca="false">IF(F23&lt;&gt;CONCATENATE("Aux",E23),1,0)</f>
        <v>0</v>
      </c>
      <c r="J23" s="28" t="n">
        <v>22</v>
      </c>
      <c r="K23" s="31" t="s">
        <v>374</v>
      </c>
      <c r="L23" s="30" t="s">
        <v>109</v>
      </c>
      <c r="M23" s="2" t="n">
        <f aca="false">IF(K23&lt;&gt;CONCATENATE("STAux",J23),1,0)</f>
        <v>0</v>
      </c>
      <c r="N23" s="2"/>
      <c r="O23" s="28" t="n">
        <v>22</v>
      </c>
      <c r="P23" s="31" t="s">
        <v>375</v>
      </c>
      <c r="Q23" s="30" t="s">
        <v>75</v>
      </c>
      <c r="R23" s="10" t="n">
        <f aca="false">IF(P23&lt;&gt;CONCATENATE("Grp",O23),1,0)</f>
        <v>0</v>
      </c>
      <c r="S23" s="10"/>
      <c r="T23" s="28" t="n">
        <v>22</v>
      </c>
      <c r="U23" s="31" t="s">
        <v>376</v>
      </c>
      <c r="V23" s="30" t="s">
        <v>75</v>
      </c>
      <c r="W23" s="2" t="n">
        <f aca="false">IF(U23&lt;&gt;CONCATENATE("StGrp",T23),1,0)</f>
        <v>0</v>
      </c>
      <c r="Y23" s="28" t="n">
        <v>22</v>
      </c>
      <c r="Z23" s="31" t="s">
        <v>377</v>
      </c>
      <c r="AA23" s="30" t="s">
        <v>123</v>
      </c>
      <c r="AB23" s="2" t="n">
        <f aca="false">IF(Z23&lt;&gt;CONCATENATE("Mtx",Y23),1,0)</f>
        <v>0</v>
      </c>
      <c r="AC23" s="2"/>
      <c r="AD23" s="28" t="n">
        <v>22</v>
      </c>
      <c r="AE23" s="31" t="s">
        <v>378</v>
      </c>
      <c r="AF23" s="30" t="s">
        <v>123</v>
      </c>
      <c r="AG23" s="2" t="n">
        <f aca="false">IF(AE23&lt;&gt;CONCATENATE("StMtx",AD23),1,0)</f>
        <v>0</v>
      </c>
    </row>
    <row r="24" customFormat="false" ht="13.8" hidden="false" customHeight="false" outlineLevel="0" collapsed="false">
      <c r="A24" s="28" t="n">
        <v>23</v>
      </c>
      <c r="B24" s="29" t="s">
        <v>379</v>
      </c>
      <c r="C24" s="30" t="s">
        <v>94</v>
      </c>
      <c r="E24" s="28" t="n">
        <v>23</v>
      </c>
      <c r="F24" s="31" t="s">
        <v>380</v>
      </c>
      <c r="G24" s="30" t="s">
        <v>109</v>
      </c>
      <c r="H24" s="2" t="n">
        <f aca="false">IF(F24&lt;&gt;CONCATENATE("Aux",E24),1,0)</f>
        <v>0</v>
      </c>
      <c r="J24" s="28" t="n">
        <v>23</v>
      </c>
      <c r="K24" s="31" t="s">
        <v>381</v>
      </c>
      <c r="L24" s="30" t="s">
        <v>109</v>
      </c>
      <c r="M24" s="2" t="n">
        <f aca="false">IF(K24&lt;&gt;CONCATENATE("STAux",J24),1,0)</f>
        <v>0</v>
      </c>
      <c r="N24" s="2"/>
      <c r="O24" s="28" t="n">
        <v>23</v>
      </c>
      <c r="P24" s="31" t="s">
        <v>382</v>
      </c>
      <c r="Q24" s="30" t="s">
        <v>75</v>
      </c>
      <c r="R24" s="10" t="n">
        <f aca="false">IF(P24&lt;&gt;CONCATENATE("Grp",O24),1,0)</f>
        <v>0</v>
      </c>
      <c r="S24" s="10"/>
      <c r="T24" s="28" t="n">
        <v>23</v>
      </c>
      <c r="U24" s="31" t="s">
        <v>383</v>
      </c>
      <c r="V24" s="30" t="s">
        <v>75</v>
      </c>
      <c r="W24" s="2" t="n">
        <f aca="false">IF(U24&lt;&gt;CONCATENATE("StGrp",T24),1,0)</f>
        <v>0</v>
      </c>
      <c r="Y24" s="28" t="n">
        <v>23</v>
      </c>
      <c r="Z24" s="31" t="s">
        <v>384</v>
      </c>
      <c r="AA24" s="30" t="s">
        <v>123</v>
      </c>
      <c r="AB24" s="2" t="n">
        <f aca="false">IF(Z24&lt;&gt;CONCATENATE("Mtx",Y24),1,0)</f>
        <v>0</v>
      </c>
      <c r="AC24" s="2"/>
      <c r="AD24" s="28" t="n">
        <v>23</v>
      </c>
      <c r="AE24" s="31" t="s">
        <v>385</v>
      </c>
      <c r="AF24" s="30" t="s">
        <v>123</v>
      </c>
      <c r="AG24" s="2" t="n">
        <f aca="false">IF(AE24&lt;&gt;CONCATENATE("StMtx",AD24),1,0)</f>
        <v>0</v>
      </c>
    </row>
    <row r="25" customFormat="false" ht="13.8" hidden="false" customHeight="false" outlineLevel="0" collapsed="false">
      <c r="A25" s="28" t="n">
        <v>24</v>
      </c>
      <c r="B25" s="29" t="s">
        <v>386</v>
      </c>
      <c r="C25" s="30" t="s">
        <v>94</v>
      </c>
      <c r="E25" s="28" t="n">
        <v>24</v>
      </c>
      <c r="F25" s="31" t="s">
        <v>387</v>
      </c>
      <c r="G25" s="30" t="s">
        <v>109</v>
      </c>
      <c r="H25" s="2" t="n">
        <f aca="false">IF(F25&lt;&gt;CONCATENATE("Aux",E25),1,0)</f>
        <v>0</v>
      </c>
      <c r="J25" s="28" t="n">
        <v>24</v>
      </c>
      <c r="K25" s="31" t="s">
        <v>388</v>
      </c>
      <c r="L25" s="30" t="s">
        <v>109</v>
      </c>
      <c r="M25" s="2" t="n">
        <f aca="false">IF(K25&lt;&gt;CONCATENATE("STAux",J25),1,0)</f>
        <v>0</v>
      </c>
      <c r="N25" s="2"/>
      <c r="O25" s="28" t="n">
        <v>24</v>
      </c>
      <c r="P25" s="31" t="s">
        <v>389</v>
      </c>
      <c r="Q25" s="30" t="s">
        <v>75</v>
      </c>
      <c r="R25" s="10" t="n">
        <f aca="false">IF(P25&lt;&gt;CONCATENATE("Grp",O25),1,0)</f>
        <v>0</v>
      </c>
      <c r="S25" s="10"/>
      <c r="T25" s="28" t="n">
        <v>24</v>
      </c>
      <c r="U25" s="31" t="s">
        <v>390</v>
      </c>
      <c r="V25" s="30" t="s">
        <v>75</v>
      </c>
      <c r="W25" s="2" t="n">
        <f aca="false">IF(U25&lt;&gt;CONCATENATE("StGrp",T25),1,0)</f>
        <v>0</v>
      </c>
      <c r="Y25" s="28" t="n">
        <v>24</v>
      </c>
      <c r="Z25" s="31" t="s">
        <v>391</v>
      </c>
      <c r="AA25" s="30" t="s">
        <v>123</v>
      </c>
      <c r="AB25" s="2" t="n">
        <f aca="false">IF(Z25&lt;&gt;CONCATENATE("Mtx",Y25),1,0)</f>
        <v>0</v>
      </c>
      <c r="AC25" s="2"/>
      <c r="AD25" s="28" t="n">
        <v>24</v>
      </c>
      <c r="AE25" s="31" t="s">
        <v>392</v>
      </c>
      <c r="AF25" s="30" t="s">
        <v>123</v>
      </c>
      <c r="AG25" s="2" t="n">
        <f aca="false">IF(AE25&lt;&gt;CONCATENATE("StMtx",AD25),1,0)</f>
        <v>0</v>
      </c>
    </row>
    <row r="26" customFormat="false" ht="13.8" hidden="false" customHeight="false" outlineLevel="0" collapsed="false">
      <c r="E26" s="28" t="n">
        <v>25</v>
      </c>
      <c r="F26" s="31" t="s">
        <v>393</v>
      </c>
      <c r="G26" s="30" t="s">
        <v>109</v>
      </c>
      <c r="H26" s="2" t="n">
        <f aca="false">IF(F26&lt;&gt;CONCATENATE("Aux",E26),1,0)</f>
        <v>0</v>
      </c>
      <c r="J26" s="28" t="n">
        <v>25</v>
      </c>
      <c r="K26" s="31" t="s">
        <v>394</v>
      </c>
      <c r="L26" s="30" t="s">
        <v>109</v>
      </c>
      <c r="M26" s="2" t="n">
        <f aca="false">IF(K26&lt;&gt;CONCATENATE("STAux",J26),1,0)</f>
        <v>0</v>
      </c>
      <c r="N26" s="2"/>
      <c r="O26" s="28" t="n">
        <v>25</v>
      </c>
      <c r="P26" s="31" t="s">
        <v>395</v>
      </c>
      <c r="Q26" s="30" t="s">
        <v>75</v>
      </c>
      <c r="R26" s="10" t="n">
        <f aca="false">IF(P26&lt;&gt;CONCATENATE("Grp",O26),1,0)</f>
        <v>0</v>
      </c>
      <c r="S26" s="10"/>
      <c r="T26" s="28" t="n">
        <v>25</v>
      </c>
      <c r="U26" s="31" t="s">
        <v>396</v>
      </c>
      <c r="V26" s="30" t="s">
        <v>75</v>
      </c>
      <c r="W26" s="2" t="n">
        <f aca="false">IF(U26&lt;&gt;CONCATENATE("StGrp",T26),1,0)</f>
        <v>0</v>
      </c>
      <c r="Y26" s="28" t="n">
        <v>25</v>
      </c>
      <c r="Z26" s="31" t="s">
        <v>397</v>
      </c>
      <c r="AA26" s="30" t="s">
        <v>123</v>
      </c>
      <c r="AB26" s="2" t="n">
        <f aca="false">IF(Z26&lt;&gt;CONCATENATE("Mtx",Y26),1,0)</f>
        <v>0</v>
      </c>
      <c r="AC26" s="2"/>
      <c r="AD26" s="28" t="n">
        <v>25</v>
      </c>
      <c r="AE26" s="31" t="s">
        <v>398</v>
      </c>
      <c r="AF26" s="30" t="s">
        <v>123</v>
      </c>
      <c r="AG26" s="2" t="n">
        <f aca="false">IF(AE26&lt;&gt;CONCATENATE("StMtx",AD26),1,0)</f>
        <v>0</v>
      </c>
    </row>
    <row r="27" customFormat="false" ht="13.8" hidden="false" customHeight="false" outlineLevel="0" collapsed="false">
      <c r="E27" s="28" t="n">
        <v>26</v>
      </c>
      <c r="F27" s="31" t="s">
        <v>399</v>
      </c>
      <c r="G27" s="30" t="s">
        <v>109</v>
      </c>
      <c r="H27" s="2" t="n">
        <f aca="false">IF(F27&lt;&gt;CONCATENATE("Aux",E27),1,0)</f>
        <v>0</v>
      </c>
      <c r="J27" s="28" t="n">
        <v>26</v>
      </c>
      <c r="K27" s="31" t="s">
        <v>400</v>
      </c>
      <c r="L27" s="30" t="s">
        <v>109</v>
      </c>
      <c r="M27" s="2" t="n">
        <f aca="false">IF(K27&lt;&gt;CONCATENATE("STAux",J27),1,0)</f>
        <v>0</v>
      </c>
      <c r="N27" s="2"/>
      <c r="O27" s="28" t="n">
        <v>26</v>
      </c>
      <c r="P27" s="31" t="s">
        <v>401</v>
      </c>
      <c r="Q27" s="30" t="s">
        <v>75</v>
      </c>
      <c r="R27" s="10" t="n">
        <f aca="false">IF(P27&lt;&gt;CONCATENATE("Grp",O27),1,0)</f>
        <v>0</v>
      </c>
      <c r="S27" s="10"/>
      <c r="T27" s="28" t="n">
        <v>26</v>
      </c>
      <c r="U27" s="31" t="s">
        <v>402</v>
      </c>
      <c r="V27" s="30" t="s">
        <v>75</v>
      </c>
      <c r="W27" s="2" t="n">
        <f aca="false">IF(U27&lt;&gt;CONCATENATE("StGrp",T27),1,0)</f>
        <v>0</v>
      </c>
      <c r="Y27" s="28" t="n">
        <v>26</v>
      </c>
      <c r="Z27" s="31" t="s">
        <v>403</v>
      </c>
      <c r="AA27" s="30" t="s">
        <v>123</v>
      </c>
      <c r="AB27" s="2" t="n">
        <f aca="false">IF(Z27&lt;&gt;CONCATENATE("Mtx",Y27),1,0)</f>
        <v>0</v>
      </c>
      <c r="AC27" s="2"/>
      <c r="AD27" s="28" t="n">
        <v>26</v>
      </c>
      <c r="AE27" s="31" t="s">
        <v>404</v>
      </c>
      <c r="AF27" s="30" t="s">
        <v>123</v>
      </c>
      <c r="AG27" s="2" t="n">
        <f aca="false">IF(AE27&lt;&gt;CONCATENATE("StMtx",AD27),1,0)</f>
        <v>0</v>
      </c>
    </row>
    <row r="28" customFormat="false" ht="13.8" hidden="false" customHeight="false" outlineLevel="0" collapsed="false">
      <c r="E28" s="28" t="n">
        <v>27</v>
      </c>
      <c r="F28" s="31" t="s">
        <v>405</v>
      </c>
      <c r="G28" s="30" t="s">
        <v>109</v>
      </c>
      <c r="H28" s="2" t="n">
        <f aca="false">IF(F28&lt;&gt;CONCATENATE("Aux",E28),1,0)</f>
        <v>0</v>
      </c>
      <c r="J28" s="28" t="n">
        <v>27</v>
      </c>
      <c r="K28" s="31" t="s">
        <v>406</v>
      </c>
      <c r="L28" s="30" t="s">
        <v>109</v>
      </c>
      <c r="M28" s="2" t="n">
        <f aca="false">IF(K28&lt;&gt;CONCATENATE("STAux",J28),1,0)</f>
        <v>0</v>
      </c>
      <c r="N28" s="2"/>
      <c r="O28" s="28" t="n">
        <v>27</v>
      </c>
      <c r="P28" s="31" t="s">
        <v>407</v>
      </c>
      <c r="Q28" s="30" t="s">
        <v>75</v>
      </c>
      <c r="R28" s="10" t="n">
        <f aca="false">IF(P28&lt;&gt;CONCATENATE("Grp",O28),1,0)</f>
        <v>0</v>
      </c>
      <c r="S28" s="10"/>
      <c r="T28" s="28" t="n">
        <v>27</v>
      </c>
      <c r="U28" s="31" t="s">
        <v>408</v>
      </c>
      <c r="V28" s="30" t="s">
        <v>75</v>
      </c>
      <c r="W28" s="2" t="n">
        <f aca="false">IF(U28&lt;&gt;CONCATENATE("StGrp",T28),1,0)</f>
        <v>0</v>
      </c>
      <c r="Y28" s="28" t="n">
        <v>27</v>
      </c>
      <c r="Z28" s="31" t="s">
        <v>409</v>
      </c>
      <c r="AA28" s="30" t="s">
        <v>123</v>
      </c>
      <c r="AB28" s="2" t="n">
        <f aca="false">IF(Z28&lt;&gt;CONCATENATE("Mtx",Y28),1,0)</f>
        <v>0</v>
      </c>
      <c r="AC28" s="2"/>
      <c r="AD28" s="28" t="n">
        <v>27</v>
      </c>
      <c r="AE28" s="31" t="s">
        <v>410</v>
      </c>
      <c r="AF28" s="30" t="s">
        <v>123</v>
      </c>
      <c r="AG28" s="2" t="n">
        <f aca="false">IF(AE28&lt;&gt;CONCATENATE("StMtx",AD28),1,0)</f>
        <v>0</v>
      </c>
    </row>
    <row r="29" customFormat="false" ht="13.8" hidden="false" customHeight="false" outlineLevel="0" collapsed="false">
      <c r="E29" s="28" t="n">
        <v>28</v>
      </c>
      <c r="F29" s="31" t="s">
        <v>411</v>
      </c>
      <c r="G29" s="30" t="s">
        <v>109</v>
      </c>
      <c r="H29" s="2" t="n">
        <f aca="false">IF(F29&lt;&gt;CONCATENATE("Aux",E29),1,0)</f>
        <v>0</v>
      </c>
      <c r="J29" s="28" t="n">
        <v>28</v>
      </c>
      <c r="K29" s="31" t="s">
        <v>412</v>
      </c>
      <c r="L29" s="30" t="s">
        <v>109</v>
      </c>
      <c r="M29" s="2" t="n">
        <f aca="false">IF(K29&lt;&gt;CONCATENATE("STAux",J29),1,0)</f>
        <v>0</v>
      </c>
      <c r="N29" s="2"/>
      <c r="O29" s="28" t="n">
        <v>28</v>
      </c>
      <c r="P29" s="31" t="s">
        <v>413</v>
      </c>
      <c r="Q29" s="30" t="s">
        <v>75</v>
      </c>
      <c r="R29" s="10" t="n">
        <f aca="false">IF(P29&lt;&gt;CONCATENATE("Grp",O29),1,0)</f>
        <v>0</v>
      </c>
      <c r="S29" s="10"/>
      <c r="T29" s="28" t="n">
        <v>28</v>
      </c>
      <c r="U29" s="31" t="s">
        <v>414</v>
      </c>
      <c r="V29" s="30" t="s">
        <v>75</v>
      </c>
      <c r="W29" s="2" t="n">
        <f aca="false">IF(U29&lt;&gt;CONCATENATE("StGrp",T29),1,0)</f>
        <v>0</v>
      </c>
      <c r="Y29" s="28" t="n">
        <v>28</v>
      </c>
      <c r="Z29" s="31" t="s">
        <v>415</v>
      </c>
      <c r="AA29" s="30" t="s">
        <v>123</v>
      </c>
      <c r="AB29" s="2" t="n">
        <f aca="false">IF(Z29&lt;&gt;CONCATENATE("Mtx",Y29),1,0)</f>
        <v>0</v>
      </c>
      <c r="AC29" s="2"/>
      <c r="AD29" s="28" t="n">
        <v>28</v>
      </c>
      <c r="AE29" s="31" t="s">
        <v>416</v>
      </c>
      <c r="AF29" s="30" t="s">
        <v>123</v>
      </c>
      <c r="AG29" s="2" t="n">
        <f aca="false">IF(AE29&lt;&gt;CONCATENATE("StMtx",AD29),1,0)</f>
        <v>0</v>
      </c>
    </row>
    <row r="30" customFormat="false" ht="13.8" hidden="false" customHeight="false" outlineLevel="0" collapsed="false">
      <c r="E30" s="28" t="n">
        <v>29</v>
      </c>
      <c r="F30" s="31" t="s">
        <v>417</v>
      </c>
      <c r="G30" s="30" t="s">
        <v>109</v>
      </c>
      <c r="H30" s="2" t="n">
        <f aca="false">IF(F30&lt;&gt;CONCATENATE("Aux",E30),1,0)</f>
        <v>0</v>
      </c>
      <c r="J30" s="28" t="n">
        <v>29</v>
      </c>
      <c r="K30" s="31" t="s">
        <v>418</v>
      </c>
      <c r="L30" s="30" t="s">
        <v>109</v>
      </c>
      <c r="M30" s="2" t="n">
        <f aca="false">IF(K30&lt;&gt;CONCATENATE("STAux",J30),1,0)</f>
        <v>0</v>
      </c>
      <c r="N30" s="2"/>
      <c r="O30" s="28" t="n">
        <v>29</v>
      </c>
      <c r="P30" s="31" t="s">
        <v>419</v>
      </c>
      <c r="Q30" s="30" t="s">
        <v>75</v>
      </c>
      <c r="R30" s="10" t="n">
        <f aca="false">IF(P30&lt;&gt;CONCATENATE("Grp",O30),1,0)</f>
        <v>0</v>
      </c>
      <c r="S30" s="10"/>
      <c r="T30" s="28" t="n">
        <v>29</v>
      </c>
      <c r="U30" s="31" t="s">
        <v>420</v>
      </c>
      <c r="V30" s="30" t="s">
        <v>75</v>
      </c>
      <c r="W30" s="2" t="n">
        <f aca="false">IF(U30&lt;&gt;CONCATENATE("StGrp",T30),1,0)</f>
        <v>0</v>
      </c>
      <c r="Y30" s="28" t="n">
        <v>29</v>
      </c>
      <c r="Z30" s="31" t="s">
        <v>421</v>
      </c>
      <c r="AA30" s="30" t="s">
        <v>123</v>
      </c>
      <c r="AB30" s="2" t="n">
        <f aca="false">IF(Z30&lt;&gt;CONCATENATE("Mtx",Y30),1,0)</f>
        <v>0</v>
      </c>
      <c r="AC30" s="2"/>
      <c r="AD30" s="28" t="n">
        <v>29</v>
      </c>
      <c r="AE30" s="31" t="s">
        <v>422</v>
      </c>
      <c r="AF30" s="30" t="s">
        <v>123</v>
      </c>
      <c r="AG30" s="2" t="n">
        <f aca="false">IF(AE30&lt;&gt;CONCATENATE("StMtx",AD30),1,0)</f>
        <v>0</v>
      </c>
    </row>
    <row r="31" customFormat="false" ht="13.8" hidden="false" customHeight="false" outlineLevel="0" collapsed="false">
      <c r="E31" s="28" t="n">
        <v>30</v>
      </c>
      <c r="F31" s="31" t="s">
        <v>423</v>
      </c>
      <c r="G31" s="30" t="s">
        <v>109</v>
      </c>
      <c r="H31" s="2" t="n">
        <f aca="false">IF(F31&lt;&gt;CONCATENATE("Aux",E31),1,0)</f>
        <v>0</v>
      </c>
      <c r="J31" s="28" t="n">
        <v>30</v>
      </c>
      <c r="K31" s="31" t="s">
        <v>424</v>
      </c>
      <c r="L31" s="30" t="s">
        <v>109</v>
      </c>
      <c r="M31" s="2" t="n">
        <f aca="false">IF(K31&lt;&gt;CONCATENATE("STAux",J31),1,0)</f>
        <v>0</v>
      </c>
      <c r="N31" s="2"/>
      <c r="O31" s="28" t="n">
        <v>30</v>
      </c>
      <c r="P31" s="31" t="s">
        <v>425</v>
      </c>
      <c r="Q31" s="30" t="s">
        <v>75</v>
      </c>
      <c r="R31" s="10" t="n">
        <f aca="false">IF(P31&lt;&gt;CONCATENATE("Grp",O31),1,0)</f>
        <v>0</v>
      </c>
      <c r="S31" s="10"/>
      <c r="T31" s="28" t="n">
        <v>30</v>
      </c>
      <c r="U31" s="31" t="s">
        <v>426</v>
      </c>
      <c r="V31" s="30" t="s">
        <v>75</v>
      </c>
      <c r="W31" s="2" t="n">
        <f aca="false">IF(U31&lt;&gt;CONCATENATE("StGrp",T31),1,0)</f>
        <v>0</v>
      </c>
      <c r="Y31" s="28" t="n">
        <v>30</v>
      </c>
      <c r="Z31" s="31" t="s">
        <v>427</v>
      </c>
      <c r="AA31" s="30" t="s">
        <v>123</v>
      </c>
      <c r="AB31" s="2" t="n">
        <f aca="false">IF(Z31&lt;&gt;CONCATENATE("Mtx",Y31),1,0)</f>
        <v>0</v>
      </c>
      <c r="AC31" s="2"/>
      <c r="AD31" s="28" t="n">
        <v>30</v>
      </c>
      <c r="AE31" s="31" t="s">
        <v>428</v>
      </c>
      <c r="AF31" s="30" t="s">
        <v>123</v>
      </c>
      <c r="AG31" s="2" t="n">
        <f aca="false">IF(AE31&lt;&gt;CONCATENATE("StMtx",AD31),1,0)</f>
        <v>0</v>
      </c>
    </row>
    <row r="32" customFormat="false" ht="13.8" hidden="false" customHeight="false" outlineLevel="0" collapsed="false">
      <c r="E32" s="28" t="n">
        <v>31</v>
      </c>
      <c r="F32" s="31" t="s">
        <v>429</v>
      </c>
      <c r="G32" s="30" t="s">
        <v>109</v>
      </c>
      <c r="H32" s="2" t="n">
        <f aca="false">IF(F32&lt;&gt;CONCATENATE("Aux",E32),1,0)</f>
        <v>0</v>
      </c>
      <c r="J32" s="28" t="n">
        <v>31</v>
      </c>
      <c r="K32" s="31" t="s">
        <v>430</v>
      </c>
      <c r="L32" s="30" t="s">
        <v>109</v>
      </c>
      <c r="M32" s="2" t="n">
        <f aca="false">IF(K32&lt;&gt;CONCATENATE("STAux",J32),1,0)</f>
        <v>0</v>
      </c>
      <c r="N32" s="2"/>
      <c r="O32" s="28" t="n">
        <v>31</v>
      </c>
      <c r="P32" s="31" t="s">
        <v>431</v>
      </c>
      <c r="Q32" s="30" t="s">
        <v>75</v>
      </c>
      <c r="R32" s="10" t="n">
        <f aca="false">IF(P32&lt;&gt;CONCATENATE("Grp",O32),1,0)</f>
        <v>0</v>
      </c>
      <c r="S32" s="10"/>
      <c r="T32" s="28" t="n">
        <v>31</v>
      </c>
      <c r="U32" s="31" t="s">
        <v>432</v>
      </c>
      <c r="V32" s="30" t="s">
        <v>75</v>
      </c>
      <c r="W32" s="2" t="n">
        <f aca="false">IF(U32&lt;&gt;CONCATENATE("StGrp",T32),1,0)</f>
        <v>0</v>
      </c>
      <c r="Y32" s="28" t="n">
        <v>31</v>
      </c>
      <c r="Z32" s="31" t="s">
        <v>433</v>
      </c>
      <c r="AA32" s="30" t="s">
        <v>123</v>
      </c>
      <c r="AB32" s="2" t="n">
        <f aca="false">IF(Z32&lt;&gt;CONCATENATE("Mtx",Y32),1,0)</f>
        <v>0</v>
      </c>
      <c r="AC32" s="2"/>
      <c r="AD32" s="28" t="n">
        <v>31</v>
      </c>
      <c r="AE32" s="31" t="s">
        <v>434</v>
      </c>
      <c r="AF32" s="30" t="s">
        <v>123</v>
      </c>
      <c r="AG32" s="2" t="n">
        <f aca="false">IF(AE32&lt;&gt;CONCATENATE("StMtx",AD32),1,0)</f>
        <v>0</v>
      </c>
    </row>
    <row r="33" customFormat="false" ht="13.8" hidden="false" customHeight="false" outlineLevel="0" collapsed="false">
      <c r="E33" s="28" t="n">
        <v>32</v>
      </c>
      <c r="F33" s="31" t="s">
        <v>435</v>
      </c>
      <c r="G33" s="30" t="s">
        <v>109</v>
      </c>
      <c r="H33" s="2" t="n">
        <f aca="false">IF(F33&lt;&gt;CONCATENATE("Aux",E33),1,0)</f>
        <v>0</v>
      </c>
      <c r="L33" s="32"/>
      <c r="O33" s="28" t="n">
        <v>32</v>
      </c>
      <c r="P33" s="31" t="s">
        <v>436</v>
      </c>
      <c r="Q33" s="30" t="s">
        <v>75</v>
      </c>
      <c r="R33" s="10" t="n">
        <f aca="false">IF(P33&lt;&gt;CONCATENATE("Grp",O33),1,0)</f>
        <v>0</v>
      </c>
      <c r="S33" s="10"/>
      <c r="V33" s="32"/>
      <c r="Y33" s="28" t="n">
        <v>32</v>
      </c>
      <c r="Z33" s="31" t="s">
        <v>437</v>
      </c>
      <c r="AA33" s="30" t="s">
        <v>123</v>
      </c>
      <c r="AB33" s="2" t="n">
        <f aca="false">IF(Z33&lt;&gt;CONCATENATE("Mtx",Y33),1,0)</f>
        <v>0</v>
      </c>
      <c r="AC33" s="2"/>
      <c r="AJ33" s="33"/>
    </row>
    <row r="34" customFormat="false" ht="13.8" hidden="false" customHeight="false" outlineLevel="0" collapsed="false">
      <c r="E34" s="28" t="n">
        <v>33</v>
      </c>
      <c r="F34" s="31" t="s">
        <v>438</v>
      </c>
      <c r="G34" s="30" t="s">
        <v>109</v>
      </c>
      <c r="H34" s="2" t="n">
        <f aca="false">IF(F34&lt;&gt;CONCATENATE("Aux",E34),1,0)</f>
        <v>0</v>
      </c>
      <c r="O34" s="28" t="n">
        <v>33</v>
      </c>
      <c r="P34" s="31" t="s">
        <v>439</v>
      </c>
      <c r="Q34" s="30" t="s">
        <v>75</v>
      </c>
      <c r="R34" s="10" t="n">
        <f aca="false">IF(P34&lt;&gt;CONCATENATE("Grp",O34),1,0)</f>
        <v>0</v>
      </c>
      <c r="S34" s="10"/>
      <c r="Y34" s="28" t="n">
        <v>33</v>
      </c>
      <c r="Z34" s="31" t="s">
        <v>440</v>
      </c>
      <c r="AA34" s="30" t="s">
        <v>123</v>
      </c>
      <c r="AB34" s="2" t="n">
        <f aca="false">IF(Z34&lt;&gt;CONCATENATE("Mtx",Y34),1,0)</f>
        <v>0</v>
      </c>
      <c r="AC34" s="2"/>
      <c r="AJ34" s="32"/>
    </row>
    <row r="35" customFormat="false" ht="13.8" hidden="false" customHeight="false" outlineLevel="0" collapsed="false">
      <c r="E35" s="28" t="n">
        <v>34</v>
      </c>
      <c r="F35" s="31" t="s">
        <v>441</v>
      </c>
      <c r="G35" s="30" t="s">
        <v>109</v>
      </c>
      <c r="H35" s="2" t="n">
        <f aca="false">IF(F35&lt;&gt;CONCATENATE("Aux",E35),1,0)</f>
        <v>0</v>
      </c>
      <c r="O35" s="28" t="n">
        <v>34</v>
      </c>
      <c r="P35" s="31" t="s">
        <v>442</v>
      </c>
      <c r="Q35" s="30" t="s">
        <v>75</v>
      </c>
      <c r="R35" s="10" t="n">
        <f aca="false">IF(P35&lt;&gt;CONCATENATE("Grp",O35),1,0)</f>
        <v>0</v>
      </c>
      <c r="S35" s="10"/>
      <c r="Y35" s="28" t="n">
        <v>34</v>
      </c>
      <c r="Z35" s="31" t="s">
        <v>443</v>
      </c>
      <c r="AA35" s="30" t="s">
        <v>123</v>
      </c>
      <c r="AB35" s="2" t="n">
        <f aca="false">IF(Z35&lt;&gt;CONCATENATE("Mtx",Y35),1,0)</f>
        <v>0</v>
      </c>
      <c r="AC35" s="2"/>
      <c r="AJ35" s="33"/>
    </row>
    <row r="36" customFormat="false" ht="13.8" hidden="false" customHeight="false" outlineLevel="0" collapsed="false">
      <c r="E36" s="28" t="n">
        <v>35</v>
      </c>
      <c r="F36" s="31" t="s">
        <v>444</v>
      </c>
      <c r="G36" s="30" t="s">
        <v>109</v>
      </c>
      <c r="H36" s="2" t="n">
        <f aca="false">IF(F36&lt;&gt;CONCATENATE("Aux",E36),1,0)</f>
        <v>0</v>
      </c>
      <c r="O36" s="28" t="n">
        <v>35</v>
      </c>
      <c r="P36" s="31" t="s">
        <v>445</v>
      </c>
      <c r="Q36" s="30" t="s">
        <v>75</v>
      </c>
      <c r="R36" s="10" t="n">
        <f aca="false">IF(P36&lt;&gt;CONCATENATE("Grp",O36),1,0)</f>
        <v>0</v>
      </c>
      <c r="S36" s="10"/>
      <c r="Y36" s="28" t="n">
        <v>35</v>
      </c>
      <c r="Z36" s="31" t="s">
        <v>446</v>
      </c>
      <c r="AA36" s="30" t="s">
        <v>123</v>
      </c>
      <c r="AB36" s="2" t="n">
        <f aca="false">IF(Z36&lt;&gt;CONCATENATE("Mtx",Y36),1,0)</f>
        <v>0</v>
      </c>
      <c r="AC36" s="2"/>
    </row>
    <row r="37" customFormat="false" ht="13.8" hidden="false" customHeight="false" outlineLevel="0" collapsed="false">
      <c r="E37" s="28" t="n">
        <v>36</v>
      </c>
      <c r="F37" s="31" t="s">
        <v>447</v>
      </c>
      <c r="G37" s="30" t="s">
        <v>109</v>
      </c>
      <c r="H37" s="2" t="n">
        <f aca="false">IF(F37&lt;&gt;CONCATENATE("Aux",E37),1,0)</f>
        <v>0</v>
      </c>
      <c r="O37" s="28" t="n">
        <v>36</v>
      </c>
      <c r="P37" s="31" t="s">
        <v>448</v>
      </c>
      <c r="Q37" s="30" t="s">
        <v>75</v>
      </c>
      <c r="R37" s="10" t="n">
        <f aca="false">IF(P37&lt;&gt;CONCATENATE("Grp",O37),1,0)</f>
        <v>0</v>
      </c>
      <c r="S37" s="10"/>
      <c r="Y37" s="28" t="n">
        <v>36</v>
      </c>
      <c r="Z37" s="31" t="s">
        <v>449</v>
      </c>
      <c r="AA37" s="30" t="s">
        <v>123</v>
      </c>
      <c r="AB37" s="2" t="n">
        <f aca="false">IF(Z37&lt;&gt;CONCATENATE("Mtx",Y37),1,0)</f>
        <v>0</v>
      </c>
      <c r="AC37" s="2"/>
    </row>
    <row r="38" customFormat="false" ht="13.8" hidden="false" customHeight="false" outlineLevel="0" collapsed="false">
      <c r="E38" s="28" t="n">
        <v>37</v>
      </c>
      <c r="F38" s="31" t="s">
        <v>450</v>
      </c>
      <c r="G38" s="30" t="s">
        <v>109</v>
      </c>
      <c r="H38" s="2" t="n">
        <f aca="false">IF(F38&lt;&gt;CONCATENATE("Aux",E38),1,0)</f>
        <v>0</v>
      </c>
      <c r="O38" s="28" t="n">
        <v>37</v>
      </c>
      <c r="P38" s="31" t="s">
        <v>451</v>
      </c>
      <c r="Q38" s="30" t="s">
        <v>75</v>
      </c>
      <c r="R38" s="10" t="n">
        <f aca="false">IF(P38&lt;&gt;CONCATENATE("Grp",O38),1,0)</f>
        <v>0</v>
      </c>
      <c r="S38" s="10"/>
      <c r="Y38" s="28" t="n">
        <v>37</v>
      </c>
      <c r="Z38" s="31" t="s">
        <v>452</v>
      </c>
      <c r="AA38" s="30" t="s">
        <v>123</v>
      </c>
      <c r="AB38" s="2" t="n">
        <f aca="false">IF(Z38&lt;&gt;CONCATENATE("Mtx",Y38),1,0)</f>
        <v>0</v>
      </c>
      <c r="AC38" s="2"/>
    </row>
    <row r="39" customFormat="false" ht="13.8" hidden="false" customHeight="false" outlineLevel="0" collapsed="false">
      <c r="E39" s="28" t="n">
        <v>38</v>
      </c>
      <c r="F39" s="31" t="s">
        <v>453</v>
      </c>
      <c r="G39" s="30" t="s">
        <v>109</v>
      </c>
      <c r="H39" s="2" t="n">
        <f aca="false">IF(F39&lt;&gt;CONCATENATE("Aux",E39),1,0)</f>
        <v>0</v>
      </c>
      <c r="O39" s="28" t="n">
        <v>38</v>
      </c>
      <c r="P39" s="31" t="s">
        <v>454</v>
      </c>
      <c r="Q39" s="30" t="s">
        <v>75</v>
      </c>
      <c r="R39" s="10" t="n">
        <f aca="false">IF(P39&lt;&gt;CONCATENATE("Grp",O39),1,0)</f>
        <v>0</v>
      </c>
      <c r="S39" s="10"/>
      <c r="Y39" s="28" t="n">
        <v>38</v>
      </c>
      <c r="Z39" s="31" t="s">
        <v>455</v>
      </c>
      <c r="AA39" s="30" t="s">
        <v>123</v>
      </c>
      <c r="AB39" s="2" t="n">
        <f aca="false">IF(Z39&lt;&gt;CONCATENATE("Mtx",Y39),1,0)</f>
        <v>0</v>
      </c>
      <c r="AC39" s="2"/>
    </row>
    <row r="40" customFormat="false" ht="13.8" hidden="false" customHeight="false" outlineLevel="0" collapsed="false">
      <c r="E40" s="28" t="n">
        <v>39</v>
      </c>
      <c r="F40" s="31" t="s">
        <v>456</v>
      </c>
      <c r="G40" s="30" t="s">
        <v>109</v>
      </c>
      <c r="H40" s="2" t="n">
        <f aca="false">IF(F40&lt;&gt;CONCATENATE("Aux",E40),1,0)</f>
        <v>0</v>
      </c>
      <c r="O40" s="28" t="n">
        <v>39</v>
      </c>
      <c r="P40" s="31" t="s">
        <v>457</v>
      </c>
      <c r="Q40" s="30" t="s">
        <v>75</v>
      </c>
      <c r="R40" s="10" t="n">
        <f aca="false">IF(P40&lt;&gt;CONCATENATE("Grp",O40),1,0)</f>
        <v>0</v>
      </c>
      <c r="S40" s="10"/>
      <c r="Y40" s="28" t="n">
        <v>39</v>
      </c>
      <c r="Z40" s="31" t="s">
        <v>458</v>
      </c>
      <c r="AA40" s="30" t="s">
        <v>123</v>
      </c>
      <c r="AB40" s="2" t="n">
        <f aca="false">IF(Z40&lt;&gt;CONCATENATE("Mtx",Y40),1,0)</f>
        <v>0</v>
      </c>
      <c r="AC40" s="2"/>
    </row>
    <row r="41" customFormat="false" ht="13.8" hidden="false" customHeight="false" outlineLevel="0" collapsed="false">
      <c r="E41" s="28" t="n">
        <v>40</v>
      </c>
      <c r="F41" s="31" t="s">
        <v>459</v>
      </c>
      <c r="G41" s="30" t="s">
        <v>109</v>
      </c>
      <c r="H41" s="2" t="n">
        <f aca="false">IF(F41&lt;&gt;CONCATENATE("Aux",E41),1,0)</f>
        <v>0</v>
      </c>
      <c r="O41" s="28" t="n">
        <v>40</v>
      </c>
      <c r="P41" s="31" t="s">
        <v>460</v>
      </c>
      <c r="Q41" s="30" t="s">
        <v>75</v>
      </c>
      <c r="R41" s="10" t="n">
        <f aca="false">IF(P41&lt;&gt;CONCATENATE("Grp",O41),1,0)</f>
        <v>0</v>
      </c>
      <c r="S41" s="10"/>
      <c r="Y41" s="28" t="n">
        <v>40</v>
      </c>
      <c r="Z41" s="31" t="s">
        <v>461</v>
      </c>
      <c r="AA41" s="30" t="s">
        <v>123</v>
      </c>
      <c r="AB41" s="2" t="n">
        <f aca="false">IF(Z41&lt;&gt;CONCATENATE("Mtx",Y41),1,0)</f>
        <v>0</v>
      </c>
      <c r="AC41" s="2"/>
    </row>
    <row r="42" customFormat="false" ht="13.8" hidden="false" customHeight="false" outlineLevel="0" collapsed="false">
      <c r="E42" s="28" t="n">
        <v>41</v>
      </c>
      <c r="F42" s="31" t="s">
        <v>462</v>
      </c>
      <c r="G42" s="30" t="s">
        <v>109</v>
      </c>
      <c r="H42" s="2" t="n">
        <f aca="false">IF(F42&lt;&gt;CONCATENATE("Aux",E42),1,0)</f>
        <v>0</v>
      </c>
      <c r="O42" s="28" t="n">
        <v>41</v>
      </c>
      <c r="P42" s="31" t="s">
        <v>463</v>
      </c>
      <c r="Q42" s="30" t="s">
        <v>75</v>
      </c>
      <c r="R42" s="10" t="n">
        <f aca="false">IF(P42&lt;&gt;CONCATENATE("Grp",O42),1,0)</f>
        <v>0</v>
      </c>
      <c r="S42" s="10"/>
      <c r="Y42" s="28" t="n">
        <v>41</v>
      </c>
      <c r="Z42" s="31" t="s">
        <v>464</v>
      </c>
      <c r="AA42" s="30" t="s">
        <v>123</v>
      </c>
      <c r="AB42" s="2" t="n">
        <f aca="false">IF(Z42&lt;&gt;CONCATENATE("Mtx",Y42),1,0)</f>
        <v>0</v>
      </c>
      <c r="AC42" s="2"/>
    </row>
    <row r="43" customFormat="false" ht="13.8" hidden="false" customHeight="false" outlineLevel="0" collapsed="false">
      <c r="E43" s="28" t="n">
        <v>42</v>
      </c>
      <c r="F43" s="31" t="s">
        <v>465</v>
      </c>
      <c r="G43" s="30" t="s">
        <v>109</v>
      </c>
      <c r="H43" s="2" t="n">
        <f aca="false">IF(F43&lt;&gt;CONCATENATE("Aux",E43),1,0)</f>
        <v>0</v>
      </c>
      <c r="O43" s="28" t="n">
        <v>42</v>
      </c>
      <c r="P43" s="31" t="s">
        <v>466</v>
      </c>
      <c r="Q43" s="30" t="s">
        <v>75</v>
      </c>
      <c r="R43" s="10" t="n">
        <f aca="false">IF(P43&lt;&gt;CONCATENATE("Grp",O43),1,0)</f>
        <v>0</v>
      </c>
      <c r="S43" s="10"/>
      <c r="Y43" s="28" t="n">
        <v>42</v>
      </c>
      <c r="Z43" s="31" t="s">
        <v>467</v>
      </c>
      <c r="AA43" s="30" t="s">
        <v>123</v>
      </c>
      <c r="AB43" s="2" t="n">
        <f aca="false">IF(Z43&lt;&gt;CONCATENATE("Mtx",Y43),1,0)</f>
        <v>0</v>
      </c>
      <c r="AC43" s="2"/>
    </row>
    <row r="44" customFormat="false" ht="13.8" hidden="false" customHeight="false" outlineLevel="0" collapsed="false">
      <c r="E44" s="28" t="n">
        <v>43</v>
      </c>
      <c r="F44" s="31" t="s">
        <v>468</v>
      </c>
      <c r="G44" s="30" t="s">
        <v>109</v>
      </c>
      <c r="H44" s="2" t="n">
        <f aca="false">IF(F44&lt;&gt;CONCATENATE("Aux",E44),1,0)</f>
        <v>0</v>
      </c>
      <c r="O44" s="28" t="n">
        <v>43</v>
      </c>
      <c r="P44" s="31" t="s">
        <v>469</v>
      </c>
      <c r="Q44" s="30" t="s">
        <v>75</v>
      </c>
      <c r="R44" s="10" t="n">
        <f aca="false">IF(P44&lt;&gt;CONCATENATE("Grp",O44),1,0)</f>
        <v>0</v>
      </c>
      <c r="S44" s="10"/>
      <c r="Y44" s="28" t="n">
        <v>43</v>
      </c>
      <c r="Z44" s="31" t="s">
        <v>470</v>
      </c>
      <c r="AA44" s="30" t="s">
        <v>123</v>
      </c>
      <c r="AB44" s="2" t="n">
        <f aca="false">IF(Z44&lt;&gt;CONCATENATE("Mtx",Y44),1,0)</f>
        <v>0</v>
      </c>
      <c r="AC44" s="2"/>
    </row>
    <row r="45" customFormat="false" ht="13.8" hidden="false" customHeight="false" outlineLevel="0" collapsed="false">
      <c r="E45" s="28" t="n">
        <v>44</v>
      </c>
      <c r="F45" s="31" t="s">
        <v>471</v>
      </c>
      <c r="G45" s="30" t="s">
        <v>109</v>
      </c>
      <c r="H45" s="2" t="n">
        <f aca="false">IF(F45&lt;&gt;CONCATENATE("Aux",E45),1,0)</f>
        <v>0</v>
      </c>
      <c r="O45" s="28" t="n">
        <v>44</v>
      </c>
      <c r="P45" s="31" t="s">
        <v>472</v>
      </c>
      <c r="Q45" s="30" t="s">
        <v>75</v>
      </c>
      <c r="R45" s="10" t="n">
        <f aca="false">IF(P45&lt;&gt;CONCATENATE("Grp",O45),1,0)</f>
        <v>0</v>
      </c>
      <c r="S45" s="10"/>
      <c r="Y45" s="28" t="n">
        <v>44</v>
      </c>
      <c r="Z45" s="31" t="s">
        <v>473</v>
      </c>
      <c r="AA45" s="30" t="s">
        <v>123</v>
      </c>
      <c r="AB45" s="2" t="n">
        <f aca="false">IF(Z45&lt;&gt;CONCATENATE("Mtx",Y45),1,0)</f>
        <v>0</v>
      </c>
      <c r="AC45" s="2"/>
    </row>
    <row r="46" customFormat="false" ht="13.8" hidden="false" customHeight="false" outlineLevel="0" collapsed="false">
      <c r="E46" s="28" t="n">
        <v>45</v>
      </c>
      <c r="F46" s="31" t="s">
        <v>474</v>
      </c>
      <c r="G46" s="30" t="s">
        <v>109</v>
      </c>
      <c r="H46" s="2" t="n">
        <f aca="false">IF(F46&lt;&gt;CONCATENATE("Aux",E46),1,0)</f>
        <v>0</v>
      </c>
      <c r="O46" s="28" t="n">
        <v>45</v>
      </c>
      <c r="P46" s="31" t="s">
        <v>475</v>
      </c>
      <c r="Q46" s="30" t="s">
        <v>75</v>
      </c>
      <c r="R46" s="10" t="n">
        <f aca="false">IF(P46&lt;&gt;CONCATENATE("Grp",O46),1,0)</f>
        <v>0</v>
      </c>
      <c r="S46" s="10"/>
      <c r="Y46" s="28" t="n">
        <v>45</v>
      </c>
      <c r="Z46" s="31" t="s">
        <v>476</v>
      </c>
      <c r="AA46" s="30" t="s">
        <v>123</v>
      </c>
      <c r="AB46" s="2" t="n">
        <f aca="false">IF(Z46&lt;&gt;CONCATENATE("Mtx",Y46),1,0)</f>
        <v>0</v>
      </c>
      <c r="AC46" s="2"/>
    </row>
    <row r="47" customFormat="false" ht="13.8" hidden="false" customHeight="false" outlineLevel="0" collapsed="false">
      <c r="E47" s="28" t="n">
        <v>46</v>
      </c>
      <c r="F47" s="31" t="s">
        <v>477</v>
      </c>
      <c r="G47" s="30" t="s">
        <v>109</v>
      </c>
      <c r="H47" s="2" t="n">
        <f aca="false">IF(F47&lt;&gt;CONCATENATE("Aux",E47),1,0)</f>
        <v>0</v>
      </c>
      <c r="O47" s="28" t="n">
        <v>46</v>
      </c>
      <c r="P47" s="31" t="s">
        <v>478</v>
      </c>
      <c r="Q47" s="30" t="s">
        <v>75</v>
      </c>
      <c r="R47" s="10" t="n">
        <f aca="false">IF(P47&lt;&gt;CONCATENATE("Grp",O47),1,0)</f>
        <v>0</v>
      </c>
      <c r="S47" s="10"/>
      <c r="Y47" s="28" t="n">
        <v>46</v>
      </c>
      <c r="Z47" s="31" t="s">
        <v>479</v>
      </c>
      <c r="AA47" s="30" t="s">
        <v>123</v>
      </c>
      <c r="AB47" s="2" t="n">
        <f aca="false">IF(Z47&lt;&gt;CONCATENATE("Mtx",Y47),1,0)</f>
        <v>0</v>
      </c>
      <c r="AC47" s="2"/>
    </row>
    <row r="48" customFormat="false" ht="13.8" hidden="false" customHeight="false" outlineLevel="0" collapsed="false">
      <c r="E48" s="28" t="n">
        <v>47</v>
      </c>
      <c r="F48" s="31" t="s">
        <v>480</v>
      </c>
      <c r="G48" s="30" t="s">
        <v>109</v>
      </c>
      <c r="H48" s="2" t="n">
        <f aca="false">IF(F48&lt;&gt;CONCATENATE("Aux",E48),1,0)</f>
        <v>0</v>
      </c>
      <c r="O48" s="28" t="n">
        <v>47</v>
      </c>
      <c r="P48" s="31" t="s">
        <v>481</v>
      </c>
      <c r="Q48" s="30" t="s">
        <v>75</v>
      </c>
      <c r="R48" s="10" t="n">
        <f aca="false">IF(P48&lt;&gt;CONCATENATE("Grp",O48),1,0)</f>
        <v>0</v>
      </c>
      <c r="S48" s="10"/>
      <c r="Y48" s="28" t="n">
        <v>47</v>
      </c>
      <c r="Z48" s="31" t="s">
        <v>482</v>
      </c>
      <c r="AA48" s="30" t="s">
        <v>123</v>
      </c>
      <c r="AB48" s="2" t="n">
        <f aca="false">IF(Z48&lt;&gt;CONCATENATE("Mtx",Y48),1,0)</f>
        <v>0</v>
      </c>
      <c r="AC48" s="2"/>
    </row>
    <row r="49" customFormat="false" ht="13.8" hidden="false" customHeight="false" outlineLevel="0" collapsed="false">
      <c r="E49" s="28" t="n">
        <v>48</v>
      </c>
      <c r="F49" s="31" t="s">
        <v>483</v>
      </c>
      <c r="G49" s="30" t="s">
        <v>109</v>
      </c>
      <c r="H49" s="2" t="n">
        <f aca="false">IF(F49&lt;&gt;CONCATENATE("Aux",E49),1,0)</f>
        <v>0</v>
      </c>
      <c r="O49" s="28" t="n">
        <v>48</v>
      </c>
      <c r="P49" s="31" t="s">
        <v>484</v>
      </c>
      <c r="Q49" s="30" t="s">
        <v>75</v>
      </c>
      <c r="R49" s="10" t="n">
        <f aca="false">IF(P49&lt;&gt;CONCATENATE("Grp",O49),1,0)</f>
        <v>0</v>
      </c>
      <c r="S49" s="10"/>
      <c r="Y49" s="28" t="n">
        <v>48</v>
      </c>
      <c r="Z49" s="31" t="s">
        <v>485</v>
      </c>
      <c r="AA49" s="30" t="s">
        <v>123</v>
      </c>
      <c r="AB49" s="2" t="n">
        <f aca="false">IF(Z49&lt;&gt;CONCATENATE("Mtx",Y49),1,0)</f>
        <v>0</v>
      </c>
      <c r="AC49" s="2"/>
    </row>
    <row r="50" customFormat="false" ht="13.8" hidden="false" customHeight="false" outlineLevel="0" collapsed="false">
      <c r="E50" s="28" t="n">
        <v>49</v>
      </c>
      <c r="F50" s="31" t="s">
        <v>486</v>
      </c>
      <c r="G50" s="30" t="s">
        <v>109</v>
      </c>
      <c r="H50" s="2" t="n">
        <f aca="false">IF(F50&lt;&gt;CONCATENATE("Aux",E50),1,0)</f>
        <v>0</v>
      </c>
      <c r="O50" s="28" t="n">
        <v>49</v>
      </c>
      <c r="P50" s="31" t="s">
        <v>487</v>
      </c>
      <c r="Q50" s="30" t="s">
        <v>75</v>
      </c>
      <c r="R50" s="10" t="n">
        <f aca="false">IF(P50&lt;&gt;CONCATENATE("Grp",O50),1,0)</f>
        <v>0</v>
      </c>
      <c r="S50" s="10"/>
      <c r="Y50" s="28" t="n">
        <v>49</v>
      </c>
      <c r="Z50" s="31" t="s">
        <v>488</v>
      </c>
      <c r="AA50" s="30" t="s">
        <v>123</v>
      </c>
      <c r="AB50" s="2" t="n">
        <f aca="false">IF(Z50&lt;&gt;CONCATENATE("Mtx",Y50),1,0)</f>
        <v>0</v>
      </c>
      <c r="AC50" s="2"/>
    </row>
    <row r="51" customFormat="false" ht="13.8" hidden="false" customHeight="false" outlineLevel="0" collapsed="false">
      <c r="E51" s="28" t="n">
        <v>50</v>
      </c>
      <c r="F51" s="31" t="s">
        <v>489</v>
      </c>
      <c r="G51" s="30" t="s">
        <v>109</v>
      </c>
      <c r="H51" s="2" t="n">
        <f aca="false">IF(F51&lt;&gt;CONCATENATE("Aux",E51),1,0)</f>
        <v>0</v>
      </c>
      <c r="O51" s="28" t="n">
        <v>50</v>
      </c>
      <c r="P51" s="31" t="s">
        <v>490</v>
      </c>
      <c r="Q51" s="30" t="s">
        <v>75</v>
      </c>
      <c r="R51" s="10" t="n">
        <f aca="false">IF(P51&lt;&gt;CONCATENATE("Grp",O51),1,0)</f>
        <v>0</v>
      </c>
      <c r="S51" s="10"/>
      <c r="Y51" s="28" t="n">
        <v>50</v>
      </c>
      <c r="Z51" s="31" t="s">
        <v>491</v>
      </c>
      <c r="AA51" s="30" t="s">
        <v>123</v>
      </c>
      <c r="AB51" s="2" t="n">
        <f aca="false">IF(Z51&lt;&gt;CONCATENATE("Mtx",Y51),1,0)</f>
        <v>0</v>
      </c>
      <c r="AC51" s="2"/>
    </row>
    <row r="52" customFormat="false" ht="13.8" hidden="false" customHeight="false" outlineLevel="0" collapsed="false">
      <c r="E52" s="28" t="n">
        <v>51</v>
      </c>
      <c r="F52" s="31" t="s">
        <v>492</v>
      </c>
      <c r="G52" s="30" t="s">
        <v>109</v>
      </c>
      <c r="H52" s="2" t="n">
        <f aca="false">IF(F52&lt;&gt;CONCATENATE("Aux",E52),1,0)</f>
        <v>0</v>
      </c>
      <c r="O52" s="28" t="n">
        <v>51</v>
      </c>
      <c r="P52" s="31" t="s">
        <v>493</v>
      </c>
      <c r="Q52" s="30" t="s">
        <v>75</v>
      </c>
      <c r="R52" s="10" t="n">
        <f aca="false">IF(P52&lt;&gt;CONCATENATE("Grp",O52),1,0)</f>
        <v>0</v>
      </c>
      <c r="S52" s="10"/>
      <c r="Y52" s="28" t="n">
        <v>51</v>
      </c>
      <c r="Z52" s="31" t="s">
        <v>494</v>
      </c>
      <c r="AA52" s="30" t="s">
        <v>123</v>
      </c>
      <c r="AB52" s="2" t="n">
        <f aca="false">IF(Z52&lt;&gt;CONCATENATE("Mtx",Y52),1,0)</f>
        <v>0</v>
      </c>
      <c r="AC52" s="2"/>
    </row>
    <row r="53" customFormat="false" ht="13.8" hidden="false" customHeight="false" outlineLevel="0" collapsed="false">
      <c r="E53" s="28" t="n">
        <v>52</v>
      </c>
      <c r="F53" s="31" t="s">
        <v>495</v>
      </c>
      <c r="G53" s="30" t="s">
        <v>109</v>
      </c>
      <c r="H53" s="2" t="n">
        <f aca="false">IF(F53&lt;&gt;CONCATENATE("Aux",E53),1,0)</f>
        <v>0</v>
      </c>
      <c r="O53" s="28" t="n">
        <v>52</v>
      </c>
      <c r="P53" s="31" t="s">
        <v>496</v>
      </c>
      <c r="Q53" s="30" t="s">
        <v>75</v>
      </c>
      <c r="R53" s="10" t="n">
        <f aca="false">IF(P53&lt;&gt;CONCATENATE("Grp",O53),1,0)</f>
        <v>0</v>
      </c>
      <c r="S53" s="10"/>
      <c r="Y53" s="28" t="n">
        <v>52</v>
      </c>
      <c r="Z53" s="31" t="s">
        <v>497</v>
      </c>
      <c r="AA53" s="30" t="s">
        <v>123</v>
      </c>
      <c r="AB53" s="2" t="n">
        <f aca="false">IF(Z53&lt;&gt;CONCATENATE("Mtx",Y53),1,0)</f>
        <v>0</v>
      </c>
      <c r="AC53" s="2"/>
    </row>
    <row r="54" customFormat="false" ht="13.8" hidden="false" customHeight="false" outlineLevel="0" collapsed="false">
      <c r="E54" s="28" t="n">
        <v>53</v>
      </c>
      <c r="F54" s="31" t="s">
        <v>498</v>
      </c>
      <c r="G54" s="30" t="s">
        <v>109</v>
      </c>
      <c r="H54" s="2" t="n">
        <f aca="false">IF(F54&lt;&gt;CONCATENATE("Aux",E54),1,0)</f>
        <v>0</v>
      </c>
      <c r="O54" s="28" t="n">
        <v>53</v>
      </c>
      <c r="P54" s="31" t="s">
        <v>499</v>
      </c>
      <c r="Q54" s="30" t="s">
        <v>75</v>
      </c>
      <c r="R54" s="10" t="n">
        <f aca="false">IF(P54&lt;&gt;CONCATENATE("Grp",O54),1,0)</f>
        <v>0</v>
      </c>
      <c r="S54" s="10"/>
      <c r="Y54" s="28" t="n">
        <v>53</v>
      </c>
      <c r="Z54" s="31" t="s">
        <v>500</v>
      </c>
      <c r="AA54" s="30" t="s">
        <v>123</v>
      </c>
      <c r="AB54" s="2" t="n">
        <f aca="false">IF(Z54&lt;&gt;CONCATENATE("Mtx",Y54),1,0)</f>
        <v>0</v>
      </c>
      <c r="AC54" s="2"/>
    </row>
    <row r="55" customFormat="false" ht="13.8" hidden="false" customHeight="false" outlineLevel="0" collapsed="false">
      <c r="E55" s="28" t="n">
        <v>54</v>
      </c>
      <c r="F55" s="31" t="s">
        <v>501</v>
      </c>
      <c r="G55" s="30" t="s">
        <v>109</v>
      </c>
      <c r="H55" s="2" t="n">
        <f aca="false">IF(F55&lt;&gt;CONCATENATE("Aux",E55),1,0)</f>
        <v>0</v>
      </c>
      <c r="O55" s="28" t="n">
        <v>54</v>
      </c>
      <c r="P55" s="31" t="s">
        <v>502</v>
      </c>
      <c r="Q55" s="30" t="s">
        <v>75</v>
      </c>
      <c r="R55" s="10" t="n">
        <f aca="false">IF(P55&lt;&gt;CONCATENATE("Grp",O55),1,0)</f>
        <v>0</v>
      </c>
      <c r="S55" s="10"/>
      <c r="Y55" s="28" t="n">
        <v>54</v>
      </c>
      <c r="Z55" s="31" t="s">
        <v>503</v>
      </c>
      <c r="AA55" s="30" t="s">
        <v>123</v>
      </c>
      <c r="AB55" s="2" t="n">
        <f aca="false">IF(Z55&lt;&gt;CONCATENATE("Mtx",Y55),1,0)</f>
        <v>0</v>
      </c>
      <c r="AC55" s="2"/>
    </row>
    <row r="56" customFormat="false" ht="13.8" hidden="false" customHeight="false" outlineLevel="0" collapsed="false">
      <c r="E56" s="28" t="n">
        <v>55</v>
      </c>
      <c r="F56" s="31" t="s">
        <v>504</v>
      </c>
      <c r="G56" s="30" t="s">
        <v>109</v>
      </c>
      <c r="H56" s="2" t="n">
        <f aca="false">IF(F56&lt;&gt;CONCATENATE("Aux",E56),1,0)</f>
        <v>0</v>
      </c>
      <c r="O56" s="28" t="n">
        <v>55</v>
      </c>
      <c r="P56" s="31" t="s">
        <v>505</v>
      </c>
      <c r="Q56" s="30" t="s">
        <v>75</v>
      </c>
      <c r="R56" s="10" t="n">
        <f aca="false">IF(P56&lt;&gt;CONCATENATE("Grp",O56),1,0)</f>
        <v>0</v>
      </c>
      <c r="S56" s="10"/>
      <c r="Y56" s="28" t="n">
        <v>55</v>
      </c>
      <c r="Z56" s="31" t="s">
        <v>506</v>
      </c>
      <c r="AA56" s="30" t="s">
        <v>123</v>
      </c>
      <c r="AB56" s="2" t="n">
        <f aca="false">IF(Z56&lt;&gt;CONCATENATE("Mtx",Y56),1,0)</f>
        <v>0</v>
      </c>
      <c r="AC56" s="2"/>
    </row>
    <row r="57" customFormat="false" ht="13.8" hidden="false" customHeight="false" outlineLevel="0" collapsed="false">
      <c r="E57" s="28" t="n">
        <v>56</v>
      </c>
      <c r="F57" s="31" t="s">
        <v>507</v>
      </c>
      <c r="G57" s="30" t="s">
        <v>109</v>
      </c>
      <c r="H57" s="2" t="n">
        <f aca="false">IF(F57&lt;&gt;CONCATENATE("Aux",E57),1,0)</f>
        <v>0</v>
      </c>
      <c r="O57" s="28" t="n">
        <v>56</v>
      </c>
      <c r="P57" s="31" t="s">
        <v>508</v>
      </c>
      <c r="Q57" s="30" t="s">
        <v>75</v>
      </c>
      <c r="R57" s="10" t="n">
        <f aca="false">IF(P57&lt;&gt;CONCATENATE("Grp",O57),1,0)</f>
        <v>0</v>
      </c>
      <c r="S57" s="10"/>
      <c r="Y57" s="28" t="n">
        <v>56</v>
      </c>
      <c r="Z57" s="31" t="s">
        <v>509</v>
      </c>
      <c r="AA57" s="30" t="s">
        <v>123</v>
      </c>
      <c r="AB57" s="2" t="n">
        <f aca="false">IF(Z57&lt;&gt;CONCATENATE("Mtx",Y57),1,0)</f>
        <v>0</v>
      </c>
      <c r="AC57" s="2"/>
    </row>
    <row r="58" customFormat="false" ht="13.8" hidden="false" customHeight="false" outlineLevel="0" collapsed="false">
      <c r="E58" s="28" t="n">
        <v>57</v>
      </c>
      <c r="F58" s="31" t="s">
        <v>510</v>
      </c>
      <c r="G58" s="30" t="s">
        <v>109</v>
      </c>
      <c r="H58" s="2" t="n">
        <f aca="false">IF(F58&lt;&gt;CONCATENATE("Aux",E58),1,0)</f>
        <v>0</v>
      </c>
      <c r="O58" s="28" t="n">
        <v>57</v>
      </c>
      <c r="P58" s="31" t="s">
        <v>511</v>
      </c>
      <c r="Q58" s="30" t="s">
        <v>75</v>
      </c>
      <c r="R58" s="10" t="n">
        <f aca="false">IF(P58&lt;&gt;CONCATENATE("Grp",O58),1,0)</f>
        <v>0</v>
      </c>
      <c r="S58" s="10"/>
      <c r="Y58" s="28" t="n">
        <v>57</v>
      </c>
      <c r="Z58" s="31" t="s">
        <v>512</v>
      </c>
      <c r="AA58" s="30" t="s">
        <v>123</v>
      </c>
      <c r="AB58" s="2" t="n">
        <f aca="false">IF(Z58&lt;&gt;CONCATENATE("Mtx",Y58),1,0)</f>
        <v>0</v>
      </c>
      <c r="AC58" s="2"/>
    </row>
    <row r="59" customFormat="false" ht="13.8" hidden="false" customHeight="false" outlineLevel="0" collapsed="false">
      <c r="E59" s="28" t="n">
        <v>58</v>
      </c>
      <c r="F59" s="31" t="s">
        <v>513</v>
      </c>
      <c r="G59" s="30" t="s">
        <v>109</v>
      </c>
      <c r="H59" s="2" t="n">
        <f aca="false">IF(F59&lt;&gt;CONCATENATE("Aux",E59),1,0)</f>
        <v>0</v>
      </c>
      <c r="O59" s="28" t="n">
        <v>58</v>
      </c>
      <c r="P59" s="31" t="s">
        <v>514</v>
      </c>
      <c r="Q59" s="30" t="s">
        <v>75</v>
      </c>
      <c r="R59" s="10" t="n">
        <f aca="false">IF(P59&lt;&gt;CONCATENATE("Grp",O59),1,0)</f>
        <v>0</v>
      </c>
      <c r="S59" s="10"/>
      <c r="Y59" s="28" t="n">
        <v>58</v>
      </c>
      <c r="Z59" s="31" t="s">
        <v>515</v>
      </c>
      <c r="AA59" s="30" t="s">
        <v>123</v>
      </c>
      <c r="AB59" s="2" t="n">
        <f aca="false">IF(Z59&lt;&gt;CONCATENATE("Mtx",Y59),1,0)</f>
        <v>0</v>
      </c>
      <c r="AC59" s="2"/>
    </row>
    <row r="60" customFormat="false" ht="13.8" hidden="false" customHeight="false" outlineLevel="0" collapsed="false">
      <c r="E60" s="28" t="n">
        <v>59</v>
      </c>
      <c r="F60" s="31" t="s">
        <v>516</v>
      </c>
      <c r="G60" s="30" t="s">
        <v>109</v>
      </c>
      <c r="H60" s="2" t="n">
        <f aca="false">IF(F60&lt;&gt;CONCATENATE("Aux",E60),1,0)</f>
        <v>0</v>
      </c>
      <c r="O60" s="28" t="n">
        <v>59</v>
      </c>
      <c r="P60" s="31" t="s">
        <v>517</v>
      </c>
      <c r="Q60" s="30" t="s">
        <v>75</v>
      </c>
      <c r="R60" s="10" t="n">
        <f aca="false">IF(P60&lt;&gt;CONCATENATE("Grp",O60),1,0)</f>
        <v>0</v>
      </c>
      <c r="S60" s="10"/>
      <c r="Y60" s="28" t="n">
        <v>59</v>
      </c>
      <c r="Z60" s="31" t="s">
        <v>518</v>
      </c>
      <c r="AA60" s="30" t="s">
        <v>123</v>
      </c>
      <c r="AB60" s="2" t="n">
        <f aca="false">IF(Z60&lt;&gt;CONCATENATE("Mtx",Y60),1,0)</f>
        <v>0</v>
      </c>
      <c r="AC60" s="2"/>
    </row>
    <row r="61" customFormat="false" ht="13.8" hidden="false" customHeight="false" outlineLevel="0" collapsed="false">
      <c r="E61" s="28" t="n">
        <v>60</v>
      </c>
      <c r="F61" s="31" t="s">
        <v>519</v>
      </c>
      <c r="G61" s="30" t="s">
        <v>109</v>
      </c>
      <c r="H61" s="2" t="n">
        <f aca="false">IF(F61&lt;&gt;CONCATENATE("Aux",E61),1,0)</f>
        <v>0</v>
      </c>
      <c r="O61" s="28" t="n">
        <v>60</v>
      </c>
      <c r="P61" s="31" t="s">
        <v>520</v>
      </c>
      <c r="Q61" s="30" t="s">
        <v>75</v>
      </c>
      <c r="R61" s="10" t="n">
        <f aca="false">IF(P61&lt;&gt;CONCATENATE("Grp",O61),1,0)</f>
        <v>0</v>
      </c>
      <c r="S61" s="10"/>
      <c r="Y61" s="28" t="n">
        <v>60</v>
      </c>
      <c r="Z61" s="31" t="s">
        <v>521</v>
      </c>
      <c r="AA61" s="30" t="s">
        <v>123</v>
      </c>
      <c r="AB61" s="2" t="n">
        <f aca="false">IF(Z61&lt;&gt;CONCATENATE("Mtx",Y61),1,0)</f>
        <v>0</v>
      </c>
      <c r="AC61" s="2"/>
    </row>
    <row r="62" customFormat="false" ht="13.8" hidden="false" customHeight="false" outlineLevel="0" collapsed="false">
      <c r="E62" s="28" t="n">
        <v>61</v>
      </c>
      <c r="F62" s="31" t="s">
        <v>522</v>
      </c>
      <c r="G62" s="30" t="s">
        <v>109</v>
      </c>
      <c r="H62" s="2" t="n">
        <f aca="false">IF(F62&lt;&gt;CONCATENATE("Aux",E62),1,0)</f>
        <v>0</v>
      </c>
      <c r="O62" s="28" t="n">
        <v>61</v>
      </c>
      <c r="P62" s="31" t="s">
        <v>523</v>
      </c>
      <c r="Q62" s="30" t="s">
        <v>75</v>
      </c>
      <c r="R62" s="10" t="n">
        <f aca="false">IF(P62&lt;&gt;CONCATENATE("Grp",O62),1,0)</f>
        <v>0</v>
      </c>
      <c r="S62" s="10"/>
      <c r="Y62" s="28" t="n">
        <v>61</v>
      </c>
      <c r="Z62" s="31" t="s">
        <v>524</v>
      </c>
      <c r="AA62" s="30" t="s">
        <v>123</v>
      </c>
      <c r="AB62" s="2" t="n">
        <f aca="false">IF(Z62&lt;&gt;CONCATENATE("Mtx",Y62),1,0)</f>
        <v>0</v>
      </c>
      <c r="AC62" s="2"/>
    </row>
    <row r="63" customFormat="false" ht="13.8" hidden="false" customHeight="false" outlineLevel="0" collapsed="false">
      <c r="E63" s="28" t="n">
        <v>62</v>
      </c>
      <c r="F63" s="31" t="s">
        <v>525</v>
      </c>
      <c r="G63" s="30" t="s">
        <v>109</v>
      </c>
      <c r="H63" s="2" t="n">
        <f aca="false">IF(F63&lt;&gt;CONCATENATE("Aux",E63),1,0)</f>
        <v>0</v>
      </c>
      <c r="O63" s="28" t="n">
        <v>62</v>
      </c>
      <c r="P63" s="31" t="s">
        <v>526</v>
      </c>
      <c r="Q63" s="30" t="s">
        <v>75</v>
      </c>
      <c r="R63" s="10" t="n">
        <f aca="false">IF(P63&lt;&gt;CONCATENATE("Grp",O63),1,0)</f>
        <v>0</v>
      </c>
      <c r="S63" s="10"/>
      <c r="Y63" s="28" t="n">
        <v>62</v>
      </c>
      <c r="Z63" s="31" t="s">
        <v>527</v>
      </c>
      <c r="AA63" s="30" t="s">
        <v>123</v>
      </c>
      <c r="AB63" s="2" t="n">
        <f aca="false">IF(Z63&lt;&gt;CONCATENATE("Mtx",Y63),1,0)</f>
        <v>0</v>
      </c>
      <c r="AC63" s="2"/>
    </row>
    <row r="64" customFormat="false" ht="13.8" hidden="false" customHeight="false" outlineLevel="0" collapsed="false">
      <c r="F64" s="33"/>
      <c r="G64" s="32"/>
      <c r="P64" s="33"/>
      <c r="Q64" s="32"/>
      <c r="AA64" s="32"/>
    </row>
    <row r="65" customFormat="false" ht="13.8" hidden="false" customHeight="false" outlineLevel="0" collapsed="false">
      <c r="G65" s="32"/>
      <c r="H65" s="2" t="n">
        <f aca="false">COUNTIF(H2:H63,1)</f>
        <v>0</v>
      </c>
      <c r="M65" s="2" t="n">
        <f aca="false">COUNTIF(M2:M63,1)</f>
        <v>0</v>
      </c>
      <c r="N65" s="2"/>
      <c r="Q65" s="32"/>
      <c r="R65" s="2" t="n">
        <f aca="false">COUNTIF(R2:R63,1)</f>
        <v>0</v>
      </c>
      <c r="W65" s="2" t="n">
        <f aca="false">COUNTIF(W2:W63,1)</f>
        <v>0</v>
      </c>
      <c r="AA65" s="32"/>
      <c r="AB65" s="2" t="n">
        <f aca="false">COUNTIF(AB2:AB63,1)</f>
        <v>0</v>
      </c>
      <c r="AC65" s="2"/>
      <c r="AG65" s="2" t="n">
        <f aca="false">COUNTIF(AG2:AG63,1)</f>
        <v>0</v>
      </c>
      <c r="AL65" s="2" t="n">
        <f aca="false">COUNTIF(AL2:AL63,1)</f>
        <v>0</v>
      </c>
      <c r="AM65" s="2"/>
      <c r="AQ65" s="2" t="n">
        <f aca="false">COUNTIF(AQ2:AQ63,1)</f>
        <v>0</v>
      </c>
      <c r="AR65" s="2"/>
    </row>
  </sheetData>
  <conditionalFormatting sqref="G2:G65 L2:L33 Q2:Q65 AA2:AA65 AF2:AF33 AJ34 C2:C25 AK2:AK17 AP2:AP17 AU2:AU17 AY2:AY9 BC2:BC9 V2:V33">
    <cfRule type="cellIs" priority="2" operator="equal" aboveAverage="0" equalAverage="0" bottom="0" percent="0" rank="0" text="" dxfId="7">
      <formula>"purple"</formula>
    </cfRule>
    <cfRule type="cellIs" priority="3" operator="equal" aboveAverage="0" equalAverage="0" bottom="0" percent="0" rank="0" text="" dxfId="8">
      <formula>"light blue"</formula>
    </cfRule>
    <cfRule type="cellIs" priority="4" operator="equal" aboveAverage="0" equalAverage="0" bottom="0" percent="0" rank="0" text="" dxfId="9">
      <formula>"green"</formula>
    </cfRule>
    <cfRule type="cellIs" priority="5" operator="equal" aboveAverage="0" equalAverage="0" bottom="0" percent="0" rank="0" text="" dxfId="10">
      <formula>"red"</formula>
    </cfRule>
    <cfRule type="cellIs" priority="6" operator="equal" aboveAverage="0" equalAverage="0" bottom="0" percent="0" rank="0" text="" dxfId="11">
      <formula>"black"</formula>
    </cfRule>
    <cfRule type="cellIs" priority="7" operator="equal" aboveAverage="0" equalAverage="0" bottom="0" percent="0" rank="0" text="" dxfId="12">
      <formula>"yellow"</formula>
    </cfRule>
    <cfRule type="cellIs" priority="8" operator="equal" aboveAverage="0" equalAverage="0" bottom="0" percent="0" rank="0" text="" dxfId="13">
      <formula>"blue"</formula>
    </cfRule>
  </conditionalFormatting>
  <dataValidations count="2">
    <dataValidation allowBlank="true" errorStyle="stop" operator="equal" showDropDown="false" showErrorMessage="true" showInputMessage="false" sqref="C2:C10 G2:G26 L2:L32 Q2:Q63 V2:V32 AA2:AA63 AF2:AF32 AK2:AK17 AP2:AP17 AU2:AU17 AY2:AY9 BC2:BC9 C11:C25 G27:G63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L33 V33 AF33 AJ34 G64:G65 Q64:Q65 AA64:AA65" type="list">
      <formula1>"blue,red,yellow,green,light blue,white,purple,black"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34"/>
      <c r="B1" s="35" t="s">
        <v>528</v>
      </c>
      <c r="C1" s="35" t="s">
        <v>529</v>
      </c>
    </row>
    <row r="2" customFormat="false" ht="13.8" hidden="false" customHeight="false" outlineLevel="0" collapsed="false">
      <c r="A2" s="36" t="s">
        <v>530</v>
      </c>
      <c r="B2" s="28" t="n">
        <f aca="false">Groups!R65</f>
        <v>0</v>
      </c>
      <c r="C2" s="28" t="n">
        <f aca="false">Groups!W65</f>
        <v>0</v>
      </c>
    </row>
    <row r="3" customFormat="false" ht="13.8" hidden="false" customHeight="false" outlineLevel="0" collapsed="false">
      <c r="A3" s="37" t="s">
        <v>265</v>
      </c>
      <c r="B3" s="28" t="n">
        <f aca="false">Groups!AL65</f>
        <v>0</v>
      </c>
      <c r="C3" s="28" t="n">
        <f aca="false">Groups!AQ65</f>
        <v>0</v>
      </c>
    </row>
    <row r="4" customFormat="false" ht="13.8" hidden="false" customHeight="false" outlineLevel="0" collapsed="false">
      <c r="A4" s="37" t="s">
        <v>531</v>
      </c>
      <c r="B4" s="28" t="n">
        <f aca="false">Groups!H65</f>
        <v>0</v>
      </c>
      <c r="C4" s="28" t="n">
        <f aca="false">Groups!M65</f>
        <v>0</v>
      </c>
    </row>
    <row r="5" customFormat="false" ht="13.8" hidden="false" customHeight="false" outlineLevel="0" collapsed="false">
      <c r="A5" s="38" t="s">
        <v>532</v>
      </c>
      <c r="B5" s="28" t="n">
        <f aca="false">Groups!AB65</f>
        <v>0</v>
      </c>
      <c r="C5" s="28" t="n">
        <f aca="false">Groups!AG65</f>
        <v>0</v>
      </c>
    </row>
    <row r="6" customFormat="false" ht="13.8" hidden="false" customHeight="false" outlineLevel="0" collapsed="false"/>
    <row r="7" customFormat="false" ht="99.2" hidden="false" customHeight="true" outlineLevel="0" collapsed="false">
      <c r="A7" s="39" t="s">
        <v>533</v>
      </c>
      <c r="B7" s="39"/>
      <c r="C7" s="39"/>
      <c r="D7" s="39"/>
      <c r="E7" s="39"/>
      <c r="F7" s="39"/>
    </row>
  </sheetData>
  <mergeCells count="1">
    <mergeCell ref="A7:F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3" width="13.29"/>
    <col collapsed="false" customWidth="true" hidden="false" outlineLevel="0" max="2" min="2" style="3" width="11.43"/>
    <col collapsed="false" customWidth="true" hidden="false" outlineLevel="0" max="3" min="3" style="3" width="57.42"/>
  </cols>
  <sheetData>
    <row r="1" customFormat="false" ht="15" hidden="false" customHeight="false" outlineLevel="0" collapsed="false">
      <c r="A1" s="23" t="s">
        <v>534</v>
      </c>
      <c r="B1" s="23" t="s">
        <v>535</v>
      </c>
      <c r="C1" s="13" t="s">
        <v>536</v>
      </c>
    </row>
    <row r="2" customFormat="false" ht="15" hidden="false" customHeight="false" outlineLevel="0" collapsed="false">
      <c r="A2" s="10" t="s">
        <v>537</v>
      </c>
      <c r="B2" s="10" t="n">
        <v>14</v>
      </c>
      <c r="C2" s="3" t="s">
        <v>538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2862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2022-10-26T13:29:36Z</dcterms:created>
  <dc:creator>togrupe</dc:creator>
  <dc:description/>
  <dc:language>de-DE</dc:language>
  <cp:lastModifiedBy/>
  <dcterms:modified xsi:type="dcterms:W3CDTF">2026-05-13T19:56:23Z</dcterms:modified>
  <cp:revision>350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